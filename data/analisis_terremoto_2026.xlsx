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olas.fernandez.g\Downloads\"/>
    </mc:Choice>
  </mc:AlternateContent>
  <xr:revisionPtr revIDLastSave="0" documentId="13_ncr:1_{5C565981-BB75-4304-A6B9-74EA25EF077D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Análisis general" sheetId="1" r:id="rId1"/>
    <sheet name="Municipios completos" sheetId="3" r:id="rId2"/>
    <sheet name="Municipios completos (2)" sheetId="4" state="hidden" r:id="rId3"/>
    <sheet name="Minculturas" sheetId="5" state="hidden" r:id="rId4"/>
    <sheet name="Olimpiadas" sheetId="6" state="hidden" r:id="rId5"/>
    <sheet name="cpe" sheetId="7" state="hidden" r:id="rId6"/>
    <sheet name="Noticias" sheetId="8" r:id="rId7"/>
  </sheets>
  <definedNames>
    <definedName name="_xlnm._FilterDatabase" localSheetId="0" hidden="1">'Análisis general'!$B$3:$D$29</definedName>
    <definedName name="_xlnm._FilterDatabase" localSheetId="1" hidden="1">'Municipios completos'!$A$1:$BG$433</definedName>
    <definedName name="_xlnm._FilterDatabase" localSheetId="4" hidden="1">Olimpiadas!$A$1:$C$61</definedName>
    <definedName name="DatosExternos_1" localSheetId="6" hidden="1">Noticias!$A$1:$I$1126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69" i="3" l="1"/>
  <c r="AG2" i="3"/>
  <c r="AG6" i="3"/>
  <c r="AG7" i="3"/>
  <c r="AG3" i="3"/>
  <c r="AG5" i="3"/>
  <c r="AG8" i="3"/>
  <c r="AG9" i="3"/>
  <c r="AG10" i="3"/>
  <c r="AG11" i="3"/>
  <c r="AG13" i="3"/>
  <c r="AG12" i="3"/>
  <c r="AG14" i="3"/>
  <c r="AG15" i="3"/>
  <c r="AG17" i="3"/>
  <c r="AG16" i="3"/>
  <c r="AG20" i="3"/>
  <c r="AG21" i="3"/>
  <c r="AG18" i="3"/>
  <c r="AG22" i="3"/>
  <c r="AG19" i="3"/>
  <c r="AG25" i="3"/>
  <c r="AG30" i="3"/>
  <c r="AG27" i="3"/>
  <c r="AG26" i="3"/>
  <c r="AG34" i="3"/>
  <c r="AG35" i="3"/>
  <c r="AG32" i="3"/>
  <c r="AG23" i="3"/>
  <c r="AG33" i="3"/>
  <c r="AG24" i="3"/>
  <c r="AG36" i="3"/>
  <c r="AG31" i="3"/>
  <c r="AG29" i="3"/>
  <c r="AG28" i="3"/>
  <c r="AG42" i="3"/>
  <c r="AG40" i="3"/>
  <c r="AG37" i="3"/>
  <c r="AG38" i="3"/>
  <c r="AG41" i="3"/>
  <c r="AG43" i="3"/>
  <c r="AG44" i="3"/>
  <c r="AG39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63" i="3"/>
  <c r="AG59" i="3"/>
  <c r="AG64" i="3"/>
  <c r="AG60" i="3"/>
  <c r="AG57" i="3"/>
  <c r="AG65" i="3"/>
  <c r="AG58" i="3"/>
  <c r="AG61" i="3"/>
  <c r="AG62" i="3"/>
  <c r="AG66" i="3"/>
  <c r="AG67" i="3"/>
  <c r="AG68" i="3"/>
  <c r="AG71" i="3"/>
  <c r="AG72" i="3"/>
  <c r="AG73" i="3"/>
  <c r="AG74" i="3"/>
  <c r="AG70" i="3"/>
  <c r="AG75" i="3"/>
  <c r="AG78" i="3"/>
  <c r="AG79" i="3"/>
  <c r="AG81" i="3"/>
  <c r="AG76" i="3"/>
  <c r="AG82" i="3"/>
  <c r="AG83" i="3"/>
  <c r="AG80" i="3"/>
  <c r="AG84" i="3"/>
  <c r="AG77" i="3"/>
  <c r="AG85" i="3"/>
  <c r="AG93" i="3"/>
  <c r="AG94" i="3"/>
  <c r="AG101" i="3"/>
  <c r="AG102" i="3"/>
  <c r="AG95" i="3"/>
  <c r="AG96" i="3"/>
  <c r="AG88" i="3"/>
  <c r="AG103" i="3"/>
  <c r="AG89" i="3"/>
  <c r="AG97" i="3"/>
  <c r="AG98" i="3"/>
  <c r="AG104" i="3"/>
  <c r="AG105" i="3"/>
  <c r="AG106" i="3"/>
  <c r="AG107" i="3"/>
  <c r="AG90" i="3"/>
  <c r="AG99" i="3"/>
  <c r="AG91" i="3"/>
  <c r="AG100" i="3"/>
  <c r="AG92" i="3"/>
  <c r="AG108" i="3"/>
  <c r="AG109" i="3"/>
  <c r="AG129" i="3"/>
  <c r="AG130" i="3"/>
  <c r="AG131" i="3"/>
  <c r="AG136" i="3"/>
  <c r="AG132" i="3"/>
  <c r="AG133" i="3"/>
  <c r="AG134" i="3"/>
  <c r="AG137" i="3"/>
  <c r="AG135" i="3"/>
  <c r="AG151" i="3"/>
  <c r="AG154" i="3"/>
  <c r="AG155" i="3"/>
  <c r="AG156" i="3"/>
  <c r="AG157" i="3"/>
  <c r="AG158" i="3"/>
  <c r="AG148" i="3"/>
  <c r="AG149" i="3"/>
  <c r="AG152" i="3"/>
  <c r="AG150" i="3"/>
  <c r="AG153" i="3"/>
  <c r="AG159" i="3"/>
  <c r="AG86" i="3"/>
  <c r="AG87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38" i="3"/>
  <c r="AG139" i="3"/>
  <c r="AG140" i="3"/>
  <c r="AG141" i="3"/>
  <c r="AG142" i="3"/>
  <c r="AG143" i="3"/>
  <c r="AG144" i="3"/>
  <c r="AG145" i="3"/>
  <c r="AG146" i="3"/>
  <c r="AG147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4" i="3"/>
  <c r="AG223" i="3"/>
  <c r="AG222" i="3"/>
  <c r="AG225" i="3"/>
  <c r="AG231" i="3"/>
  <c r="AG227" i="3"/>
  <c r="AG228" i="3"/>
  <c r="AG229" i="3"/>
  <c r="AG226" i="3"/>
  <c r="AG230" i="3"/>
  <c r="AG237" i="3"/>
  <c r="AG232" i="3"/>
  <c r="AG238" i="3"/>
  <c r="AG236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33" i="3"/>
  <c r="AG254" i="3"/>
  <c r="AG255" i="3"/>
  <c r="AG256" i="3"/>
  <c r="AG257" i="3"/>
  <c r="AG235" i="3"/>
  <c r="AG258" i="3"/>
  <c r="AG259" i="3"/>
  <c r="AG234" i="3"/>
  <c r="AG260" i="3"/>
  <c r="AG261" i="3"/>
  <c r="AG262" i="3"/>
  <c r="AG263" i="3"/>
  <c r="AG265" i="3"/>
  <c r="AG264" i="3"/>
  <c r="AG266" i="3"/>
  <c r="AG267" i="3"/>
  <c r="AG269" i="3"/>
  <c r="AG270" i="3"/>
  <c r="AG271" i="3"/>
  <c r="AG272" i="3"/>
  <c r="AG268" i="3"/>
  <c r="AG273" i="3"/>
  <c r="AG274" i="3"/>
  <c r="AG275" i="3"/>
  <c r="AG276" i="3"/>
  <c r="AG280" i="3"/>
  <c r="AG278" i="3"/>
  <c r="AG277" i="3"/>
  <c r="AG279" i="3"/>
  <c r="AG281" i="3"/>
  <c r="AG295" i="3"/>
  <c r="AG284" i="3"/>
  <c r="AG286" i="3"/>
  <c r="AG299" i="3"/>
  <c r="AG283" i="3"/>
  <c r="AG290" i="3"/>
  <c r="AG300" i="3"/>
  <c r="AG301" i="3"/>
  <c r="AG302" i="3"/>
  <c r="AG303" i="3"/>
  <c r="AG294" i="3"/>
  <c r="AG304" i="3"/>
  <c r="AG305" i="3"/>
  <c r="AG289" i="3"/>
  <c r="AG306" i="3"/>
  <c r="AG307" i="3"/>
  <c r="AG285" i="3"/>
  <c r="AG308" i="3"/>
  <c r="AG309" i="3"/>
  <c r="AG310" i="3"/>
  <c r="AG287" i="3"/>
  <c r="AG311" i="3"/>
  <c r="AG312" i="3"/>
  <c r="AG313" i="3"/>
  <c r="AG314" i="3"/>
  <c r="AG315" i="3"/>
  <c r="AG316" i="3"/>
  <c r="AG317" i="3"/>
  <c r="AG318" i="3"/>
  <c r="AG319" i="3"/>
  <c r="AG320" i="3"/>
  <c r="AG296" i="3"/>
  <c r="AG321" i="3"/>
  <c r="AG322" i="3"/>
  <c r="AG323" i="3"/>
  <c r="AG324" i="3"/>
  <c r="AG293" i="3"/>
  <c r="AG325" i="3"/>
  <c r="AG291" i="3"/>
  <c r="AG326" i="3"/>
  <c r="AG327" i="3"/>
  <c r="AG328" i="3"/>
  <c r="AG329" i="3"/>
  <c r="AG282" i="3"/>
  <c r="AG288" i="3"/>
  <c r="AG292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297" i="3"/>
  <c r="AG298" i="3"/>
  <c r="AG342" i="3"/>
  <c r="AG344" i="3"/>
  <c r="AG343" i="3"/>
  <c r="AG345" i="3"/>
  <c r="AG346" i="3"/>
  <c r="AG351" i="3"/>
  <c r="AG347" i="3"/>
  <c r="AG349" i="3"/>
  <c r="AG350" i="3"/>
  <c r="AG352" i="3"/>
  <c r="AG348" i="3"/>
  <c r="AG355" i="3"/>
  <c r="AG357" i="3"/>
  <c r="AG353" i="3"/>
  <c r="AG359" i="3"/>
  <c r="AG354" i="3"/>
  <c r="AG364" i="3"/>
  <c r="AG365" i="3"/>
  <c r="AG366" i="3"/>
  <c r="AG361" i="3"/>
  <c r="AG367" i="3"/>
  <c r="AG368" i="3"/>
  <c r="AG369" i="3"/>
  <c r="AG370" i="3"/>
  <c r="AG371" i="3"/>
  <c r="AG372" i="3"/>
  <c r="AG362" i="3"/>
  <c r="AG373" i="3"/>
  <c r="AG358" i="3"/>
  <c r="AG374" i="3"/>
  <c r="AG375" i="3"/>
  <c r="AG376" i="3"/>
  <c r="AG356" i="3"/>
  <c r="AG377" i="3"/>
  <c r="AG378" i="3"/>
  <c r="AG379" i="3"/>
  <c r="AG380" i="3"/>
  <c r="AG360" i="3"/>
  <c r="AG381" i="3"/>
  <c r="AG382" i="3"/>
  <c r="AG383" i="3"/>
  <c r="AG363" i="3"/>
  <c r="AG384" i="3"/>
  <c r="AG386" i="3"/>
  <c r="AG387" i="3"/>
  <c r="AG388" i="3"/>
  <c r="AG389" i="3"/>
  <c r="AG390" i="3"/>
  <c r="AG391" i="3"/>
  <c r="AG392" i="3"/>
  <c r="AG385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" i="3"/>
  <c r="E307" i="7"/>
  <c r="D307" i="7"/>
  <c r="F307" i="7" s="1"/>
  <c r="E306" i="7"/>
  <c r="D306" i="7"/>
  <c r="F306" i="7" s="1"/>
  <c r="F305" i="7"/>
  <c r="E305" i="7"/>
  <c r="D305" i="7"/>
  <c r="E304" i="7"/>
  <c r="F304" i="7" s="1"/>
  <c r="D304" i="7"/>
  <c r="E303" i="7"/>
  <c r="D303" i="7"/>
  <c r="F303" i="7" s="1"/>
  <c r="E302" i="7"/>
  <c r="D302" i="7"/>
  <c r="F302" i="7" s="1"/>
  <c r="E301" i="7"/>
  <c r="D301" i="7"/>
  <c r="F301" i="7" s="1"/>
  <c r="E300" i="7"/>
  <c r="F300" i="7" s="1"/>
  <c r="D300" i="7"/>
  <c r="E299" i="7"/>
  <c r="D299" i="7"/>
  <c r="F299" i="7" s="1"/>
  <c r="E298" i="7"/>
  <c r="D298" i="7"/>
  <c r="F298" i="7" s="1"/>
  <c r="F297" i="7"/>
  <c r="E297" i="7"/>
  <c r="D297" i="7"/>
  <c r="E296" i="7"/>
  <c r="F296" i="7" s="1"/>
  <c r="D296" i="7"/>
  <c r="E295" i="7"/>
  <c r="D295" i="7"/>
  <c r="F295" i="7" s="1"/>
  <c r="E294" i="7"/>
  <c r="D294" i="7"/>
  <c r="F294" i="7" s="1"/>
  <c r="E293" i="7"/>
  <c r="D293" i="7"/>
  <c r="F293" i="7" s="1"/>
  <c r="E292" i="7"/>
  <c r="F292" i="7" s="1"/>
  <c r="D292" i="7"/>
  <c r="E291" i="7"/>
  <c r="D291" i="7"/>
  <c r="F291" i="7" s="1"/>
  <c r="E290" i="7"/>
  <c r="D290" i="7"/>
  <c r="F290" i="7" s="1"/>
  <c r="F289" i="7"/>
  <c r="E289" i="7"/>
  <c r="D289" i="7"/>
  <c r="F288" i="7"/>
  <c r="E288" i="7"/>
  <c r="D288" i="7"/>
  <c r="E287" i="7"/>
  <c r="D287" i="7"/>
  <c r="F287" i="7" s="1"/>
  <c r="E286" i="7"/>
  <c r="D286" i="7"/>
  <c r="F286" i="7" s="1"/>
  <c r="E285" i="7"/>
  <c r="D285" i="7"/>
  <c r="F285" i="7" s="1"/>
  <c r="E284" i="7"/>
  <c r="F284" i="7" s="1"/>
  <c r="D284" i="7"/>
  <c r="E283" i="7"/>
  <c r="D283" i="7"/>
  <c r="F283" i="7" s="1"/>
  <c r="E282" i="7"/>
  <c r="D282" i="7"/>
  <c r="F281" i="7"/>
  <c r="E281" i="7"/>
  <c r="D281" i="7"/>
  <c r="F280" i="7"/>
  <c r="E280" i="7"/>
  <c r="D280" i="7"/>
  <c r="E279" i="7"/>
  <c r="D279" i="7"/>
  <c r="F279" i="7" s="1"/>
  <c r="E278" i="7"/>
  <c r="D278" i="7"/>
  <c r="F278" i="7" s="1"/>
  <c r="E277" i="7"/>
  <c r="D277" i="7"/>
  <c r="F277" i="7" s="1"/>
  <c r="E276" i="7"/>
  <c r="F276" i="7" s="1"/>
  <c r="D276" i="7"/>
  <c r="E275" i="7"/>
  <c r="F275" i="7" s="1"/>
  <c r="D275" i="7"/>
  <c r="E274" i="7"/>
  <c r="D274" i="7"/>
  <c r="F274" i="7" s="1"/>
  <c r="F273" i="7"/>
  <c r="E273" i="7"/>
  <c r="D273" i="7"/>
  <c r="F272" i="7"/>
  <c r="E272" i="7"/>
  <c r="D272" i="7"/>
  <c r="F271" i="7"/>
  <c r="E271" i="7"/>
  <c r="D271" i="7"/>
  <c r="E270" i="7"/>
  <c r="D270" i="7"/>
  <c r="F270" i="7" s="1"/>
  <c r="E269" i="7"/>
  <c r="D269" i="7"/>
  <c r="F269" i="7" s="1"/>
  <c r="E268" i="7"/>
  <c r="F268" i="7" s="1"/>
  <c r="D268" i="7"/>
  <c r="E267" i="7"/>
  <c r="F267" i="7" s="1"/>
  <c r="D267" i="7"/>
  <c r="E266" i="7"/>
  <c r="D266" i="7"/>
  <c r="F265" i="7"/>
  <c r="E265" i="7"/>
  <c r="D265" i="7"/>
  <c r="F264" i="7"/>
  <c r="E264" i="7"/>
  <c r="D264" i="7"/>
  <c r="F263" i="7"/>
  <c r="E263" i="7"/>
  <c r="D263" i="7"/>
  <c r="E262" i="7"/>
  <c r="D262" i="7"/>
  <c r="F262" i="7" s="1"/>
  <c r="E261" i="7"/>
  <c r="D261" i="7"/>
  <c r="F261" i="7" s="1"/>
  <c r="E260" i="7"/>
  <c r="F260" i="7" s="1"/>
  <c r="D260" i="7"/>
  <c r="E259" i="7"/>
  <c r="F259" i="7" s="1"/>
  <c r="D259" i="7"/>
  <c r="E258" i="7"/>
  <c r="D258" i="7"/>
  <c r="F258" i="7" s="1"/>
  <c r="F257" i="7"/>
  <c r="E257" i="7"/>
  <c r="D257" i="7"/>
  <c r="F256" i="7"/>
  <c r="E256" i="7"/>
  <c r="D256" i="7"/>
  <c r="E255" i="7"/>
  <c r="D255" i="7"/>
  <c r="F255" i="7" s="1"/>
  <c r="E254" i="7"/>
  <c r="D254" i="7"/>
  <c r="F254" i="7" s="1"/>
  <c r="E253" i="7"/>
  <c r="D253" i="7"/>
  <c r="F253" i="7" s="1"/>
  <c r="E252" i="7"/>
  <c r="F252" i="7" s="1"/>
  <c r="D252" i="7"/>
  <c r="E251" i="7"/>
  <c r="D251" i="7"/>
  <c r="F251" i="7" s="1"/>
  <c r="E250" i="7"/>
  <c r="D250" i="7"/>
  <c r="F249" i="7"/>
  <c r="E249" i="7"/>
  <c r="D249" i="7"/>
  <c r="F248" i="7"/>
  <c r="E248" i="7"/>
  <c r="D248" i="7"/>
  <c r="E247" i="7"/>
  <c r="D247" i="7"/>
  <c r="F247" i="7" s="1"/>
  <c r="E246" i="7"/>
  <c r="D246" i="7"/>
  <c r="F246" i="7" s="1"/>
  <c r="E245" i="7"/>
  <c r="D245" i="7"/>
  <c r="F245" i="7" s="1"/>
  <c r="E244" i="7"/>
  <c r="F244" i="7" s="1"/>
  <c r="D244" i="7"/>
  <c r="E243" i="7"/>
  <c r="D243" i="7"/>
  <c r="F243" i="7" s="1"/>
  <c r="E242" i="7"/>
  <c r="D242" i="7"/>
  <c r="F241" i="7"/>
  <c r="E241" i="7"/>
  <c r="D241" i="7"/>
  <c r="F240" i="7"/>
  <c r="E240" i="7"/>
  <c r="D240" i="7"/>
  <c r="F239" i="7"/>
  <c r="E239" i="7"/>
  <c r="D239" i="7"/>
  <c r="E238" i="7"/>
  <c r="D238" i="7"/>
  <c r="F238" i="7" s="1"/>
  <c r="E237" i="7"/>
  <c r="D237" i="7"/>
  <c r="F237" i="7" s="1"/>
  <c r="E236" i="7"/>
  <c r="F236" i="7" s="1"/>
  <c r="D236" i="7"/>
  <c r="E235" i="7"/>
  <c r="D235" i="7"/>
  <c r="F235" i="7" s="1"/>
  <c r="E234" i="7"/>
  <c r="D234" i="7"/>
  <c r="F234" i="7" s="1"/>
  <c r="F233" i="7"/>
  <c r="E233" i="7"/>
  <c r="D233" i="7"/>
  <c r="F232" i="7"/>
  <c r="E232" i="7"/>
  <c r="D232" i="7"/>
  <c r="E231" i="7"/>
  <c r="D231" i="7"/>
  <c r="F231" i="7" s="1"/>
  <c r="E230" i="7"/>
  <c r="D230" i="7"/>
  <c r="F230" i="7" s="1"/>
  <c r="E229" i="7"/>
  <c r="D229" i="7"/>
  <c r="F229" i="7" s="1"/>
  <c r="E228" i="7"/>
  <c r="F228" i="7" s="1"/>
  <c r="D228" i="7"/>
  <c r="E227" i="7"/>
  <c r="D227" i="7"/>
  <c r="F227" i="7" s="1"/>
  <c r="E226" i="7"/>
  <c r="D226" i="7"/>
  <c r="F226" i="7" s="1"/>
  <c r="F225" i="7"/>
  <c r="E225" i="7"/>
  <c r="D225" i="7"/>
  <c r="F224" i="7"/>
  <c r="E224" i="7"/>
  <c r="D224" i="7"/>
  <c r="E223" i="7"/>
  <c r="D223" i="7"/>
  <c r="F223" i="7" s="1"/>
  <c r="E222" i="7"/>
  <c r="D222" i="7"/>
  <c r="F222" i="7" s="1"/>
  <c r="E221" i="7"/>
  <c r="D221" i="7"/>
  <c r="F221" i="7" s="1"/>
  <c r="E220" i="7"/>
  <c r="F220" i="7" s="1"/>
  <c r="D220" i="7"/>
  <c r="E219" i="7"/>
  <c r="D219" i="7"/>
  <c r="F219" i="7" s="1"/>
  <c r="E218" i="7"/>
  <c r="D218" i="7"/>
  <c r="F218" i="7" s="1"/>
  <c r="F217" i="7"/>
  <c r="E217" i="7"/>
  <c r="D217" i="7"/>
  <c r="F216" i="7"/>
  <c r="E216" i="7"/>
  <c r="D216" i="7"/>
  <c r="F215" i="7"/>
  <c r="E215" i="7"/>
  <c r="D215" i="7"/>
  <c r="E214" i="7"/>
  <c r="D214" i="7"/>
  <c r="F214" i="7" s="1"/>
  <c r="E213" i="7"/>
  <c r="D213" i="7"/>
  <c r="F213" i="7" s="1"/>
  <c r="E212" i="7"/>
  <c r="F212" i="7" s="1"/>
  <c r="D212" i="7"/>
  <c r="E211" i="7"/>
  <c r="D211" i="7"/>
  <c r="F211" i="7" s="1"/>
  <c r="E210" i="7"/>
  <c r="D210" i="7"/>
  <c r="F209" i="7"/>
  <c r="E209" i="7"/>
  <c r="D209" i="7"/>
  <c r="F208" i="7"/>
  <c r="E208" i="7"/>
  <c r="D208" i="7"/>
  <c r="F207" i="7"/>
  <c r="E207" i="7"/>
  <c r="D207" i="7"/>
  <c r="E206" i="7"/>
  <c r="D206" i="7"/>
  <c r="F206" i="7" s="1"/>
  <c r="E205" i="7"/>
  <c r="D205" i="7"/>
  <c r="F205" i="7" s="1"/>
  <c r="E204" i="7"/>
  <c r="F204" i="7" s="1"/>
  <c r="D204" i="7"/>
  <c r="E203" i="7"/>
  <c r="D203" i="7"/>
  <c r="F203" i="7" s="1"/>
  <c r="E202" i="7"/>
  <c r="D202" i="7"/>
  <c r="F201" i="7"/>
  <c r="E201" i="7"/>
  <c r="D201" i="7"/>
  <c r="F200" i="7"/>
  <c r="E200" i="7"/>
  <c r="D200" i="7"/>
  <c r="F199" i="7"/>
  <c r="E199" i="7"/>
  <c r="D199" i="7"/>
  <c r="E198" i="7"/>
  <c r="D198" i="7"/>
  <c r="F198" i="7" s="1"/>
  <c r="E197" i="7"/>
  <c r="D197" i="7"/>
  <c r="F197" i="7" s="1"/>
  <c r="E196" i="7"/>
  <c r="F196" i="7" s="1"/>
  <c r="D196" i="7"/>
  <c r="E195" i="7"/>
  <c r="F195" i="7" s="1"/>
  <c r="D195" i="7"/>
  <c r="E194" i="7"/>
  <c r="D194" i="7"/>
  <c r="F193" i="7"/>
  <c r="E193" i="7"/>
  <c r="D193" i="7"/>
  <c r="F192" i="7"/>
  <c r="E192" i="7"/>
  <c r="D192" i="7"/>
  <c r="E191" i="7"/>
  <c r="D191" i="7"/>
  <c r="F191" i="7" s="1"/>
  <c r="E190" i="7"/>
  <c r="D190" i="7"/>
  <c r="F190" i="7" s="1"/>
  <c r="E189" i="7"/>
  <c r="D189" i="7"/>
  <c r="F189" i="7" s="1"/>
  <c r="E188" i="7"/>
  <c r="F188" i="7" s="1"/>
  <c r="D188" i="7"/>
  <c r="E187" i="7"/>
  <c r="F187" i="7" s="1"/>
  <c r="D187" i="7"/>
  <c r="E186" i="7"/>
  <c r="D186" i="7"/>
  <c r="F185" i="7"/>
  <c r="E185" i="7"/>
  <c r="D185" i="7"/>
  <c r="F184" i="7"/>
  <c r="E184" i="7"/>
  <c r="D184" i="7"/>
  <c r="E183" i="7"/>
  <c r="D183" i="7"/>
  <c r="F183" i="7" s="1"/>
  <c r="E182" i="7"/>
  <c r="D182" i="7"/>
  <c r="F182" i="7" s="1"/>
  <c r="E181" i="7"/>
  <c r="D181" i="7"/>
  <c r="F181" i="7" s="1"/>
  <c r="E180" i="7"/>
  <c r="F180" i="7" s="1"/>
  <c r="D180" i="7"/>
  <c r="E179" i="7"/>
  <c r="F179" i="7" s="1"/>
  <c r="D179" i="7"/>
  <c r="E178" i="7"/>
  <c r="D178" i="7"/>
  <c r="F177" i="7"/>
  <c r="E177" i="7"/>
  <c r="D177" i="7"/>
  <c r="F176" i="7"/>
  <c r="E176" i="7"/>
  <c r="D176" i="7"/>
  <c r="F175" i="7"/>
  <c r="E175" i="7"/>
  <c r="D175" i="7"/>
  <c r="E174" i="7"/>
  <c r="D174" i="7"/>
  <c r="F174" i="7" s="1"/>
  <c r="E173" i="7"/>
  <c r="D173" i="7"/>
  <c r="F173" i="7" s="1"/>
  <c r="E172" i="7"/>
  <c r="F172" i="7" s="1"/>
  <c r="D172" i="7"/>
  <c r="E171" i="7"/>
  <c r="F171" i="7" s="1"/>
  <c r="D171" i="7"/>
  <c r="E170" i="7"/>
  <c r="D170" i="7"/>
  <c r="F170" i="7" s="1"/>
  <c r="F169" i="7"/>
  <c r="E169" i="7"/>
  <c r="D169" i="7"/>
  <c r="F168" i="7"/>
  <c r="E168" i="7"/>
  <c r="D168" i="7"/>
  <c r="E167" i="7"/>
  <c r="D167" i="7"/>
  <c r="F167" i="7" s="1"/>
  <c r="E166" i="7"/>
  <c r="D166" i="7"/>
  <c r="F166" i="7" s="1"/>
  <c r="E165" i="7"/>
  <c r="D165" i="7"/>
  <c r="F165" i="7" s="1"/>
  <c r="E164" i="7"/>
  <c r="F164" i="7" s="1"/>
  <c r="D164" i="7"/>
  <c r="E163" i="7"/>
  <c r="F163" i="7" s="1"/>
  <c r="D163" i="7"/>
  <c r="E162" i="7"/>
  <c r="D162" i="7"/>
  <c r="F162" i="7" s="1"/>
  <c r="F161" i="7"/>
  <c r="E161" i="7"/>
  <c r="D161" i="7"/>
  <c r="F160" i="7"/>
  <c r="E160" i="7"/>
  <c r="D160" i="7"/>
  <c r="E159" i="7"/>
  <c r="D159" i="7"/>
  <c r="F159" i="7" s="1"/>
  <c r="E158" i="7"/>
  <c r="D158" i="7"/>
  <c r="F158" i="7" s="1"/>
  <c r="E157" i="7"/>
  <c r="D157" i="7"/>
  <c r="F157" i="7" s="1"/>
  <c r="E156" i="7"/>
  <c r="F156" i="7" s="1"/>
  <c r="D156" i="7"/>
  <c r="E155" i="7"/>
  <c r="F155" i="7" s="1"/>
  <c r="D155" i="7"/>
  <c r="E154" i="7"/>
  <c r="D154" i="7"/>
  <c r="F154" i="7" s="1"/>
  <c r="F153" i="7"/>
  <c r="E153" i="7"/>
  <c r="D153" i="7"/>
  <c r="F152" i="7"/>
  <c r="E152" i="7"/>
  <c r="D152" i="7"/>
  <c r="E151" i="7"/>
  <c r="D151" i="7"/>
  <c r="F151" i="7" s="1"/>
  <c r="E150" i="7"/>
  <c r="D150" i="7"/>
  <c r="F150" i="7" s="1"/>
  <c r="E149" i="7"/>
  <c r="D149" i="7"/>
  <c r="F149" i="7" s="1"/>
  <c r="E148" i="7"/>
  <c r="F148" i="7" s="1"/>
  <c r="D148" i="7"/>
  <c r="E147" i="7"/>
  <c r="F147" i="7" s="1"/>
  <c r="D147" i="7"/>
  <c r="E146" i="7"/>
  <c r="D146" i="7"/>
  <c r="F146" i="7" s="1"/>
  <c r="F145" i="7"/>
  <c r="E145" i="7"/>
  <c r="D145" i="7"/>
  <c r="F144" i="7"/>
  <c r="E144" i="7"/>
  <c r="D144" i="7"/>
  <c r="F143" i="7"/>
  <c r="E143" i="7"/>
  <c r="D143" i="7"/>
  <c r="E142" i="7"/>
  <c r="D142" i="7"/>
  <c r="F142" i="7" s="1"/>
  <c r="E141" i="7"/>
  <c r="D141" i="7"/>
  <c r="F141" i="7" s="1"/>
  <c r="E140" i="7"/>
  <c r="F140" i="7" s="1"/>
  <c r="D140" i="7"/>
  <c r="E139" i="7"/>
  <c r="F139" i="7" s="1"/>
  <c r="D139" i="7"/>
  <c r="E138" i="7"/>
  <c r="D138" i="7"/>
  <c r="F137" i="7"/>
  <c r="E137" i="7"/>
  <c r="D137" i="7"/>
  <c r="F136" i="7"/>
  <c r="E136" i="7"/>
  <c r="D136" i="7"/>
  <c r="F135" i="7"/>
  <c r="E135" i="7"/>
  <c r="D135" i="7"/>
  <c r="E134" i="7"/>
  <c r="D134" i="7"/>
  <c r="F134" i="7" s="1"/>
  <c r="E133" i="7"/>
  <c r="D133" i="7"/>
  <c r="F133" i="7" s="1"/>
  <c r="E132" i="7"/>
  <c r="F132" i="7" s="1"/>
  <c r="D132" i="7"/>
  <c r="E131" i="7"/>
  <c r="F131" i="7" s="1"/>
  <c r="D131" i="7"/>
  <c r="E130" i="7"/>
  <c r="D130" i="7"/>
  <c r="F129" i="7"/>
  <c r="E129" i="7"/>
  <c r="D129" i="7"/>
  <c r="F128" i="7"/>
  <c r="E128" i="7"/>
  <c r="D128" i="7"/>
  <c r="E127" i="7"/>
  <c r="D127" i="7"/>
  <c r="F127" i="7" s="1"/>
  <c r="E126" i="7"/>
  <c r="D126" i="7"/>
  <c r="F126" i="7" s="1"/>
  <c r="E125" i="7"/>
  <c r="D125" i="7"/>
  <c r="F125" i="7" s="1"/>
  <c r="E124" i="7"/>
  <c r="F124" i="7" s="1"/>
  <c r="D124" i="7"/>
  <c r="E123" i="7"/>
  <c r="F123" i="7" s="1"/>
  <c r="D123" i="7"/>
  <c r="E122" i="7"/>
  <c r="D122" i="7"/>
  <c r="F121" i="7"/>
  <c r="E121" i="7"/>
  <c r="D121" i="7"/>
  <c r="F120" i="7"/>
  <c r="E120" i="7"/>
  <c r="D120" i="7"/>
  <c r="E119" i="7"/>
  <c r="D119" i="7"/>
  <c r="F119" i="7" s="1"/>
  <c r="E118" i="7"/>
  <c r="D118" i="7"/>
  <c r="F118" i="7" s="1"/>
  <c r="E117" i="7"/>
  <c r="D117" i="7"/>
  <c r="F117" i="7" s="1"/>
  <c r="E116" i="7"/>
  <c r="F116" i="7" s="1"/>
  <c r="D116" i="7"/>
  <c r="E115" i="7"/>
  <c r="F115" i="7" s="1"/>
  <c r="D115" i="7"/>
  <c r="E114" i="7"/>
  <c r="D114" i="7"/>
  <c r="F113" i="7"/>
  <c r="E113" i="7"/>
  <c r="D113" i="7"/>
  <c r="F112" i="7"/>
  <c r="E112" i="7"/>
  <c r="D112" i="7"/>
  <c r="F111" i="7"/>
  <c r="E111" i="7"/>
  <c r="D111" i="7"/>
  <c r="E110" i="7"/>
  <c r="D110" i="7"/>
  <c r="F110" i="7" s="1"/>
  <c r="E109" i="7"/>
  <c r="D109" i="7"/>
  <c r="F109" i="7" s="1"/>
  <c r="E108" i="7"/>
  <c r="F108" i="7" s="1"/>
  <c r="D108" i="7"/>
  <c r="E107" i="7"/>
  <c r="F107" i="7" s="1"/>
  <c r="D107" i="7"/>
  <c r="E106" i="7"/>
  <c r="D106" i="7"/>
  <c r="F106" i="7" s="1"/>
  <c r="F105" i="7"/>
  <c r="E105" i="7"/>
  <c r="D105" i="7"/>
  <c r="F104" i="7"/>
  <c r="E104" i="7"/>
  <c r="D104" i="7"/>
  <c r="E103" i="7"/>
  <c r="D103" i="7"/>
  <c r="F103" i="7" s="1"/>
  <c r="E102" i="7"/>
  <c r="D102" i="7"/>
  <c r="F102" i="7" s="1"/>
  <c r="E101" i="7"/>
  <c r="D101" i="7"/>
  <c r="F101" i="7" s="1"/>
  <c r="E100" i="7"/>
  <c r="F100" i="7" s="1"/>
  <c r="D100" i="7"/>
  <c r="E99" i="7"/>
  <c r="F99" i="7" s="1"/>
  <c r="D99" i="7"/>
  <c r="E98" i="7"/>
  <c r="D98" i="7"/>
  <c r="F98" i="7" s="1"/>
  <c r="F97" i="7"/>
  <c r="E97" i="7"/>
  <c r="D97" i="7"/>
  <c r="F96" i="7"/>
  <c r="E96" i="7"/>
  <c r="D96" i="7"/>
  <c r="F95" i="7"/>
  <c r="E95" i="7"/>
  <c r="D95" i="7"/>
  <c r="E94" i="7"/>
  <c r="D94" i="7"/>
  <c r="F94" i="7" s="1"/>
  <c r="E93" i="7"/>
  <c r="D93" i="7"/>
  <c r="F93" i="7" s="1"/>
  <c r="E92" i="7"/>
  <c r="F92" i="7" s="1"/>
  <c r="D92" i="7"/>
  <c r="E91" i="7"/>
  <c r="F91" i="7" s="1"/>
  <c r="D91" i="7"/>
  <c r="E90" i="7"/>
  <c r="D90" i="7"/>
  <c r="F90" i="7" s="1"/>
  <c r="F89" i="7"/>
  <c r="E89" i="7"/>
  <c r="D89" i="7"/>
  <c r="F88" i="7"/>
  <c r="E88" i="7"/>
  <c r="D88" i="7"/>
  <c r="E87" i="7"/>
  <c r="D87" i="7"/>
  <c r="F87" i="7" s="1"/>
  <c r="E86" i="7"/>
  <c r="D86" i="7"/>
  <c r="F86" i="7" s="1"/>
  <c r="E85" i="7"/>
  <c r="D85" i="7"/>
  <c r="F85" i="7" s="1"/>
  <c r="E84" i="7"/>
  <c r="F84" i="7" s="1"/>
  <c r="D84" i="7"/>
  <c r="E83" i="7"/>
  <c r="F83" i="7" s="1"/>
  <c r="D83" i="7"/>
  <c r="E82" i="7"/>
  <c r="D82" i="7"/>
  <c r="F82" i="7" s="1"/>
  <c r="F81" i="7"/>
  <c r="E81" i="7"/>
  <c r="D81" i="7"/>
  <c r="F80" i="7"/>
  <c r="E80" i="7"/>
  <c r="D80" i="7"/>
  <c r="F79" i="7"/>
  <c r="E79" i="7"/>
  <c r="D79" i="7"/>
  <c r="E78" i="7"/>
  <c r="D78" i="7"/>
  <c r="F78" i="7" s="1"/>
  <c r="E77" i="7"/>
  <c r="D77" i="7"/>
  <c r="F77" i="7" s="1"/>
  <c r="E76" i="7"/>
  <c r="F76" i="7" s="1"/>
  <c r="D76" i="7"/>
  <c r="E75" i="7"/>
  <c r="F75" i="7" s="1"/>
  <c r="D75" i="7"/>
  <c r="E74" i="7"/>
  <c r="D74" i="7"/>
  <c r="F73" i="7"/>
  <c r="E73" i="7"/>
  <c r="D73" i="7"/>
  <c r="F72" i="7"/>
  <c r="E72" i="7"/>
  <c r="D72" i="7"/>
  <c r="F71" i="7"/>
  <c r="E71" i="7"/>
  <c r="D71" i="7"/>
  <c r="E70" i="7"/>
  <c r="D70" i="7"/>
  <c r="F70" i="7" s="1"/>
  <c r="E69" i="7"/>
  <c r="D69" i="7"/>
  <c r="F69" i="7" s="1"/>
  <c r="E68" i="7"/>
  <c r="F68" i="7" s="1"/>
  <c r="D68" i="7"/>
  <c r="E67" i="7"/>
  <c r="F67" i="7" s="1"/>
  <c r="D67" i="7"/>
  <c r="E66" i="7"/>
  <c r="D66" i="7"/>
  <c r="F65" i="7"/>
  <c r="E65" i="7"/>
  <c r="D65" i="7"/>
  <c r="F64" i="7"/>
  <c r="E64" i="7"/>
  <c r="D64" i="7"/>
  <c r="E63" i="7"/>
  <c r="D63" i="7"/>
  <c r="F63" i="7" s="1"/>
  <c r="E62" i="7"/>
  <c r="D62" i="7"/>
  <c r="F62" i="7" s="1"/>
  <c r="E61" i="7"/>
  <c r="D61" i="7"/>
  <c r="F61" i="7" s="1"/>
  <c r="E60" i="7"/>
  <c r="F60" i="7" s="1"/>
  <c r="D60" i="7"/>
  <c r="E59" i="7"/>
  <c r="F59" i="7" s="1"/>
  <c r="D59" i="7"/>
  <c r="E58" i="7"/>
  <c r="D58" i="7"/>
  <c r="F57" i="7"/>
  <c r="E57" i="7"/>
  <c r="D57" i="7"/>
  <c r="F56" i="7"/>
  <c r="E56" i="7"/>
  <c r="D56" i="7"/>
  <c r="E55" i="7"/>
  <c r="D55" i="7"/>
  <c r="F55" i="7" s="1"/>
  <c r="E54" i="7"/>
  <c r="D54" i="7"/>
  <c r="F54" i="7" s="1"/>
  <c r="E53" i="7"/>
  <c r="D53" i="7"/>
  <c r="F53" i="7" s="1"/>
  <c r="E52" i="7"/>
  <c r="F52" i="7" s="1"/>
  <c r="D52" i="7"/>
  <c r="E51" i="7"/>
  <c r="F51" i="7" s="1"/>
  <c r="D51" i="7"/>
  <c r="E50" i="7"/>
  <c r="D50" i="7"/>
  <c r="F49" i="7"/>
  <c r="E49" i="7"/>
  <c r="D49" i="7"/>
  <c r="F48" i="7"/>
  <c r="E48" i="7"/>
  <c r="D48" i="7"/>
  <c r="E47" i="7"/>
  <c r="D47" i="7"/>
  <c r="F47" i="7" s="1"/>
  <c r="E46" i="7"/>
  <c r="D46" i="7"/>
  <c r="F46" i="7" s="1"/>
  <c r="E45" i="7"/>
  <c r="D45" i="7"/>
  <c r="F45" i="7" s="1"/>
  <c r="E44" i="7"/>
  <c r="F44" i="7" s="1"/>
  <c r="D44" i="7"/>
  <c r="E43" i="7"/>
  <c r="F43" i="7" s="1"/>
  <c r="D43" i="7"/>
  <c r="E42" i="7"/>
  <c r="D42" i="7"/>
  <c r="F42" i="7" s="1"/>
  <c r="F41" i="7"/>
  <c r="E41" i="7"/>
  <c r="D41" i="7"/>
  <c r="F40" i="7"/>
  <c r="E40" i="7"/>
  <c r="D40" i="7"/>
  <c r="E39" i="7"/>
  <c r="D39" i="7"/>
  <c r="F39" i="7" s="1"/>
  <c r="E38" i="7"/>
  <c r="D38" i="7"/>
  <c r="F38" i="7" s="1"/>
  <c r="E37" i="7"/>
  <c r="D37" i="7"/>
  <c r="F37" i="7" s="1"/>
  <c r="E36" i="7"/>
  <c r="F36" i="7" s="1"/>
  <c r="D36" i="7"/>
  <c r="E35" i="7"/>
  <c r="F35" i="7" s="1"/>
  <c r="D35" i="7"/>
  <c r="E34" i="7"/>
  <c r="D34" i="7"/>
  <c r="F34" i="7" s="1"/>
  <c r="F33" i="7"/>
  <c r="E33" i="7"/>
  <c r="D33" i="7"/>
  <c r="F32" i="7"/>
  <c r="E32" i="7"/>
  <c r="D32" i="7"/>
  <c r="F31" i="7"/>
  <c r="E31" i="7"/>
  <c r="D31" i="7"/>
  <c r="E30" i="7"/>
  <c r="D30" i="7"/>
  <c r="F30" i="7" s="1"/>
  <c r="E29" i="7"/>
  <c r="D29" i="7"/>
  <c r="F29" i="7" s="1"/>
  <c r="E28" i="7"/>
  <c r="F28" i="7" s="1"/>
  <c r="D28" i="7"/>
  <c r="E27" i="7"/>
  <c r="F27" i="7" s="1"/>
  <c r="D27" i="7"/>
  <c r="E26" i="7"/>
  <c r="D26" i="7"/>
  <c r="F26" i="7" s="1"/>
  <c r="F25" i="7"/>
  <c r="E25" i="7"/>
  <c r="D25" i="7"/>
  <c r="F24" i="7"/>
  <c r="E24" i="7"/>
  <c r="D24" i="7"/>
  <c r="E23" i="7"/>
  <c r="D23" i="7"/>
  <c r="F23" i="7" s="1"/>
  <c r="E22" i="7"/>
  <c r="D22" i="7"/>
  <c r="F22" i="7" s="1"/>
  <c r="E21" i="7"/>
  <c r="D21" i="7"/>
  <c r="F21" i="7" s="1"/>
  <c r="E20" i="7"/>
  <c r="F20" i="7" s="1"/>
  <c r="D20" i="7"/>
  <c r="E19" i="7"/>
  <c r="F19" i="7" s="1"/>
  <c r="D19" i="7"/>
  <c r="E18" i="7"/>
  <c r="D18" i="7"/>
  <c r="F18" i="7" s="1"/>
  <c r="F17" i="7"/>
  <c r="E17" i="7"/>
  <c r="D17" i="7"/>
  <c r="F16" i="7"/>
  <c r="E16" i="7"/>
  <c r="D16" i="7"/>
  <c r="F15" i="7"/>
  <c r="E15" i="7"/>
  <c r="D15" i="7"/>
  <c r="E14" i="7"/>
  <c r="D14" i="7"/>
  <c r="F14" i="7" s="1"/>
  <c r="E13" i="7"/>
  <c r="D13" i="7"/>
  <c r="F13" i="7" s="1"/>
  <c r="E12" i="7"/>
  <c r="F12" i="7" s="1"/>
  <c r="D12" i="7"/>
  <c r="E11" i="7"/>
  <c r="F11" i="7" s="1"/>
  <c r="D11" i="7"/>
  <c r="E10" i="7"/>
  <c r="D10" i="7"/>
  <c r="F9" i="7"/>
  <c r="E9" i="7"/>
  <c r="D9" i="7"/>
  <c r="F8" i="7"/>
  <c r="E8" i="7"/>
  <c r="D8" i="7"/>
  <c r="F7" i="7"/>
  <c r="E7" i="7"/>
  <c r="D7" i="7"/>
  <c r="E6" i="7"/>
  <c r="D6" i="7"/>
  <c r="F6" i="7" s="1"/>
  <c r="E5" i="7"/>
  <c r="D5" i="7"/>
  <c r="F5" i="7" s="1"/>
  <c r="E4" i="7"/>
  <c r="F4" i="7" s="1"/>
  <c r="D4" i="7"/>
  <c r="E3" i="7"/>
  <c r="F3" i="7" s="1"/>
  <c r="D3" i="7"/>
  <c r="E2" i="7"/>
  <c r="D2" i="7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AN433" i="4"/>
  <c r="AM433" i="4"/>
  <c r="AE433" i="4"/>
  <c r="AN432" i="4"/>
  <c r="AM432" i="4"/>
  <c r="AE432" i="4"/>
  <c r="AN431" i="4"/>
  <c r="AM431" i="4"/>
  <c r="AE431" i="4"/>
  <c r="AN430" i="4"/>
  <c r="AM430" i="4"/>
  <c r="AE430" i="4"/>
  <c r="AN429" i="4"/>
  <c r="AM429" i="4"/>
  <c r="AE429" i="4"/>
  <c r="AN428" i="4"/>
  <c r="AM428" i="4"/>
  <c r="AE428" i="4"/>
  <c r="AN427" i="4"/>
  <c r="AM427" i="4"/>
  <c r="AE427" i="4"/>
  <c r="AN426" i="4"/>
  <c r="AM426" i="4"/>
  <c r="AE426" i="4"/>
  <c r="AN425" i="4"/>
  <c r="AM425" i="4"/>
  <c r="AE425" i="4"/>
  <c r="AN424" i="4"/>
  <c r="AM424" i="4"/>
  <c r="AE424" i="4"/>
  <c r="AN423" i="4"/>
  <c r="AM423" i="4"/>
  <c r="AE423" i="4"/>
  <c r="AN422" i="4"/>
  <c r="AM422" i="4"/>
  <c r="AE422" i="4"/>
  <c r="AN421" i="4"/>
  <c r="AM421" i="4"/>
  <c r="AE421" i="4"/>
  <c r="AN420" i="4"/>
  <c r="AM420" i="4"/>
  <c r="AE420" i="4"/>
  <c r="AN419" i="4"/>
  <c r="AM419" i="4"/>
  <c r="AE419" i="4"/>
  <c r="AN418" i="4"/>
  <c r="AM418" i="4"/>
  <c r="AE418" i="4"/>
  <c r="AN417" i="4"/>
  <c r="AM417" i="4"/>
  <c r="AE417" i="4"/>
  <c r="AN416" i="4"/>
  <c r="AM416" i="4"/>
  <c r="AE416" i="4"/>
  <c r="AN415" i="4"/>
  <c r="AM415" i="4"/>
  <c r="AE415" i="4"/>
  <c r="AN414" i="4"/>
  <c r="AM414" i="4"/>
  <c r="AE414" i="4"/>
  <c r="AN413" i="4"/>
  <c r="AM413" i="4"/>
  <c r="AE413" i="4"/>
  <c r="AN412" i="4"/>
  <c r="AM412" i="4"/>
  <c r="AE412" i="4"/>
  <c r="AN411" i="4"/>
  <c r="AM411" i="4"/>
  <c r="AE411" i="4"/>
  <c r="AN410" i="4"/>
  <c r="AM410" i="4"/>
  <c r="AE410" i="4"/>
  <c r="AN409" i="4"/>
  <c r="AM409" i="4"/>
  <c r="AE409" i="4"/>
  <c r="AN408" i="4"/>
  <c r="AM408" i="4"/>
  <c r="AE408" i="4"/>
  <c r="AN407" i="4"/>
  <c r="AM407" i="4"/>
  <c r="AE407" i="4"/>
  <c r="AN406" i="4"/>
  <c r="AM406" i="4"/>
  <c r="AE406" i="4"/>
  <c r="AN405" i="4"/>
  <c r="AM405" i="4"/>
  <c r="AE405" i="4"/>
  <c r="AN404" i="4"/>
  <c r="AM404" i="4"/>
  <c r="AE404" i="4"/>
  <c r="AN403" i="4"/>
  <c r="AM403" i="4"/>
  <c r="AE403" i="4"/>
  <c r="AN402" i="4"/>
  <c r="AM402" i="4"/>
  <c r="AE402" i="4"/>
  <c r="AN401" i="4"/>
  <c r="AM401" i="4"/>
  <c r="AE401" i="4"/>
  <c r="AN400" i="4"/>
  <c r="AM400" i="4"/>
  <c r="AE400" i="4"/>
  <c r="AN399" i="4"/>
  <c r="AM399" i="4"/>
  <c r="AE399" i="4"/>
  <c r="AN398" i="4"/>
  <c r="AM398" i="4"/>
  <c r="AE398" i="4"/>
  <c r="AN397" i="4"/>
  <c r="AM397" i="4"/>
  <c r="AE397" i="4"/>
  <c r="AN396" i="4"/>
  <c r="AM396" i="4"/>
  <c r="AE396" i="4"/>
  <c r="AN395" i="4"/>
  <c r="AM395" i="4"/>
  <c r="AE395" i="4"/>
  <c r="AN394" i="4"/>
  <c r="AM394" i="4"/>
  <c r="AE394" i="4"/>
  <c r="AN393" i="4"/>
  <c r="AM393" i="4"/>
  <c r="AE393" i="4"/>
  <c r="AN392" i="4"/>
  <c r="AM392" i="4"/>
  <c r="AE392" i="4"/>
  <c r="AN391" i="4"/>
  <c r="AM391" i="4"/>
  <c r="AE391" i="4"/>
  <c r="AN390" i="4"/>
  <c r="AM390" i="4"/>
  <c r="AE390" i="4"/>
  <c r="AN389" i="4"/>
  <c r="AM389" i="4"/>
  <c r="AE389" i="4"/>
  <c r="AN388" i="4"/>
  <c r="AM388" i="4"/>
  <c r="AE388" i="4"/>
  <c r="AN387" i="4"/>
  <c r="AM387" i="4"/>
  <c r="AE387" i="4"/>
  <c r="AN386" i="4"/>
  <c r="AM386" i="4"/>
  <c r="AE386" i="4"/>
  <c r="AN385" i="4"/>
  <c r="AM385" i="4"/>
  <c r="AE385" i="4"/>
  <c r="AN384" i="4"/>
  <c r="AM384" i="4"/>
  <c r="AE384" i="4"/>
  <c r="AN383" i="4"/>
  <c r="AM383" i="4"/>
  <c r="AE383" i="4"/>
  <c r="AN382" i="4"/>
  <c r="AM382" i="4"/>
  <c r="AE382" i="4"/>
  <c r="AN381" i="4"/>
  <c r="AM381" i="4"/>
  <c r="AE381" i="4"/>
  <c r="AN380" i="4"/>
  <c r="AM380" i="4"/>
  <c r="AE380" i="4"/>
  <c r="AN379" i="4"/>
  <c r="AM379" i="4"/>
  <c r="AE379" i="4"/>
  <c r="AN378" i="4"/>
  <c r="AM378" i="4"/>
  <c r="AE378" i="4"/>
  <c r="AN377" i="4"/>
  <c r="AM377" i="4"/>
  <c r="AE377" i="4"/>
  <c r="AN376" i="4"/>
  <c r="AM376" i="4"/>
  <c r="AE376" i="4"/>
  <c r="AN375" i="4"/>
  <c r="AM375" i="4"/>
  <c r="AE375" i="4"/>
  <c r="AN374" i="4"/>
  <c r="AM374" i="4"/>
  <c r="AE374" i="4"/>
  <c r="AN373" i="4"/>
  <c r="AM373" i="4"/>
  <c r="AE373" i="4"/>
  <c r="AN372" i="4"/>
  <c r="AM372" i="4"/>
  <c r="AE372" i="4"/>
  <c r="AN371" i="4"/>
  <c r="AM371" i="4"/>
  <c r="AE371" i="4"/>
  <c r="AN370" i="4"/>
  <c r="AM370" i="4"/>
  <c r="AE370" i="4"/>
  <c r="AN369" i="4"/>
  <c r="AM369" i="4"/>
  <c r="AE369" i="4"/>
  <c r="AN368" i="4"/>
  <c r="AM368" i="4"/>
  <c r="AE368" i="4"/>
  <c r="AN367" i="4"/>
  <c r="AM367" i="4"/>
  <c r="AE367" i="4"/>
  <c r="AN366" i="4"/>
  <c r="AM366" i="4"/>
  <c r="AE366" i="4"/>
  <c r="AN365" i="4"/>
  <c r="AM365" i="4"/>
  <c r="AE365" i="4"/>
  <c r="AN364" i="4"/>
  <c r="AM364" i="4"/>
  <c r="AE364" i="4"/>
  <c r="AN363" i="4"/>
  <c r="AM363" i="4"/>
  <c r="AE363" i="4"/>
  <c r="AN362" i="4"/>
  <c r="AM362" i="4"/>
  <c r="AE362" i="4"/>
  <c r="AN361" i="4"/>
  <c r="AM361" i="4"/>
  <c r="AE361" i="4"/>
  <c r="AN360" i="4"/>
  <c r="AM360" i="4"/>
  <c r="AE360" i="4"/>
  <c r="AN359" i="4"/>
  <c r="AM359" i="4"/>
  <c r="AE359" i="4"/>
  <c r="AN358" i="4"/>
  <c r="AM358" i="4"/>
  <c r="AE358" i="4"/>
  <c r="AN357" i="4"/>
  <c r="AM357" i="4"/>
  <c r="AE357" i="4"/>
  <c r="AN356" i="4"/>
  <c r="AM356" i="4"/>
  <c r="AE356" i="4"/>
  <c r="AN355" i="4"/>
  <c r="AM355" i="4"/>
  <c r="AE355" i="4"/>
  <c r="AN354" i="4"/>
  <c r="AM354" i="4"/>
  <c r="AE354" i="4"/>
  <c r="AN353" i="4"/>
  <c r="AM353" i="4"/>
  <c r="AE353" i="4"/>
  <c r="AN352" i="4"/>
  <c r="AM352" i="4"/>
  <c r="AE352" i="4"/>
  <c r="AN351" i="4"/>
  <c r="AM351" i="4"/>
  <c r="AE351" i="4"/>
  <c r="AN350" i="4"/>
  <c r="AM350" i="4"/>
  <c r="AE350" i="4"/>
  <c r="AN349" i="4"/>
  <c r="AM349" i="4"/>
  <c r="AE349" i="4"/>
  <c r="AN348" i="4"/>
  <c r="AM348" i="4"/>
  <c r="AE348" i="4"/>
  <c r="AN347" i="4"/>
  <c r="AM347" i="4"/>
  <c r="AE347" i="4"/>
  <c r="AN346" i="4"/>
  <c r="AM346" i="4"/>
  <c r="AE346" i="4"/>
  <c r="AN345" i="4"/>
  <c r="AM345" i="4"/>
  <c r="AE345" i="4"/>
  <c r="AN344" i="4"/>
  <c r="AM344" i="4"/>
  <c r="AE344" i="4"/>
  <c r="AN343" i="4"/>
  <c r="AM343" i="4"/>
  <c r="AE343" i="4"/>
  <c r="AN342" i="4"/>
  <c r="AM342" i="4"/>
  <c r="AE342" i="4"/>
  <c r="AN341" i="4"/>
  <c r="AM341" i="4"/>
  <c r="AE341" i="4"/>
  <c r="AN340" i="4"/>
  <c r="AM340" i="4"/>
  <c r="AE340" i="4"/>
  <c r="AN339" i="4"/>
  <c r="AM339" i="4"/>
  <c r="AE339" i="4"/>
  <c r="AN338" i="4"/>
  <c r="AM338" i="4"/>
  <c r="AO338" i="4" s="1"/>
  <c r="AE338" i="4"/>
  <c r="AN337" i="4"/>
  <c r="AM337" i="4"/>
  <c r="AE337" i="4"/>
  <c r="AN336" i="4"/>
  <c r="AM336" i="4"/>
  <c r="AE336" i="4"/>
  <c r="AN335" i="4"/>
  <c r="AM335" i="4"/>
  <c r="AE335" i="4"/>
  <c r="AN334" i="4"/>
  <c r="AM334" i="4"/>
  <c r="AE334" i="4"/>
  <c r="AN333" i="4"/>
  <c r="AM333" i="4"/>
  <c r="AE333" i="4"/>
  <c r="AN332" i="4"/>
  <c r="AM332" i="4"/>
  <c r="AE332" i="4"/>
  <c r="AN331" i="4"/>
  <c r="AM331" i="4"/>
  <c r="AE331" i="4"/>
  <c r="AN330" i="4"/>
  <c r="AM330" i="4"/>
  <c r="AE330" i="4"/>
  <c r="AN329" i="4"/>
  <c r="AM329" i="4"/>
  <c r="AE329" i="4"/>
  <c r="AN328" i="4"/>
  <c r="AM328" i="4"/>
  <c r="AE328" i="4"/>
  <c r="AN327" i="4"/>
  <c r="AM327" i="4"/>
  <c r="AE327" i="4"/>
  <c r="AN326" i="4"/>
  <c r="AM326" i="4"/>
  <c r="AE326" i="4"/>
  <c r="AN325" i="4"/>
  <c r="AM325" i="4"/>
  <c r="AE325" i="4"/>
  <c r="AN324" i="4"/>
  <c r="AM324" i="4"/>
  <c r="AE324" i="4"/>
  <c r="AN323" i="4"/>
  <c r="AM323" i="4"/>
  <c r="AE323" i="4"/>
  <c r="AN322" i="4"/>
  <c r="AM322" i="4"/>
  <c r="AE322" i="4"/>
  <c r="AN321" i="4"/>
  <c r="AM321" i="4"/>
  <c r="AE321" i="4"/>
  <c r="AN320" i="4"/>
  <c r="AM320" i="4"/>
  <c r="AE320" i="4"/>
  <c r="AN319" i="4"/>
  <c r="AM319" i="4"/>
  <c r="AE319" i="4"/>
  <c r="AN318" i="4"/>
  <c r="AM318" i="4"/>
  <c r="AE318" i="4"/>
  <c r="AN317" i="4"/>
  <c r="AM317" i="4"/>
  <c r="AE317" i="4"/>
  <c r="AN316" i="4"/>
  <c r="AM316" i="4"/>
  <c r="AE316" i="4"/>
  <c r="AN315" i="4"/>
  <c r="AM315" i="4"/>
  <c r="AE315" i="4"/>
  <c r="AN314" i="4"/>
  <c r="AM314" i="4"/>
  <c r="AE314" i="4"/>
  <c r="AN313" i="4"/>
  <c r="AM313" i="4"/>
  <c r="AE313" i="4"/>
  <c r="AN312" i="4"/>
  <c r="AM312" i="4"/>
  <c r="AE312" i="4"/>
  <c r="AN311" i="4"/>
  <c r="AM311" i="4"/>
  <c r="AE311" i="4"/>
  <c r="AN310" i="4"/>
  <c r="AM310" i="4"/>
  <c r="AE310" i="4"/>
  <c r="AN309" i="4"/>
  <c r="AM309" i="4"/>
  <c r="AE309" i="4"/>
  <c r="AN308" i="4"/>
  <c r="AM308" i="4"/>
  <c r="AE308" i="4"/>
  <c r="AN307" i="4"/>
  <c r="AM307" i="4"/>
  <c r="AE307" i="4"/>
  <c r="AN306" i="4"/>
  <c r="AM306" i="4"/>
  <c r="AE306" i="4"/>
  <c r="AN305" i="4"/>
  <c r="AM305" i="4"/>
  <c r="AE305" i="4"/>
  <c r="AN304" i="4"/>
  <c r="AM304" i="4"/>
  <c r="AE304" i="4"/>
  <c r="AN303" i="4"/>
  <c r="AM303" i="4"/>
  <c r="AE303" i="4"/>
  <c r="AN302" i="4"/>
  <c r="AM302" i="4"/>
  <c r="AE302" i="4"/>
  <c r="AN301" i="4"/>
  <c r="AM301" i="4"/>
  <c r="AE301" i="4"/>
  <c r="AN300" i="4"/>
  <c r="AM300" i="4"/>
  <c r="AE300" i="4"/>
  <c r="AN299" i="4"/>
  <c r="AM299" i="4"/>
  <c r="AE299" i="4"/>
  <c r="AN298" i="4"/>
  <c r="AM298" i="4"/>
  <c r="AE298" i="4"/>
  <c r="AN297" i="4"/>
  <c r="AM297" i="4"/>
  <c r="AE297" i="4"/>
  <c r="AN296" i="4"/>
  <c r="AM296" i="4"/>
  <c r="AE296" i="4"/>
  <c r="AN295" i="4"/>
  <c r="AM295" i="4"/>
  <c r="AE295" i="4"/>
  <c r="AN294" i="4"/>
  <c r="AM294" i="4"/>
  <c r="AE294" i="4"/>
  <c r="AN293" i="4"/>
  <c r="AM293" i="4"/>
  <c r="AE293" i="4"/>
  <c r="AN292" i="4"/>
  <c r="AM292" i="4"/>
  <c r="AE292" i="4"/>
  <c r="AN291" i="4"/>
  <c r="AM291" i="4"/>
  <c r="AE291" i="4"/>
  <c r="AN290" i="4"/>
  <c r="AM290" i="4"/>
  <c r="AE290" i="4"/>
  <c r="AN289" i="4"/>
  <c r="AM289" i="4"/>
  <c r="AE289" i="4"/>
  <c r="AN288" i="4"/>
  <c r="AM288" i="4"/>
  <c r="AE288" i="4"/>
  <c r="AN287" i="4"/>
  <c r="AM287" i="4"/>
  <c r="AE287" i="4"/>
  <c r="AN286" i="4"/>
  <c r="AM286" i="4"/>
  <c r="AE286" i="4"/>
  <c r="AN285" i="4"/>
  <c r="AM285" i="4"/>
  <c r="AE285" i="4"/>
  <c r="AN284" i="4"/>
  <c r="AM284" i="4"/>
  <c r="AE284" i="4"/>
  <c r="AN283" i="4"/>
  <c r="AM283" i="4"/>
  <c r="AE283" i="4"/>
  <c r="AN282" i="4"/>
  <c r="AM282" i="4"/>
  <c r="AE282" i="4"/>
  <c r="AN281" i="4"/>
  <c r="AM281" i="4"/>
  <c r="AE281" i="4"/>
  <c r="AN280" i="4"/>
  <c r="AM280" i="4"/>
  <c r="AE280" i="4"/>
  <c r="AN279" i="4"/>
  <c r="AM279" i="4"/>
  <c r="AE279" i="4"/>
  <c r="AN278" i="4"/>
  <c r="AM278" i="4"/>
  <c r="AE278" i="4"/>
  <c r="AN277" i="4"/>
  <c r="AM277" i="4"/>
  <c r="AE277" i="4"/>
  <c r="AN276" i="4"/>
  <c r="AM276" i="4"/>
  <c r="AE276" i="4"/>
  <c r="AN275" i="4"/>
  <c r="AM275" i="4"/>
  <c r="AE275" i="4"/>
  <c r="AN274" i="4"/>
  <c r="AM274" i="4"/>
  <c r="AE274" i="4"/>
  <c r="AN273" i="4"/>
  <c r="AM273" i="4"/>
  <c r="AE273" i="4"/>
  <c r="AN272" i="4"/>
  <c r="AM272" i="4"/>
  <c r="AE272" i="4"/>
  <c r="AN271" i="4"/>
  <c r="AM271" i="4"/>
  <c r="AE271" i="4"/>
  <c r="AN270" i="4"/>
  <c r="AM270" i="4"/>
  <c r="AE270" i="4"/>
  <c r="AN269" i="4"/>
  <c r="AM269" i="4"/>
  <c r="AE269" i="4"/>
  <c r="AN268" i="4"/>
  <c r="AM268" i="4"/>
  <c r="AE268" i="4"/>
  <c r="AN267" i="4"/>
  <c r="AM267" i="4"/>
  <c r="AE267" i="4"/>
  <c r="AN266" i="4"/>
  <c r="AM266" i="4"/>
  <c r="AE266" i="4"/>
  <c r="AN265" i="4"/>
  <c r="AM265" i="4"/>
  <c r="AE265" i="4"/>
  <c r="AN264" i="4"/>
  <c r="AM264" i="4"/>
  <c r="AE264" i="4"/>
  <c r="AN263" i="4"/>
  <c r="AM263" i="4"/>
  <c r="AE263" i="4"/>
  <c r="AN262" i="4"/>
  <c r="AM262" i="4"/>
  <c r="AE262" i="4"/>
  <c r="AN261" i="4"/>
  <c r="AM261" i="4"/>
  <c r="AE261" i="4"/>
  <c r="AN260" i="4"/>
  <c r="AM260" i="4"/>
  <c r="AE260" i="4"/>
  <c r="AN259" i="4"/>
  <c r="AM259" i="4"/>
  <c r="AE259" i="4"/>
  <c r="AN258" i="4"/>
  <c r="AM258" i="4"/>
  <c r="AE258" i="4"/>
  <c r="AN257" i="4"/>
  <c r="AM257" i="4"/>
  <c r="AE257" i="4"/>
  <c r="AN256" i="4"/>
  <c r="AM256" i="4"/>
  <c r="AE256" i="4"/>
  <c r="AN255" i="4"/>
  <c r="AM255" i="4"/>
  <c r="AE255" i="4"/>
  <c r="AN254" i="4"/>
  <c r="AM254" i="4"/>
  <c r="AE254" i="4"/>
  <c r="AN253" i="4"/>
  <c r="AM253" i="4"/>
  <c r="AE253" i="4"/>
  <c r="AN252" i="4"/>
  <c r="AM252" i="4"/>
  <c r="AE252" i="4"/>
  <c r="AN251" i="4"/>
  <c r="AM251" i="4"/>
  <c r="AE251" i="4"/>
  <c r="AN250" i="4"/>
  <c r="AM250" i="4"/>
  <c r="AE250" i="4"/>
  <c r="AN249" i="4"/>
  <c r="AM249" i="4"/>
  <c r="AE249" i="4"/>
  <c r="AN248" i="4"/>
  <c r="AM248" i="4"/>
  <c r="AE248" i="4"/>
  <c r="AN247" i="4"/>
  <c r="AM247" i="4"/>
  <c r="AE247" i="4"/>
  <c r="AN246" i="4"/>
  <c r="AM246" i="4"/>
  <c r="AE246" i="4"/>
  <c r="AN245" i="4"/>
  <c r="AM245" i="4"/>
  <c r="AE245" i="4"/>
  <c r="AN244" i="4"/>
  <c r="AM244" i="4"/>
  <c r="AE244" i="4"/>
  <c r="AN243" i="4"/>
  <c r="AM243" i="4"/>
  <c r="AE243" i="4"/>
  <c r="AN242" i="4"/>
  <c r="AM242" i="4"/>
  <c r="AE242" i="4"/>
  <c r="AN241" i="4"/>
  <c r="AM241" i="4"/>
  <c r="AE241" i="4"/>
  <c r="AN240" i="4"/>
  <c r="AM240" i="4"/>
  <c r="AE240" i="4"/>
  <c r="AN239" i="4"/>
  <c r="AM239" i="4"/>
  <c r="AE239" i="4"/>
  <c r="AN238" i="4"/>
  <c r="AM238" i="4"/>
  <c r="AE238" i="4"/>
  <c r="AN237" i="4"/>
  <c r="AM237" i="4"/>
  <c r="AE237" i="4"/>
  <c r="AN236" i="4"/>
  <c r="AM236" i="4"/>
  <c r="AE236" i="4"/>
  <c r="AN235" i="4"/>
  <c r="AM235" i="4"/>
  <c r="AE235" i="4"/>
  <c r="AN234" i="4"/>
  <c r="AM234" i="4"/>
  <c r="AE234" i="4"/>
  <c r="AN233" i="4"/>
  <c r="AM233" i="4"/>
  <c r="AE233" i="4"/>
  <c r="AN232" i="4"/>
  <c r="AM232" i="4"/>
  <c r="AE232" i="4"/>
  <c r="AN231" i="4"/>
  <c r="AM231" i="4"/>
  <c r="AE231" i="4"/>
  <c r="AN230" i="4"/>
  <c r="AM230" i="4"/>
  <c r="AE230" i="4"/>
  <c r="AN229" i="4"/>
  <c r="AM229" i="4"/>
  <c r="AE229" i="4"/>
  <c r="AN228" i="4"/>
  <c r="AM228" i="4"/>
  <c r="AE228" i="4"/>
  <c r="AN227" i="4"/>
  <c r="AM227" i="4"/>
  <c r="AE227" i="4"/>
  <c r="AN226" i="4"/>
  <c r="AM226" i="4"/>
  <c r="AE226" i="4"/>
  <c r="AN225" i="4"/>
  <c r="AM225" i="4"/>
  <c r="AE225" i="4"/>
  <c r="AN224" i="4"/>
  <c r="AM224" i="4"/>
  <c r="AE224" i="4"/>
  <c r="AN223" i="4"/>
  <c r="AM223" i="4"/>
  <c r="AE223" i="4"/>
  <c r="AN222" i="4"/>
  <c r="AM222" i="4"/>
  <c r="AE222" i="4"/>
  <c r="AN221" i="4"/>
  <c r="AM221" i="4"/>
  <c r="AE221" i="4"/>
  <c r="AN220" i="4"/>
  <c r="AM220" i="4"/>
  <c r="AE220" i="4"/>
  <c r="AN219" i="4"/>
  <c r="AM219" i="4"/>
  <c r="AE219" i="4"/>
  <c r="AN218" i="4"/>
  <c r="AM218" i="4"/>
  <c r="AE218" i="4"/>
  <c r="AN217" i="4"/>
  <c r="AM217" i="4"/>
  <c r="AE217" i="4"/>
  <c r="AN216" i="4"/>
  <c r="AM216" i="4"/>
  <c r="AE216" i="4"/>
  <c r="AN215" i="4"/>
  <c r="AM215" i="4"/>
  <c r="AE215" i="4"/>
  <c r="AN214" i="4"/>
  <c r="AM214" i="4"/>
  <c r="AE214" i="4"/>
  <c r="AN213" i="4"/>
  <c r="AM213" i="4"/>
  <c r="AE213" i="4"/>
  <c r="AN212" i="4"/>
  <c r="AM212" i="4"/>
  <c r="AE212" i="4"/>
  <c r="AN211" i="4"/>
  <c r="AM211" i="4"/>
  <c r="AE211" i="4"/>
  <c r="AN210" i="4"/>
  <c r="AM210" i="4"/>
  <c r="AE210" i="4"/>
  <c r="AN209" i="4"/>
  <c r="AM209" i="4"/>
  <c r="AE209" i="4"/>
  <c r="AN208" i="4"/>
  <c r="AM208" i="4"/>
  <c r="AE208" i="4"/>
  <c r="AN207" i="4"/>
  <c r="AM207" i="4"/>
  <c r="AE207" i="4"/>
  <c r="AN206" i="4"/>
  <c r="AM206" i="4"/>
  <c r="AE206" i="4"/>
  <c r="AN205" i="4"/>
  <c r="AM205" i="4"/>
  <c r="AE205" i="4"/>
  <c r="AN204" i="4"/>
  <c r="AM204" i="4"/>
  <c r="AE204" i="4"/>
  <c r="AN203" i="4"/>
  <c r="AM203" i="4"/>
  <c r="AE203" i="4"/>
  <c r="AN202" i="4"/>
  <c r="AM202" i="4"/>
  <c r="AE202" i="4"/>
  <c r="AN201" i="4"/>
  <c r="AM201" i="4"/>
  <c r="AE201" i="4"/>
  <c r="AN200" i="4"/>
  <c r="AM200" i="4"/>
  <c r="AE200" i="4"/>
  <c r="AN199" i="4"/>
  <c r="AM199" i="4"/>
  <c r="AE199" i="4"/>
  <c r="AN198" i="4"/>
  <c r="AM198" i="4"/>
  <c r="AE198" i="4"/>
  <c r="AN197" i="4"/>
  <c r="AM197" i="4"/>
  <c r="AE197" i="4"/>
  <c r="AN196" i="4"/>
  <c r="AM196" i="4"/>
  <c r="AE196" i="4"/>
  <c r="AN195" i="4"/>
  <c r="AM195" i="4"/>
  <c r="AE195" i="4"/>
  <c r="AN194" i="4"/>
  <c r="AM194" i="4"/>
  <c r="AE194" i="4"/>
  <c r="AN193" i="4"/>
  <c r="AM193" i="4"/>
  <c r="AE193" i="4"/>
  <c r="AN192" i="4"/>
  <c r="AM192" i="4"/>
  <c r="AE192" i="4"/>
  <c r="AN191" i="4"/>
  <c r="AM191" i="4"/>
  <c r="AE191" i="4"/>
  <c r="AN190" i="4"/>
  <c r="AM190" i="4"/>
  <c r="AE190" i="4"/>
  <c r="AN189" i="4"/>
  <c r="AM189" i="4"/>
  <c r="AE189" i="4"/>
  <c r="AN188" i="4"/>
  <c r="AM188" i="4"/>
  <c r="AE188" i="4"/>
  <c r="AN187" i="4"/>
  <c r="AM187" i="4"/>
  <c r="AE187" i="4"/>
  <c r="AN186" i="4"/>
  <c r="AM186" i="4"/>
  <c r="AE186" i="4"/>
  <c r="AN185" i="4"/>
  <c r="AM185" i="4"/>
  <c r="AE185" i="4"/>
  <c r="AN184" i="4"/>
  <c r="AM184" i="4"/>
  <c r="AE184" i="4"/>
  <c r="AN183" i="4"/>
  <c r="AM183" i="4"/>
  <c r="AE183" i="4"/>
  <c r="AN182" i="4"/>
  <c r="AM182" i="4"/>
  <c r="AE182" i="4"/>
  <c r="AN181" i="4"/>
  <c r="AM181" i="4"/>
  <c r="AE181" i="4"/>
  <c r="AN180" i="4"/>
  <c r="AM180" i="4"/>
  <c r="AE180" i="4"/>
  <c r="AN179" i="4"/>
  <c r="AM179" i="4"/>
  <c r="AE179" i="4"/>
  <c r="AN178" i="4"/>
  <c r="AM178" i="4"/>
  <c r="AE178" i="4"/>
  <c r="AN177" i="4"/>
  <c r="AM177" i="4"/>
  <c r="AE177" i="4"/>
  <c r="AN176" i="4"/>
  <c r="AM176" i="4"/>
  <c r="AE176" i="4"/>
  <c r="AN175" i="4"/>
  <c r="AM175" i="4"/>
  <c r="AE175" i="4"/>
  <c r="AN174" i="4"/>
  <c r="AM174" i="4"/>
  <c r="AE174" i="4"/>
  <c r="AN173" i="4"/>
  <c r="AM173" i="4"/>
  <c r="AE173" i="4"/>
  <c r="AN172" i="4"/>
  <c r="AM172" i="4"/>
  <c r="AE172" i="4"/>
  <c r="AN171" i="4"/>
  <c r="AM171" i="4"/>
  <c r="AE171" i="4"/>
  <c r="AN170" i="4"/>
  <c r="AM170" i="4"/>
  <c r="AE170" i="4"/>
  <c r="AN169" i="4"/>
  <c r="AM169" i="4"/>
  <c r="AE169" i="4"/>
  <c r="AN168" i="4"/>
  <c r="AM168" i="4"/>
  <c r="AE168" i="4"/>
  <c r="AN167" i="4"/>
  <c r="AM167" i="4"/>
  <c r="AE167" i="4"/>
  <c r="AN166" i="4"/>
  <c r="AM166" i="4"/>
  <c r="AE166" i="4"/>
  <c r="AN165" i="4"/>
  <c r="AM165" i="4"/>
  <c r="AE165" i="4"/>
  <c r="AN164" i="4"/>
  <c r="AM164" i="4"/>
  <c r="AE164" i="4"/>
  <c r="AN163" i="4"/>
  <c r="AM163" i="4"/>
  <c r="AE163" i="4"/>
  <c r="AN162" i="4"/>
  <c r="AM162" i="4"/>
  <c r="AE162" i="4"/>
  <c r="AN161" i="4"/>
  <c r="AM161" i="4"/>
  <c r="AE161" i="4"/>
  <c r="AN160" i="4"/>
  <c r="AM160" i="4"/>
  <c r="AE160" i="4"/>
  <c r="AN159" i="4"/>
  <c r="AM159" i="4"/>
  <c r="AE159" i="4"/>
  <c r="AN158" i="4"/>
  <c r="AM158" i="4"/>
  <c r="AE158" i="4"/>
  <c r="AN157" i="4"/>
  <c r="AM157" i="4"/>
  <c r="AE157" i="4"/>
  <c r="AN156" i="4"/>
  <c r="AM156" i="4"/>
  <c r="AE156" i="4"/>
  <c r="AN155" i="4"/>
  <c r="AM155" i="4"/>
  <c r="AE155" i="4"/>
  <c r="AN154" i="4"/>
  <c r="AM154" i="4"/>
  <c r="AE154" i="4"/>
  <c r="AN153" i="4"/>
  <c r="AM153" i="4"/>
  <c r="AE153" i="4"/>
  <c r="AN152" i="4"/>
  <c r="AM152" i="4"/>
  <c r="AE152" i="4"/>
  <c r="AN151" i="4"/>
  <c r="AM151" i="4"/>
  <c r="AE151" i="4"/>
  <c r="AN150" i="4"/>
  <c r="AM150" i="4"/>
  <c r="AE150" i="4"/>
  <c r="AN149" i="4"/>
  <c r="AM149" i="4"/>
  <c r="AE149" i="4"/>
  <c r="AN148" i="4"/>
  <c r="AM148" i="4"/>
  <c r="AE148" i="4"/>
  <c r="AN147" i="4"/>
  <c r="AM147" i="4"/>
  <c r="AE147" i="4"/>
  <c r="AN146" i="4"/>
  <c r="AM146" i="4"/>
  <c r="AE146" i="4"/>
  <c r="AN145" i="4"/>
  <c r="AM145" i="4"/>
  <c r="AE145" i="4"/>
  <c r="AN144" i="4"/>
  <c r="AM144" i="4"/>
  <c r="AE144" i="4"/>
  <c r="AN143" i="4"/>
  <c r="AM143" i="4"/>
  <c r="AE143" i="4"/>
  <c r="AN142" i="4"/>
  <c r="AM142" i="4"/>
  <c r="AE142" i="4"/>
  <c r="AN141" i="4"/>
  <c r="AM141" i="4"/>
  <c r="AE141" i="4"/>
  <c r="AN140" i="4"/>
  <c r="AM140" i="4"/>
  <c r="AE140" i="4"/>
  <c r="AN139" i="4"/>
  <c r="AM139" i="4"/>
  <c r="AE139" i="4"/>
  <c r="AN138" i="4"/>
  <c r="AM138" i="4"/>
  <c r="AE138" i="4"/>
  <c r="AN137" i="4"/>
  <c r="AM137" i="4"/>
  <c r="AE137" i="4"/>
  <c r="AN136" i="4"/>
  <c r="AM136" i="4"/>
  <c r="AE136" i="4"/>
  <c r="AN135" i="4"/>
  <c r="AM135" i="4"/>
  <c r="AE135" i="4"/>
  <c r="AN134" i="4"/>
  <c r="AM134" i="4"/>
  <c r="AE134" i="4"/>
  <c r="AN133" i="4"/>
  <c r="AM133" i="4"/>
  <c r="AE133" i="4"/>
  <c r="AN132" i="4"/>
  <c r="AM132" i="4"/>
  <c r="AE132" i="4"/>
  <c r="AN131" i="4"/>
  <c r="AM131" i="4"/>
  <c r="AE131" i="4"/>
  <c r="AN130" i="4"/>
  <c r="AM130" i="4"/>
  <c r="AE130" i="4"/>
  <c r="AN129" i="4"/>
  <c r="AM129" i="4"/>
  <c r="AE129" i="4"/>
  <c r="AN128" i="4"/>
  <c r="AM128" i="4"/>
  <c r="AE128" i="4"/>
  <c r="AN127" i="4"/>
  <c r="AM127" i="4"/>
  <c r="AE127" i="4"/>
  <c r="AN126" i="4"/>
  <c r="AM126" i="4"/>
  <c r="AE126" i="4"/>
  <c r="AN125" i="4"/>
  <c r="AM125" i="4"/>
  <c r="AE125" i="4"/>
  <c r="AN124" i="4"/>
  <c r="AM124" i="4"/>
  <c r="AE124" i="4"/>
  <c r="AN123" i="4"/>
  <c r="AM123" i="4"/>
  <c r="AE123" i="4"/>
  <c r="AN122" i="4"/>
  <c r="AM122" i="4"/>
  <c r="AE122" i="4"/>
  <c r="AN121" i="4"/>
  <c r="AM121" i="4"/>
  <c r="AE121" i="4"/>
  <c r="AN120" i="4"/>
  <c r="AM120" i="4"/>
  <c r="AE120" i="4"/>
  <c r="AN119" i="4"/>
  <c r="AM119" i="4"/>
  <c r="AE119" i="4"/>
  <c r="AN118" i="4"/>
  <c r="AM118" i="4"/>
  <c r="AE118" i="4"/>
  <c r="AN117" i="4"/>
  <c r="AM117" i="4"/>
  <c r="AE117" i="4"/>
  <c r="AN116" i="4"/>
  <c r="AM116" i="4"/>
  <c r="AE116" i="4"/>
  <c r="AN115" i="4"/>
  <c r="AM115" i="4"/>
  <c r="AE115" i="4"/>
  <c r="AN114" i="4"/>
  <c r="AM114" i="4"/>
  <c r="AE114" i="4"/>
  <c r="AN113" i="4"/>
  <c r="AM113" i="4"/>
  <c r="AE113" i="4"/>
  <c r="AN112" i="4"/>
  <c r="AM112" i="4"/>
  <c r="AE112" i="4"/>
  <c r="AN111" i="4"/>
  <c r="AM111" i="4"/>
  <c r="AE111" i="4"/>
  <c r="AN110" i="4"/>
  <c r="AM110" i="4"/>
  <c r="AE110" i="4"/>
  <c r="AN109" i="4"/>
  <c r="AM109" i="4"/>
  <c r="AE109" i="4"/>
  <c r="AN108" i="4"/>
  <c r="AM108" i="4"/>
  <c r="AE108" i="4"/>
  <c r="AN107" i="4"/>
  <c r="AM107" i="4"/>
  <c r="AE107" i="4"/>
  <c r="AN106" i="4"/>
  <c r="AM106" i="4"/>
  <c r="AE106" i="4"/>
  <c r="AN105" i="4"/>
  <c r="AM105" i="4"/>
  <c r="AE105" i="4"/>
  <c r="AN104" i="4"/>
  <c r="AM104" i="4"/>
  <c r="AE104" i="4"/>
  <c r="AN103" i="4"/>
  <c r="AM103" i="4"/>
  <c r="AE103" i="4"/>
  <c r="AN102" i="4"/>
  <c r="AM102" i="4"/>
  <c r="AE102" i="4"/>
  <c r="AN101" i="4"/>
  <c r="AM101" i="4"/>
  <c r="AE101" i="4"/>
  <c r="AN100" i="4"/>
  <c r="AM100" i="4"/>
  <c r="AE100" i="4"/>
  <c r="AN99" i="4"/>
  <c r="AM99" i="4"/>
  <c r="AE99" i="4"/>
  <c r="AN98" i="4"/>
  <c r="AM98" i="4"/>
  <c r="AE98" i="4"/>
  <c r="AN97" i="4"/>
  <c r="AM97" i="4"/>
  <c r="AE97" i="4"/>
  <c r="AN96" i="4"/>
  <c r="AM96" i="4"/>
  <c r="AE96" i="4"/>
  <c r="AN95" i="4"/>
  <c r="AM95" i="4"/>
  <c r="AE95" i="4"/>
  <c r="AN94" i="4"/>
  <c r="AM94" i="4"/>
  <c r="AE94" i="4"/>
  <c r="AN93" i="4"/>
  <c r="AM93" i="4"/>
  <c r="AE93" i="4"/>
  <c r="AN92" i="4"/>
  <c r="AM92" i="4"/>
  <c r="AE92" i="4"/>
  <c r="AN91" i="4"/>
  <c r="AM91" i="4"/>
  <c r="AE91" i="4"/>
  <c r="AN90" i="4"/>
  <c r="AM90" i="4"/>
  <c r="AE90" i="4"/>
  <c r="AN89" i="4"/>
  <c r="AM89" i="4"/>
  <c r="AE89" i="4"/>
  <c r="AN88" i="4"/>
  <c r="AM88" i="4"/>
  <c r="AE88" i="4"/>
  <c r="AN87" i="4"/>
  <c r="AM87" i="4"/>
  <c r="AE87" i="4"/>
  <c r="AN86" i="4"/>
  <c r="AM86" i="4"/>
  <c r="AE86" i="4"/>
  <c r="AN85" i="4"/>
  <c r="AM85" i="4"/>
  <c r="AE85" i="4"/>
  <c r="AN84" i="4"/>
  <c r="AM84" i="4"/>
  <c r="AE84" i="4"/>
  <c r="AN83" i="4"/>
  <c r="AM83" i="4"/>
  <c r="AE83" i="4"/>
  <c r="AN82" i="4"/>
  <c r="AM82" i="4"/>
  <c r="AE82" i="4"/>
  <c r="AN81" i="4"/>
  <c r="AM81" i="4"/>
  <c r="AE81" i="4"/>
  <c r="AN80" i="4"/>
  <c r="AM80" i="4"/>
  <c r="AE80" i="4"/>
  <c r="AN79" i="4"/>
  <c r="AM79" i="4"/>
  <c r="AE79" i="4"/>
  <c r="AN78" i="4"/>
  <c r="AM78" i="4"/>
  <c r="AE78" i="4"/>
  <c r="AN77" i="4"/>
  <c r="AM77" i="4"/>
  <c r="AE77" i="4"/>
  <c r="AN76" i="4"/>
  <c r="AM76" i="4"/>
  <c r="AE76" i="4"/>
  <c r="AN75" i="4"/>
  <c r="AM75" i="4"/>
  <c r="AE75" i="4"/>
  <c r="AN74" i="4"/>
  <c r="AM74" i="4"/>
  <c r="AE74" i="4"/>
  <c r="AN73" i="4"/>
  <c r="AM73" i="4"/>
  <c r="AE73" i="4"/>
  <c r="AN72" i="4"/>
  <c r="AM72" i="4"/>
  <c r="AE72" i="4"/>
  <c r="AN71" i="4"/>
  <c r="AM71" i="4"/>
  <c r="AE71" i="4"/>
  <c r="AN70" i="4"/>
  <c r="AM70" i="4"/>
  <c r="AE70" i="4"/>
  <c r="AN69" i="4"/>
  <c r="AM69" i="4"/>
  <c r="AE69" i="4"/>
  <c r="AN68" i="4"/>
  <c r="AM68" i="4"/>
  <c r="AE68" i="4"/>
  <c r="AN67" i="4"/>
  <c r="AM67" i="4"/>
  <c r="AE67" i="4"/>
  <c r="AN66" i="4"/>
  <c r="AM66" i="4"/>
  <c r="AE66" i="4"/>
  <c r="AN65" i="4"/>
  <c r="AM65" i="4"/>
  <c r="AE65" i="4"/>
  <c r="AN64" i="4"/>
  <c r="AM64" i="4"/>
  <c r="AE64" i="4"/>
  <c r="AN63" i="4"/>
  <c r="AM63" i="4"/>
  <c r="AE63" i="4"/>
  <c r="AN62" i="4"/>
  <c r="AM62" i="4"/>
  <c r="AE62" i="4"/>
  <c r="AN61" i="4"/>
  <c r="AM61" i="4"/>
  <c r="AE61" i="4"/>
  <c r="AN60" i="4"/>
  <c r="AM60" i="4"/>
  <c r="AE60" i="4"/>
  <c r="AN59" i="4"/>
  <c r="AM59" i="4"/>
  <c r="AE59" i="4"/>
  <c r="AN58" i="4"/>
  <c r="AM58" i="4"/>
  <c r="AE58" i="4"/>
  <c r="AN57" i="4"/>
  <c r="AM57" i="4"/>
  <c r="AE57" i="4"/>
  <c r="AN56" i="4"/>
  <c r="AM56" i="4"/>
  <c r="AE56" i="4"/>
  <c r="AN55" i="4"/>
  <c r="AM55" i="4"/>
  <c r="AE55" i="4"/>
  <c r="AN54" i="4"/>
  <c r="AM54" i="4"/>
  <c r="AE54" i="4"/>
  <c r="AN53" i="4"/>
  <c r="AM53" i="4"/>
  <c r="AE53" i="4"/>
  <c r="AN52" i="4"/>
  <c r="AM52" i="4"/>
  <c r="AE52" i="4"/>
  <c r="AN51" i="4"/>
  <c r="AM51" i="4"/>
  <c r="AE51" i="4"/>
  <c r="AN50" i="4"/>
  <c r="AM50" i="4"/>
  <c r="AE50" i="4"/>
  <c r="AN49" i="4"/>
  <c r="AM49" i="4"/>
  <c r="AE49" i="4"/>
  <c r="AN48" i="4"/>
  <c r="AM48" i="4"/>
  <c r="AE48" i="4"/>
  <c r="AN47" i="4"/>
  <c r="AM47" i="4"/>
  <c r="AE47" i="4"/>
  <c r="AN46" i="4"/>
  <c r="AM46" i="4"/>
  <c r="AE46" i="4"/>
  <c r="AN45" i="4"/>
  <c r="AM45" i="4"/>
  <c r="AE45" i="4"/>
  <c r="AN44" i="4"/>
  <c r="AM44" i="4"/>
  <c r="AE44" i="4"/>
  <c r="AN43" i="4"/>
  <c r="AM43" i="4"/>
  <c r="AE43" i="4"/>
  <c r="AN42" i="4"/>
  <c r="AM42" i="4"/>
  <c r="AE42" i="4"/>
  <c r="AN41" i="4"/>
  <c r="AM41" i="4"/>
  <c r="AE41" i="4"/>
  <c r="AN40" i="4"/>
  <c r="AM40" i="4"/>
  <c r="AE40" i="4"/>
  <c r="AN39" i="4"/>
  <c r="AM39" i="4"/>
  <c r="AE39" i="4"/>
  <c r="AN38" i="4"/>
  <c r="AM38" i="4"/>
  <c r="AE38" i="4"/>
  <c r="AN37" i="4"/>
  <c r="AM37" i="4"/>
  <c r="AE37" i="4"/>
  <c r="AN36" i="4"/>
  <c r="AM36" i="4"/>
  <c r="AE36" i="4"/>
  <c r="AN35" i="4"/>
  <c r="AM35" i="4"/>
  <c r="AE35" i="4"/>
  <c r="AN34" i="4"/>
  <c r="AM34" i="4"/>
  <c r="AE34" i="4"/>
  <c r="AN33" i="4"/>
  <c r="AM33" i="4"/>
  <c r="AE33" i="4"/>
  <c r="AN32" i="4"/>
  <c r="AM32" i="4"/>
  <c r="AE32" i="4"/>
  <c r="AN31" i="4"/>
  <c r="AM31" i="4"/>
  <c r="AE31" i="4"/>
  <c r="AN30" i="4"/>
  <c r="AM30" i="4"/>
  <c r="AE30" i="4"/>
  <c r="AN29" i="4"/>
  <c r="AM29" i="4"/>
  <c r="AE29" i="4"/>
  <c r="AN28" i="4"/>
  <c r="AM28" i="4"/>
  <c r="AE28" i="4"/>
  <c r="AN27" i="4"/>
  <c r="AM27" i="4"/>
  <c r="AE27" i="4"/>
  <c r="AN26" i="4"/>
  <c r="AM26" i="4"/>
  <c r="AE26" i="4"/>
  <c r="AN25" i="4"/>
  <c r="AM25" i="4"/>
  <c r="AE25" i="4"/>
  <c r="AN24" i="4"/>
  <c r="AM24" i="4"/>
  <c r="AE24" i="4"/>
  <c r="AN23" i="4"/>
  <c r="AM23" i="4"/>
  <c r="AE23" i="4"/>
  <c r="AN22" i="4"/>
  <c r="AM22" i="4"/>
  <c r="AE22" i="4"/>
  <c r="AN21" i="4"/>
  <c r="AM21" i="4"/>
  <c r="AE21" i="4"/>
  <c r="AN20" i="4"/>
  <c r="AM20" i="4"/>
  <c r="AE20" i="4"/>
  <c r="AN19" i="4"/>
  <c r="AM19" i="4"/>
  <c r="AE19" i="4"/>
  <c r="AN18" i="4"/>
  <c r="AM18" i="4"/>
  <c r="AE18" i="4"/>
  <c r="AN17" i="4"/>
  <c r="AM17" i="4"/>
  <c r="AE17" i="4"/>
  <c r="AN16" i="4"/>
  <c r="AM16" i="4"/>
  <c r="AE16" i="4"/>
  <c r="AN15" i="4"/>
  <c r="AM15" i="4"/>
  <c r="AE15" i="4"/>
  <c r="AN14" i="4"/>
  <c r="AM14" i="4"/>
  <c r="AE14" i="4"/>
  <c r="AN13" i="4"/>
  <c r="AM13" i="4"/>
  <c r="AE13" i="4"/>
  <c r="AN12" i="4"/>
  <c r="AM12" i="4"/>
  <c r="AE12" i="4"/>
  <c r="AN11" i="4"/>
  <c r="AM11" i="4"/>
  <c r="AE11" i="4"/>
  <c r="AN10" i="4"/>
  <c r="AM10" i="4"/>
  <c r="AE10" i="4"/>
  <c r="AN9" i="4"/>
  <c r="AM9" i="4"/>
  <c r="AE9" i="4"/>
  <c r="AN8" i="4"/>
  <c r="AM8" i="4"/>
  <c r="AE8" i="4"/>
  <c r="AN7" i="4"/>
  <c r="AM7" i="4"/>
  <c r="AE7" i="4"/>
  <c r="AN6" i="4"/>
  <c r="AM6" i="4"/>
  <c r="AE6" i="4"/>
  <c r="AN5" i="4"/>
  <c r="AM5" i="4"/>
  <c r="AE5" i="4"/>
  <c r="AN4" i="4"/>
  <c r="AM4" i="4"/>
  <c r="AE4" i="4"/>
  <c r="AN3" i="4"/>
  <c r="AM3" i="4"/>
  <c r="AE3" i="4"/>
  <c r="AN2" i="4"/>
  <c r="AM2" i="4"/>
  <c r="AE2" i="4"/>
  <c r="BB433" i="3"/>
  <c r="AZ433" i="3"/>
  <c r="AT433" i="3"/>
  <c r="AP433" i="3"/>
  <c r="AO433" i="3"/>
  <c r="BB432" i="3"/>
  <c r="AZ432" i="3"/>
  <c r="AT432" i="3"/>
  <c r="AP432" i="3"/>
  <c r="AO432" i="3"/>
  <c r="BB431" i="3"/>
  <c r="AZ431" i="3"/>
  <c r="AT431" i="3"/>
  <c r="AP431" i="3"/>
  <c r="AO431" i="3"/>
  <c r="BB430" i="3"/>
  <c r="AZ430" i="3"/>
  <c r="AT430" i="3"/>
  <c r="AP430" i="3"/>
  <c r="AO430" i="3"/>
  <c r="BB425" i="3"/>
  <c r="AZ425" i="3"/>
  <c r="AT425" i="3"/>
  <c r="AP425" i="3"/>
  <c r="AO425" i="3"/>
  <c r="BB424" i="3"/>
  <c r="AZ424" i="3"/>
  <c r="AT424" i="3"/>
  <c r="AP424" i="3"/>
  <c r="AO424" i="3"/>
  <c r="BB423" i="3"/>
  <c r="AZ423" i="3"/>
  <c r="AT423" i="3"/>
  <c r="AP423" i="3"/>
  <c r="AO423" i="3"/>
  <c r="BB422" i="3"/>
  <c r="AZ422" i="3"/>
  <c r="AT422" i="3"/>
  <c r="AP422" i="3"/>
  <c r="AO422" i="3"/>
  <c r="BB421" i="3"/>
  <c r="AZ421" i="3"/>
  <c r="AT421" i="3"/>
  <c r="AP421" i="3"/>
  <c r="AO421" i="3"/>
  <c r="BB429" i="3"/>
  <c r="AZ429" i="3"/>
  <c r="AT429" i="3"/>
  <c r="AP429" i="3"/>
  <c r="AO429" i="3"/>
  <c r="BB428" i="3"/>
  <c r="AZ428" i="3"/>
  <c r="AT428" i="3"/>
  <c r="AP428" i="3"/>
  <c r="AO428" i="3"/>
  <c r="BB427" i="3"/>
  <c r="AZ427" i="3"/>
  <c r="AT427" i="3"/>
  <c r="AP427" i="3"/>
  <c r="AO427" i="3"/>
  <c r="BB426" i="3"/>
  <c r="AZ426" i="3"/>
  <c r="AT426" i="3"/>
  <c r="AP426" i="3"/>
  <c r="AO426" i="3"/>
  <c r="BB401" i="3"/>
  <c r="AZ401" i="3"/>
  <c r="AT401" i="3"/>
  <c r="AP401" i="3"/>
  <c r="AO401" i="3"/>
  <c r="BB400" i="3"/>
  <c r="AZ400" i="3"/>
  <c r="AT400" i="3"/>
  <c r="AP400" i="3"/>
  <c r="AO400" i="3"/>
  <c r="BB399" i="3"/>
  <c r="AZ399" i="3"/>
  <c r="AT399" i="3"/>
  <c r="AP399" i="3"/>
  <c r="AO399" i="3"/>
  <c r="BB398" i="3"/>
  <c r="AZ398" i="3"/>
  <c r="AT398" i="3"/>
  <c r="AP398" i="3"/>
  <c r="AO398" i="3"/>
  <c r="BB420" i="3"/>
  <c r="AZ420" i="3"/>
  <c r="AT420" i="3"/>
  <c r="AP420" i="3"/>
  <c r="AO420" i="3"/>
  <c r="BB419" i="3"/>
  <c r="AZ419" i="3"/>
  <c r="AT419" i="3"/>
  <c r="AP419" i="3"/>
  <c r="AO419" i="3"/>
  <c r="BB417" i="3"/>
  <c r="AZ417" i="3"/>
  <c r="AT417" i="3"/>
  <c r="AP417" i="3"/>
  <c r="AO417" i="3"/>
  <c r="BB416" i="3"/>
  <c r="AZ416" i="3"/>
  <c r="AT416" i="3"/>
  <c r="AP416" i="3"/>
  <c r="AO416" i="3"/>
  <c r="BB415" i="3"/>
  <c r="AZ415" i="3"/>
  <c r="AT415" i="3"/>
  <c r="AP415" i="3"/>
  <c r="AO415" i="3"/>
  <c r="BB414" i="3"/>
  <c r="AZ414" i="3"/>
  <c r="AT414" i="3"/>
  <c r="AP414" i="3"/>
  <c r="AO414" i="3"/>
  <c r="BB413" i="3"/>
  <c r="AZ413" i="3"/>
  <c r="AT413" i="3"/>
  <c r="AP413" i="3"/>
  <c r="AO413" i="3"/>
  <c r="BB412" i="3"/>
  <c r="AZ412" i="3"/>
  <c r="AT412" i="3"/>
  <c r="AP412" i="3"/>
  <c r="AO412" i="3"/>
  <c r="BB411" i="3"/>
  <c r="AZ411" i="3"/>
  <c r="AT411" i="3"/>
  <c r="AP411" i="3"/>
  <c r="AO411" i="3"/>
  <c r="BB410" i="3"/>
  <c r="AZ410" i="3"/>
  <c r="AT410" i="3"/>
  <c r="AP410" i="3"/>
  <c r="AO410" i="3"/>
  <c r="BB409" i="3"/>
  <c r="AZ409" i="3"/>
  <c r="AT409" i="3"/>
  <c r="AP409" i="3"/>
  <c r="AO409" i="3"/>
  <c r="BB395" i="3"/>
  <c r="AZ395" i="3"/>
  <c r="AT395" i="3"/>
  <c r="AP395" i="3"/>
  <c r="AO395" i="3"/>
  <c r="BB394" i="3"/>
  <c r="AZ394" i="3"/>
  <c r="AT394" i="3"/>
  <c r="AP394" i="3"/>
  <c r="AO394" i="3"/>
  <c r="BB418" i="3"/>
  <c r="AZ418" i="3"/>
  <c r="AT418" i="3"/>
  <c r="AP418" i="3"/>
  <c r="AO418" i="3"/>
  <c r="BB397" i="3"/>
  <c r="AZ397" i="3"/>
  <c r="AT397" i="3"/>
  <c r="AP397" i="3"/>
  <c r="AO397" i="3"/>
  <c r="BB396" i="3"/>
  <c r="AZ396" i="3"/>
  <c r="AT396" i="3"/>
  <c r="AP396" i="3"/>
  <c r="AO396" i="3"/>
  <c r="BB392" i="3"/>
  <c r="AZ392" i="3"/>
  <c r="AT392" i="3"/>
  <c r="AP392" i="3"/>
  <c r="AO392" i="3"/>
  <c r="BB391" i="3"/>
  <c r="AZ391" i="3"/>
  <c r="AT391" i="3"/>
  <c r="AP391" i="3"/>
  <c r="AO391" i="3"/>
  <c r="BB408" i="3"/>
  <c r="AZ408" i="3"/>
  <c r="AT408" i="3"/>
  <c r="AP408" i="3"/>
  <c r="AO408" i="3"/>
  <c r="BB407" i="3"/>
  <c r="AZ407" i="3"/>
  <c r="AT407" i="3"/>
  <c r="AP407" i="3"/>
  <c r="AO407" i="3"/>
  <c r="BB406" i="3"/>
  <c r="AZ406" i="3"/>
  <c r="AT406" i="3"/>
  <c r="AP406" i="3"/>
  <c r="AO406" i="3"/>
  <c r="BB405" i="3"/>
  <c r="AZ405" i="3"/>
  <c r="AT405" i="3"/>
  <c r="AP405" i="3"/>
  <c r="AO405" i="3"/>
  <c r="BB404" i="3"/>
  <c r="AZ404" i="3"/>
  <c r="AT404" i="3"/>
  <c r="AP404" i="3"/>
  <c r="AO404" i="3"/>
  <c r="BB403" i="3"/>
  <c r="AZ403" i="3"/>
  <c r="AT403" i="3"/>
  <c r="AP403" i="3"/>
  <c r="AO403" i="3"/>
  <c r="BB388" i="3"/>
  <c r="AZ388" i="3"/>
  <c r="AT388" i="3"/>
  <c r="AP388" i="3"/>
  <c r="AO388" i="3"/>
  <c r="BB387" i="3"/>
  <c r="AZ387" i="3"/>
  <c r="AT387" i="3"/>
  <c r="AP387" i="3"/>
  <c r="AO387" i="3"/>
  <c r="BB386" i="3"/>
  <c r="AZ386" i="3"/>
  <c r="AT386" i="3"/>
  <c r="AP386" i="3"/>
  <c r="AO386" i="3"/>
  <c r="BB390" i="3"/>
  <c r="AZ390" i="3"/>
  <c r="AT390" i="3"/>
  <c r="AP390" i="3"/>
  <c r="AO390" i="3"/>
  <c r="BB389" i="3"/>
  <c r="AZ389" i="3"/>
  <c r="AT389" i="3"/>
  <c r="AP389" i="3"/>
  <c r="AO389" i="3"/>
  <c r="BB363" i="3"/>
  <c r="AZ363" i="3"/>
  <c r="AT363" i="3"/>
  <c r="AP363" i="3"/>
  <c r="AO363" i="3"/>
  <c r="BB383" i="3"/>
  <c r="AZ383" i="3"/>
  <c r="AT383" i="3"/>
  <c r="AP383" i="3"/>
  <c r="AO383" i="3"/>
  <c r="BB382" i="3"/>
  <c r="AZ382" i="3"/>
  <c r="AT382" i="3"/>
  <c r="AP382" i="3"/>
  <c r="AO382" i="3"/>
  <c r="BB381" i="3"/>
  <c r="AZ381" i="3"/>
  <c r="AT381" i="3"/>
  <c r="AP381" i="3"/>
  <c r="AO381" i="3"/>
  <c r="BB360" i="3"/>
  <c r="AZ360" i="3"/>
  <c r="AT360" i="3"/>
  <c r="AP360" i="3"/>
  <c r="AO360" i="3"/>
  <c r="BB380" i="3"/>
  <c r="AZ380" i="3"/>
  <c r="AT380" i="3"/>
  <c r="AP380" i="3"/>
  <c r="AO380" i="3"/>
  <c r="BB379" i="3"/>
  <c r="AZ379" i="3"/>
  <c r="AT379" i="3"/>
  <c r="AP379" i="3"/>
  <c r="AO379" i="3"/>
  <c r="BB378" i="3"/>
  <c r="AZ378" i="3"/>
  <c r="AT378" i="3"/>
  <c r="AP378" i="3"/>
  <c r="AO378" i="3"/>
  <c r="BB377" i="3"/>
  <c r="AZ377" i="3"/>
  <c r="AT377" i="3"/>
  <c r="AP377" i="3"/>
  <c r="AO377" i="3"/>
  <c r="BB356" i="3"/>
  <c r="AZ356" i="3"/>
  <c r="AT356" i="3"/>
  <c r="AP356" i="3"/>
  <c r="AO356" i="3"/>
  <c r="BB376" i="3"/>
  <c r="AZ376" i="3"/>
  <c r="AT376" i="3"/>
  <c r="AP376" i="3"/>
  <c r="AO376" i="3"/>
  <c r="BB375" i="3"/>
  <c r="AZ375" i="3"/>
  <c r="AT375" i="3"/>
  <c r="AP375" i="3"/>
  <c r="AO375" i="3"/>
  <c r="BB374" i="3"/>
  <c r="AZ374" i="3"/>
  <c r="AT374" i="3"/>
  <c r="AP374" i="3"/>
  <c r="AO374" i="3"/>
  <c r="BB358" i="3"/>
  <c r="AZ358" i="3"/>
  <c r="AT358" i="3"/>
  <c r="AP358" i="3"/>
  <c r="AO358" i="3"/>
  <c r="BB373" i="3"/>
  <c r="AZ373" i="3"/>
  <c r="AT373" i="3"/>
  <c r="AP373" i="3"/>
  <c r="AO373" i="3"/>
  <c r="BB362" i="3"/>
  <c r="AZ362" i="3"/>
  <c r="AT362" i="3"/>
  <c r="AP362" i="3"/>
  <c r="AO362" i="3"/>
  <c r="BB372" i="3"/>
  <c r="AZ372" i="3"/>
  <c r="AT372" i="3"/>
  <c r="AP372" i="3"/>
  <c r="AO372" i="3"/>
  <c r="BB371" i="3"/>
  <c r="AZ371" i="3"/>
  <c r="AT371" i="3"/>
  <c r="AP371" i="3"/>
  <c r="AO371" i="3"/>
  <c r="BB370" i="3"/>
  <c r="AZ370" i="3"/>
  <c r="AT370" i="3"/>
  <c r="AP370" i="3"/>
  <c r="AO370" i="3"/>
  <c r="BB369" i="3"/>
  <c r="AZ369" i="3"/>
  <c r="AT369" i="3"/>
  <c r="AP369" i="3"/>
  <c r="AO369" i="3"/>
  <c r="BB368" i="3"/>
  <c r="AZ368" i="3"/>
  <c r="AT368" i="3"/>
  <c r="AP368" i="3"/>
  <c r="AO368" i="3"/>
  <c r="BB367" i="3"/>
  <c r="AZ367" i="3"/>
  <c r="AT367" i="3"/>
  <c r="AP367" i="3"/>
  <c r="AO367" i="3"/>
  <c r="BB361" i="3"/>
  <c r="AZ361" i="3"/>
  <c r="AT361" i="3"/>
  <c r="AP361" i="3"/>
  <c r="AO361" i="3"/>
  <c r="BB366" i="3"/>
  <c r="AZ366" i="3"/>
  <c r="AT366" i="3"/>
  <c r="AP366" i="3"/>
  <c r="AO366" i="3"/>
  <c r="BB365" i="3"/>
  <c r="AZ365" i="3"/>
  <c r="AT365" i="3"/>
  <c r="AP365" i="3"/>
  <c r="AO365" i="3"/>
  <c r="BB364" i="3"/>
  <c r="AZ364" i="3"/>
  <c r="AT364" i="3"/>
  <c r="AP364" i="3"/>
  <c r="AO364" i="3"/>
  <c r="BB354" i="3"/>
  <c r="AZ354" i="3"/>
  <c r="AT354" i="3"/>
  <c r="AP354" i="3"/>
  <c r="AO354" i="3"/>
  <c r="BB359" i="3"/>
  <c r="AZ359" i="3"/>
  <c r="AT359" i="3"/>
  <c r="AP359" i="3"/>
  <c r="AO359" i="3"/>
  <c r="BB353" i="3"/>
  <c r="AZ353" i="3"/>
  <c r="AT353" i="3"/>
  <c r="AP353" i="3"/>
  <c r="AO353" i="3"/>
  <c r="BB357" i="3"/>
  <c r="AZ357" i="3"/>
  <c r="AT357" i="3"/>
  <c r="AP357" i="3"/>
  <c r="AO357" i="3"/>
  <c r="BB355" i="3"/>
  <c r="AZ355" i="3"/>
  <c r="AT355" i="3"/>
  <c r="AP355" i="3"/>
  <c r="AO355" i="3"/>
  <c r="BB393" i="3"/>
  <c r="AZ393" i="3"/>
  <c r="AT393" i="3"/>
  <c r="AP393" i="3"/>
  <c r="AO393" i="3"/>
  <c r="BB402" i="3"/>
  <c r="AZ402" i="3"/>
  <c r="AT402" i="3"/>
  <c r="AP402" i="3"/>
  <c r="AO402" i="3"/>
  <c r="BB385" i="3"/>
  <c r="AZ385" i="3"/>
  <c r="AT385" i="3"/>
  <c r="AP385" i="3"/>
  <c r="AO385" i="3"/>
  <c r="BB384" i="3"/>
  <c r="AZ384" i="3"/>
  <c r="AT384" i="3"/>
  <c r="AP384" i="3"/>
  <c r="AO384" i="3"/>
  <c r="BB298" i="3"/>
  <c r="AZ298" i="3"/>
  <c r="AT298" i="3"/>
  <c r="AP298" i="3"/>
  <c r="AO298" i="3"/>
  <c r="BB297" i="3"/>
  <c r="AZ297" i="3"/>
  <c r="AT297" i="3"/>
  <c r="AP297" i="3"/>
  <c r="AO297" i="3"/>
  <c r="BB341" i="3"/>
  <c r="AZ341" i="3"/>
  <c r="AT341" i="3"/>
  <c r="AP341" i="3"/>
  <c r="AO341" i="3"/>
  <c r="BB340" i="3"/>
  <c r="AZ340" i="3"/>
  <c r="AT340" i="3"/>
  <c r="AP340" i="3"/>
  <c r="AO340" i="3"/>
  <c r="BB339" i="3"/>
  <c r="AZ339" i="3"/>
  <c r="AT339" i="3"/>
  <c r="AP339" i="3"/>
  <c r="AO339" i="3"/>
  <c r="BB338" i="3"/>
  <c r="AZ338" i="3"/>
  <c r="AT338" i="3"/>
  <c r="AP338" i="3"/>
  <c r="AO338" i="3"/>
  <c r="BB337" i="3"/>
  <c r="AZ337" i="3"/>
  <c r="AT337" i="3"/>
  <c r="AP337" i="3"/>
  <c r="AO337" i="3"/>
  <c r="BB336" i="3"/>
  <c r="AZ336" i="3"/>
  <c r="AT336" i="3"/>
  <c r="AP336" i="3"/>
  <c r="AO336" i="3"/>
  <c r="BB335" i="3"/>
  <c r="AZ335" i="3"/>
  <c r="AT335" i="3"/>
  <c r="AP335" i="3"/>
  <c r="AO335" i="3"/>
  <c r="BB334" i="3"/>
  <c r="AZ334" i="3"/>
  <c r="AT334" i="3"/>
  <c r="AP334" i="3"/>
  <c r="AO334" i="3"/>
  <c r="BB333" i="3"/>
  <c r="AZ333" i="3"/>
  <c r="AT333" i="3"/>
  <c r="AP333" i="3"/>
  <c r="AO333" i="3"/>
  <c r="BB332" i="3"/>
  <c r="AZ332" i="3"/>
  <c r="AT332" i="3"/>
  <c r="AP332" i="3"/>
  <c r="AO332" i="3"/>
  <c r="BB331" i="3"/>
  <c r="AZ331" i="3"/>
  <c r="AT331" i="3"/>
  <c r="AP331" i="3"/>
  <c r="AO331" i="3"/>
  <c r="BB330" i="3"/>
  <c r="AZ330" i="3"/>
  <c r="AT330" i="3"/>
  <c r="AP330" i="3"/>
  <c r="AO330" i="3"/>
  <c r="BB292" i="3"/>
  <c r="AZ292" i="3"/>
  <c r="AT292" i="3"/>
  <c r="AP292" i="3"/>
  <c r="AO292" i="3"/>
  <c r="BB288" i="3"/>
  <c r="AZ288" i="3"/>
  <c r="AT288" i="3"/>
  <c r="AP288" i="3"/>
  <c r="AO288" i="3"/>
  <c r="BB282" i="3"/>
  <c r="AZ282" i="3"/>
  <c r="AT282" i="3"/>
  <c r="AP282" i="3"/>
  <c r="AO282" i="3"/>
  <c r="BB329" i="3"/>
  <c r="AZ329" i="3"/>
  <c r="AT329" i="3"/>
  <c r="AP329" i="3"/>
  <c r="AO329" i="3"/>
  <c r="BB328" i="3"/>
  <c r="AZ328" i="3"/>
  <c r="AT328" i="3"/>
  <c r="AP328" i="3"/>
  <c r="AO328" i="3"/>
  <c r="BB327" i="3"/>
  <c r="AZ327" i="3"/>
  <c r="AT327" i="3"/>
  <c r="AP327" i="3"/>
  <c r="AO327" i="3"/>
  <c r="BB326" i="3"/>
  <c r="AZ326" i="3"/>
  <c r="AT326" i="3"/>
  <c r="AP326" i="3"/>
  <c r="AO326" i="3"/>
  <c r="BB291" i="3"/>
  <c r="AZ291" i="3"/>
  <c r="AT291" i="3"/>
  <c r="AP291" i="3"/>
  <c r="AO291" i="3"/>
  <c r="BB325" i="3"/>
  <c r="AZ325" i="3"/>
  <c r="AT325" i="3"/>
  <c r="AP325" i="3"/>
  <c r="AO325" i="3"/>
  <c r="BB293" i="3"/>
  <c r="AZ293" i="3"/>
  <c r="AT293" i="3"/>
  <c r="AP293" i="3"/>
  <c r="AO293" i="3"/>
  <c r="BB324" i="3"/>
  <c r="AZ324" i="3"/>
  <c r="AT324" i="3"/>
  <c r="AP324" i="3"/>
  <c r="AO324" i="3"/>
  <c r="BB323" i="3"/>
  <c r="AZ323" i="3"/>
  <c r="AT323" i="3"/>
  <c r="AP323" i="3"/>
  <c r="AO323" i="3"/>
  <c r="BB322" i="3"/>
  <c r="AZ322" i="3"/>
  <c r="AT322" i="3"/>
  <c r="AP322" i="3"/>
  <c r="AO322" i="3"/>
  <c r="BB321" i="3"/>
  <c r="AZ321" i="3"/>
  <c r="AT321" i="3"/>
  <c r="AP321" i="3"/>
  <c r="AO321" i="3"/>
  <c r="BB296" i="3"/>
  <c r="AZ296" i="3"/>
  <c r="AT296" i="3"/>
  <c r="AP296" i="3"/>
  <c r="AO296" i="3"/>
  <c r="BB320" i="3"/>
  <c r="AZ320" i="3"/>
  <c r="AT320" i="3"/>
  <c r="AP320" i="3"/>
  <c r="AO320" i="3"/>
  <c r="BB319" i="3"/>
  <c r="AZ319" i="3"/>
  <c r="AT319" i="3"/>
  <c r="AP319" i="3"/>
  <c r="AO319" i="3"/>
  <c r="BB318" i="3"/>
  <c r="AZ318" i="3"/>
  <c r="AT318" i="3"/>
  <c r="AP318" i="3"/>
  <c r="AO318" i="3"/>
  <c r="BB317" i="3"/>
  <c r="AZ317" i="3"/>
  <c r="AT317" i="3"/>
  <c r="AP317" i="3"/>
  <c r="AO317" i="3"/>
  <c r="BB316" i="3"/>
  <c r="AZ316" i="3"/>
  <c r="AT316" i="3"/>
  <c r="AP316" i="3"/>
  <c r="AO316" i="3"/>
  <c r="BB315" i="3"/>
  <c r="AZ315" i="3"/>
  <c r="AT315" i="3"/>
  <c r="AP315" i="3"/>
  <c r="AO315" i="3"/>
  <c r="BB314" i="3"/>
  <c r="AZ314" i="3"/>
  <c r="AT314" i="3"/>
  <c r="AP314" i="3"/>
  <c r="AO314" i="3"/>
  <c r="BB313" i="3"/>
  <c r="AZ313" i="3"/>
  <c r="AT313" i="3"/>
  <c r="AP313" i="3"/>
  <c r="AO313" i="3"/>
  <c r="BB312" i="3"/>
  <c r="AZ312" i="3"/>
  <c r="AT312" i="3"/>
  <c r="AP312" i="3"/>
  <c r="AO312" i="3"/>
  <c r="BB311" i="3"/>
  <c r="AZ311" i="3"/>
  <c r="AT311" i="3"/>
  <c r="AP311" i="3"/>
  <c r="AO311" i="3"/>
  <c r="BB287" i="3"/>
  <c r="AZ287" i="3"/>
  <c r="AT287" i="3"/>
  <c r="AP287" i="3"/>
  <c r="AO287" i="3"/>
  <c r="BB310" i="3"/>
  <c r="AZ310" i="3"/>
  <c r="AT310" i="3"/>
  <c r="AP310" i="3"/>
  <c r="AO310" i="3"/>
  <c r="BB309" i="3"/>
  <c r="AZ309" i="3"/>
  <c r="AT309" i="3"/>
  <c r="AP309" i="3"/>
  <c r="AO309" i="3"/>
  <c r="BB308" i="3"/>
  <c r="AZ308" i="3"/>
  <c r="AT308" i="3"/>
  <c r="AP308" i="3"/>
  <c r="AO308" i="3"/>
  <c r="BB285" i="3"/>
  <c r="AZ285" i="3"/>
  <c r="AT285" i="3"/>
  <c r="AP285" i="3"/>
  <c r="AO285" i="3"/>
  <c r="BB307" i="3"/>
  <c r="AZ307" i="3"/>
  <c r="AT307" i="3"/>
  <c r="AP307" i="3"/>
  <c r="AO307" i="3"/>
  <c r="BB306" i="3"/>
  <c r="AZ306" i="3"/>
  <c r="AT306" i="3"/>
  <c r="AP306" i="3"/>
  <c r="AO306" i="3"/>
  <c r="BB289" i="3"/>
  <c r="AZ289" i="3"/>
  <c r="AT289" i="3"/>
  <c r="AP289" i="3"/>
  <c r="AO289" i="3"/>
  <c r="BB305" i="3"/>
  <c r="AZ305" i="3"/>
  <c r="AT305" i="3"/>
  <c r="AP305" i="3"/>
  <c r="AO305" i="3"/>
  <c r="BB304" i="3"/>
  <c r="AZ304" i="3"/>
  <c r="AT304" i="3"/>
  <c r="AP304" i="3"/>
  <c r="AO304" i="3"/>
  <c r="BB294" i="3"/>
  <c r="AZ294" i="3"/>
  <c r="AT294" i="3"/>
  <c r="AP294" i="3"/>
  <c r="AO294" i="3"/>
  <c r="BB303" i="3"/>
  <c r="AZ303" i="3"/>
  <c r="AT303" i="3"/>
  <c r="AP303" i="3"/>
  <c r="AO303" i="3"/>
  <c r="BB302" i="3"/>
  <c r="AZ302" i="3"/>
  <c r="AT302" i="3"/>
  <c r="AP302" i="3"/>
  <c r="AO302" i="3"/>
  <c r="BB301" i="3"/>
  <c r="AZ301" i="3"/>
  <c r="AT301" i="3"/>
  <c r="AP301" i="3"/>
  <c r="AO301" i="3"/>
  <c r="BB300" i="3"/>
  <c r="AZ300" i="3"/>
  <c r="AT300" i="3"/>
  <c r="AP300" i="3"/>
  <c r="AO300" i="3"/>
  <c r="BB290" i="3"/>
  <c r="AZ290" i="3"/>
  <c r="AT290" i="3"/>
  <c r="AP290" i="3"/>
  <c r="AO290" i="3"/>
  <c r="BB283" i="3"/>
  <c r="AZ283" i="3"/>
  <c r="AT283" i="3"/>
  <c r="AP283" i="3"/>
  <c r="AO283" i="3"/>
  <c r="BB299" i="3"/>
  <c r="AZ299" i="3"/>
  <c r="AT299" i="3"/>
  <c r="AP299" i="3"/>
  <c r="AO299" i="3"/>
  <c r="BB286" i="3"/>
  <c r="AZ286" i="3"/>
  <c r="AT286" i="3"/>
  <c r="AP286" i="3"/>
  <c r="AO286" i="3"/>
  <c r="BB284" i="3"/>
  <c r="AZ284" i="3"/>
  <c r="AT284" i="3"/>
  <c r="AP284" i="3"/>
  <c r="AO284" i="3"/>
  <c r="BB295" i="3"/>
  <c r="AZ295" i="3"/>
  <c r="AT295" i="3"/>
  <c r="AP295" i="3"/>
  <c r="AO295" i="3"/>
  <c r="BB348" i="3"/>
  <c r="AZ348" i="3"/>
  <c r="AT348" i="3"/>
  <c r="AP348" i="3"/>
  <c r="AO348" i="3"/>
  <c r="BB352" i="3"/>
  <c r="AZ352" i="3"/>
  <c r="AT352" i="3"/>
  <c r="AP352" i="3"/>
  <c r="AO352" i="3"/>
  <c r="BB350" i="3"/>
  <c r="AZ350" i="3"/>
  <c r="AT350" i="3"/>
  <c r="AP350" i="3"/>
  <c r="AO350" i="3"/>
  <c r="BB349" i="3"/>
  <c r="AZ349" i="3"/>
  <c r="AT349" i="3"/>
  <c r="AP349" i="3"/>
  <c r="AO349" i="3"/>
  <c r="BB347" i="3"/>
  <c r="AZ347" i="3"/>
  <c r="AT347" i="3"/>
  <c r="AP347" i="3"/>
  <c r="AO347" i="3"/>
  <c r="BB351" i="3"/>
  <c r="AZ351" i="3"/>
  <c r="AT351" i="3"/>
  <c r="AP351" i="3"/>
  <c r="AO351" i="3"/>
  <c r="BB346" i="3"/>
  <c r="AZ346" i="3"/>
  <c r="AT346" i="3"/>
  <c r="AP346" i="3"/>
  <c r="AO346" i="3"/>
  <c r="BB345" i="3"/>
  <c r="AZ345" i="3"/>
  <c r="AT345" i="3"/>
  <c r="AP345" i="3"/>
  <c r="AO345" i="3"/>
  <c r="BB273" i="3"/>
  <c r="AZ273" i="3"/>
  <c r="AT273" i="3"/>
  <c r="AP273" i="3"/>
  <c r="AO273" i="3"/>
  <c r="BB268" i="3"/>
  <c r="AZ268" i="3"/>
  <c r="AT268" i="3"/>
  <c r="AP268" i="3"/>
  <c r="AO268" i="3"/>
  <c r="BB272" i="3"/>
  <c r="AZ272" i="3"/>
  <c r="AT272" i="3"/>
  <c r="AP272" i="3"/>
  <c r="AO272" i="3"/>
  <c r="BB271" i="3"/>
  <c r="AZ271" i="3"/>
  <c r="AT271" i="3"/>
  <c r="AP271" i="3"/>
  <c r="AO271" i="3"/>
  <c r="BB270" i="3"/>
  <c r="AZ270" i="3"/>
  <c r="AT270" i="3"/>
  <c r="AP270" i="3"/>
  <c r="AO270" i="3"/>
  <c r="BB269" i="3"/>
  <c r="AZ269" i="3"/>
  <c r="AT269" i="3"/>
  <c r="AP269" i="3"/>
  <c r="AO269" i="3"/>
  <c r="BB221" i="3"/>
  <c r="AZ221" i="3"/>
  <c r="AT221" i="3"/>
  <c r="AP221" i="3"/>
  <c r="AO221" i="3"/>
  <c r="BB220" i="3"/>
  <c r="AZ220" i="3"/>
  <c r="AT220" i="3"/>
  <c r="AP220" i="3"/>
  <c r="AO220" i="3"/>
  <c r="BB219" i="3"/>
  <c r="AZ219" i="3"/>
  <c r="AT219" i="3"/>
  <c r="AP219" i="3"/>
  <c r="AO219" i="3"/>
  <c r="BB218" i="3"/>
  <c r="AZ218" i="3"/>
  <c r="AT218" i="3"/>
  <c r="AP218" i="3"/>
  <c r="AO218" i="3"/>
  <c r="BB217" i="3"/>
  <c r="AZ217" i="3"/>
  <c r="AT217" i="3"/>
  <c r="AP217" i="3"/>
  <c r="AO217" i="3"/>
  <c r="BB216" i="3"/>
  <c r="AZ216" i="3"/>
  <c r="AT216" i="3"/>
  <c r="AP216" i="3"/>
  <c r="AO216" i="3"/>
  <c r="BB215" i="3"/>
  <c r="AZ215" i="3"/>
  <c r="AT215" i="3"/>
  <c r="AP215" i="3"/>
  <c r="AO215" i="3"/>
  <c r="BB214" i="3"/>
  <c r="AZ214" i="3"/>
  <c r="AT214" i="3"/>
  <c r="AP214" i="3"/>
  <c r="AO214" i="3"/>
  <c r="BB213" i="3"/>
  <c r="AZ213" i="3"/>
  <c r="AT213" i="3"/>
  <c r="AP213" i="3"/>
  <c r="AO213" i="3"/>
  <c r="BB212" i="3"/>
  <c r="AZ212" i="3"/>
  <c r="AT212" i="3"/>
  <c r="AP212" i="3"/>
  <c r="AO212" i="3"/>
  <c r="BB211" i="3"/>
  <c r="AZ211" i="3"/>
  <c r="AT211" i="3"/>
  <c r="AP211" i="3"/>
  <c r="AO211" i="3"/>
  <c r="BB210" i="3"/>
  <c r="AZ210" i="3"/>
  <c r="AT210" i="3"/>
  <c r="AP210" i="3"/>
  <c r="AO210" i="3"/>
  <c r="BB209" i="3"/>
  <c r="AZ209" i="3"/>
  <c r="AT209" i="3"/>
  <c r="AP209" i="3"/>
  <c r="AO209" i="3"/>
  <c r="BB208" i="3"/>
  <c r="AZ208" i="3"/>
  <c r="AT208" i="3"/>
  <c r="AP208" i="3"/>
  <c r="AO208" i="3"/>
  <c r="BB207" i="3"/>
  <c r="AZ207" i="3"/>
  <c r="AT207" i="3"/>
  <c r="AP207" i="3"/>
  <c r="AO207" i="3"/>
  <c r="BB206" i="3"/>
  <c r="AZ206" i="3"/>
  <c r="AT206" i="3"/>
  <c r="AP206" i="3"/>
  <c r="AO206" i="3"/>
  <c r="BB205" i="3"/>
  <c r="AZ205" i="3"/>
  <c r="AT205" i="3"/>
  <c r="AP205" i="3"/>
  <c r="AO205" i="3"/>
  <c r="BB204" i="3"/>
  <c r="AZ204" i="3"/>
  <c r="AT204" i="3"/>
  <c r="AP204" i="3"/>
  <c r="AO204" i="3"/>
  <c r="BB203" i="3"/>
  <c r="AZ203" i="3"/>
  <c r="AT203" i="3"/>
  <c r="AP203" i="3"/>
  <c r="AO203" i="3"/>
  <c r="BB202" i="3"/>
  <c r="AZ202" i="3"/>
  <c r="AT202" i="3"/>
  <c r="AP202" i="3"/>
  <c r="AO202" i="3"/>
  <c r="BB281" i="3"/>
  <c r="AZ281" i="3"/>
  <c r="AT281" i="3"/>
  <c r="AP281" i="3"/>
  <c r="AO281" i="3"/>
  <c r="BB279" i="3"/>
  <c r="AZ279" i="3"/>
  <c r="AT279" i="3"/>
  <c r="AP279" i="3"/>
  <c r="AO279" i="3"/>
  <c r="BB277" i="3"/>
  <c r="AZ277" i="3"/>
  <c r="AT277" i="3"/>
  <c r="AP277" i="3"/>
  <c r="AO277" i="3"/>
  <c r="BB278" i="3"/>
  <c r="AZ278" i="3"/>
  <c r="AT278" i="3"/>
  <c r="AP278" i="3"/>
  <c r="AO278" i="3"/>
  <c r="BB280" i="3"/>
  <c r="AZ280" i="3"/>
  <c r="AT280" i="3"/>
  <c r="AP280" i="3"/>
  <c r="AO280" i="3"/>
  <c r="BB276" i="3"/>
  <c r="AZ276" i="3"/>
  <c r="AT276" i="3"/>
  <c r="AP276" i="3"/>
  <c r="AO276" i="3"/>
  <c r="BB275" i="3"/>
  <c r="AZ275" i="3"/>
  <c r="AT275" i="3"/>
  <c r="AP275" i="3"/>
  <c r="AO275" i="3"/>
  <c r="BB261" i="3"/>
  <c r="AZ261" i="3"/>
  <c r="AT261" i="3"/>
  <c r="AP261" i="3"/>
  <c r="AO261" i="3"/>
  <c r="BB260" i="3"/>
  <c r="AZ260" i="3"/>
  <c r="AT260" i="3"/>
  <c r="AP260" i="3"/>
  <c r="AO260" i="3"/>
  <c r="BB234" i="3"/>
  <c r="AZ234" i="3"/>
  <c r="AT234" i="3"/>
  <c r="AP234" i="3"/>
  <c r="AO234" i="3"/>
  <c r="BB259" i="3"/>
  <c r="AZ259" i="3"/>
  <c r="AT259" i="3"/>
  <c r="AP259" i="3"/>
  <c r="AO259" i="3"/>
  <c r="BB258" i="3"/>
  <c r="AZ258" i="3"/>
  <c r="AT258" i="3"/>
  <c r="AP258" i="3"/>
  <c r="AO258" i="3"/>
  <c r="BB235" i="3"/>
  <c r="AZ235" i="3"/>
  <c r="AT235" i="3"/>
  <c r="AP235" i="3"/>
  <c r="AO235" i="3"/>
  <c r="BB257" i="3"/>
  <c r="AZ257" i="3"/>
  <c r="AT257" i="3"/>
  <c r="AP257" i="3"/>
  <c r="AO257" i="3"/>
  <c r="BB256" i="3"/>
  <c r="AZ256" i="3"/>
  <c r="AT256" i="3"/>
  <c r="AP256" i="3"/>
  <c r="AO256" i="3"/>
  <c r="BB255" i="3"/>
  <c r="AZ255" i="3"/>
  <c r="AT255" i="3"/>
  <c r="AP255" i="3"/>
  <c r="AO255" i="3"/>
  <c r="BB254" i="3"/>
  <c r="AZ254" i="3"/>
  <c r="AT254" i="3"/>
  <c r="AP254" i="3"/>
  <c r="AO254" i="3"/>
  <c r="BB233" i="3"/>
  <c r="AZ233" i="3"/>
  <c r="AT233" i="3"/>
  <c r="AP233" i="3"/>
  <c r="AO233" i="3"/>
  <c r="BB253" i="3"/>
  <c r="AZ253" i="3"/>
  <c r="AT253" i="3"/>
  <c r="AP253" i="3"/>
  <c r="AO253" i="3"/>
  <c r="BB252" i="3"/>
  <c r="AZ252" i="3"/>
  <c r="AT252" i="3"/>
  <c r="AP252" i="3"/>
  <c r="AO252" i="3"/>
  <c r="BB251" i="3"/>
  <c r="AZ251" i="3"/>
  <c r="AT251" i="3"/>
  <c r="AP251" i="3"/>
  <c r="AO251" i="3"/>
  <c r="BB250" i="3"/>
  <c r="AZ250" i="3"/>
  <c r="AT250" i="3"/>
  <c r="AP250" i="3"/>
  <c r="AO250" i="3"/>
  <c r="BB249" i="3"/>
  <c r="AZ249" i="3"/>
  <c r="AT249" i="3"/>
  <c r="AP249" i="3"/>
  <c r="AO249" i="3"/>
  <c r="BB248" i="3"/>
  <c r="AZ248" i="3"/>
  <c r="AT248" i="3"/>
  <c r="AP248" i="3"/>
  <c r="AO248" i="3"/>
  <c r="BB247" i="3"/>
  <c r="AZ247" i="3"/>
  <c r="AT247" i="3"/>
  <c r="AP247" i="3"/>
  <c r="AO247" i="3"/>
  <c r="BB246" i="3"/>
  <c r="AZ246" i="3"/>
  <c r="AT246" i="3"/>
  <c r="AP246" i="3"/>
  <c r="AO246" i="3"/>
  <c r="BB245" i="3"/>
  <c r="AZ245" i="3"/>
  <c r="AT245" i="3"/>
  <c r="AP245" i="3"/>
  <c r="AO245" i="3"/>
  <c r="BB244" i="3"/>
  <c r="AZ244" i="3"/>
  <c r="AT244" i="3"/>
  <c r="AP244" i="3"/>
  <c r="AO244" i="3"/>
  <c r="BB243" i="3"/>
  <c r="AZ243" i="3"/>
  <c r="AT243" i="3"/>
  <c r="AP243" i="3"/>
  <c r="AO243" i="3"/>
  <c r="BB242" i="3"/>
  <c r="AZ242" i="3"/>
  <c r="AT242" i="3"/>
  <c r="AP242" i="3"/>
  <c r="AO242" i="3"/>
  <c r="BB241" i="3"/>
  <c r="AZ241" i="3"/>
  <c r="AT241" i="3"/>
  <c r="AP241" i="3"/>
  <c r="AO241" i="3"/>
  <c r="BB240" i="3"/>
  <c r="AZ240" i="3"/>
  <c r="AT240" i="3"/>
  <c r="AP240" i="3"/>
  <c r="AO240" i="3"/>
  <c r="BB239" i="3"/>
  <c r="AZ239" i="3"/>
  <c r="AT239" i="3"/>
  <c r="AP239" i="3"/>
  <c r="AO239" i="3"/>
  <c r="BB236" i="3"/>
  <c r="AZ236" i="3"/>
  <c r="AT236" i="3"/>
  <c r="AP236" i="3"/>
  <c r="AO236" i="3"/>
  <c r="BB238" i="3"/>
  <c r="AZ238" i="3"/>
  <c r="AT238" i="3"/>
  <c r="AP238" i="3"/>
  <c r="AO238" i="3"/>
  <c r="BB232" i="3"/>
  <c r="AZ232" i="3"/>
  <c r="AT232" i="3"/>
  <c r="AP232" i="3"/>
  <c r="AO232" i="3"/>
  <c r="BB199" i="3"/>
  <c r="AZ199" i="3"/>
  <c r="AT199" i="3"/>
  <c r="AP199" i="3"/>
  <c r="AO199" i="3"/>
  <c r="BB198" i="3"/>
  <c r="AZ198" i="3"/>
  <c r="AT198" i="3"/>
  <c r="AP198" i="3"/>
  <c r="AO198" i="3"/>
  <c r="BB197" i="3"/>
  <c r="AZ197" i="3"/>
  <c r="AT197" i="3"/>
  <c r="AP197" i="3"/>
  <c r="AO197" i="3"/>
  <c r="BB196" i="3"/>
  <c r="AZ196" i="3"/>
  <c r="AT196" i="3"/>
  <c r="AP196" i="3"/>
  <c r="AO196" i="3"/>
  <c r="BB195" i="3"/>
  <c r="AZ195" i="3"/>
  <c r="AT195" i="3"/>
  <c r="AP195" i="3"/>
  <c r="AO195" i="3"/>
  <c r="BB194" i="3"/>
  <c r="AZ194" i="3"/>
  <c r="AT194" i="3"/>
  <c r="AP194" i="3"/>
  <c r="AO194" i="3"/>
  <c r="BB193" i="3"/>
  <c r="AZ193" i="3"/>
  <c r="AT193" i="3"/>
  <c r="AP193" i="3"/>
  <c r="AO193" i="3"/>
  <c r="BB192" i="3"/>
  <c r="AZ192" i="3"/>
  <c r="AT192" i="3"/>
  <c r="AP192" i="3"/>
  <c r="AO192" i="3"/>
  <c r="BB191" i="3"/>
  <c r="AZ191" i="3"/>
  <c r="AT191" i="3"/>
  <c r="AP191" i="3"/>
  <c r="AO191" i="3"/>
  <c r="BB190" i="3"/>
  <c r="AZ190" i="3"/>
  <c r="AT190" i="3"/>
  <c r="AP190" i="3"/>
  <c r="AO190" i="3"/>
  <c r="BB189" i="3"/>
  <c r="AZ189" i="3"/>
  <c r="AT189" i="3"/>
  <c r="AP189" i="3"/>
  <c r="AO189" i="3"/>
  <c r="BB188" i="3"/>
  <c r="AZ188" i="3"/>
  <c r="AT188" i="3"/>
  <c r="AP188" i="3"/>
  <c r="AO188" i="3"/>
  <c r="BB187" i="3"/>
  <c r="AZ187" i="3"/>
  <c r="AT187" i="3"/>
  <c r="AP187" i="3"/>
  <c r="AO187" i="3"/>
  <c r="BB186" i="3"/>
  <c r="AZ186" i="3"/>
  <c r="AT186" i="3"/>
  <c r="AP186" i="3"/>
  <c r="AO186" i="3"/>
  <c r="BB185" i="3"/>
  <c r="AZ185" i="3"/>
  <c r="AT185" i="3"/>
  <c r="AP185" i="3"/>
  <c r="AO185" i="3"/>
  <c r="BB184" i="3"/>
  <c r="AZ184" i="3"/>
  <c r="AT184" i="3"/>
  <c r="AP184" i="3"/>
  <c r="AO184" i="3"/>
  <c r="BB183" i="3"/>
  <c r="AZ183" i="3"/>
  <c r="AT183" i="3"/>
  <c r="AP183" i="3"/>
  <c r="AO183" i="3"/>
  <c r="BB182" i="3"/>
  <c r="AZ182" i="3"/>
  <c r="AT182" i="3"/>
  <c r="AP182" i="3"/>
  <c r="AO182" i="3"/>
  <c r="BB181" i="3"/>
  <c r="AZ181" i="3"/>
  <c r="AT181" i="3"/>
  <c r="AP181" i="3"/>
  <c r="AO181" i="3"/>
  <c r="BB180" i="3"/>
  <c r="AZ180" i="3"/>
  <c r="AT180" i="3"/>
  <c r="AP180" i="3"/>
  <c r="AO180" i="3"/>
  <c r="BB179" i="3"/>
  <c r="AZ179" i="3"/>
  <c r="AT179" i="3"/>
  <c r="AP179" i="3"/>
  <c r="AO179" i="3"/>
  <c r="BB178" i="3"/>
  <c r="AZ178" i="3"/>
  <c r="AT178" i="3"/>
  <c r="AP178" i="3"/>
  <c r="AO178" i="3"/>
  <c r="BB177" i="3"/>
  <c r="AZ177" i="3"/>
  <c r="AT177" i="3"/>
  <c r="AP177" i="3"/>
  <c r="AO177" i="3"/>
  <c r="BB176" i="3"/>
  <c r="AZ176" i="3"/>
  <c r="AT176" i="3"/>
  <c r="AP176" i="3"/>
  <c r="AO176" i="3"/>
  <c r="BB237" i="3"/>
  <c r="AZ237" i="3"/>
  <c r="AT237" i="3"/>
  <c r="AP237" i="3"/>
  <c r="AO237" i="3"/>
  <c r="BB343" i="3"/>
  <c r="AZ343" i="3"/>
  <c r="AT343" i="3"/>
  <c r="AP343" i="3"/>
  <c r="AO343" i="3"/>
  <c r="BB344" i="3"/>
  <c r="AZ344" i="3"/>
  <c r="AT344" i="3"/>
  <c r="AP344" i="3"/>
  <c r="AO344" i="3"/>
  <c r="BB342" i="3"/>
  <c r="AZ342" i="3"/>
  <c r="AT342" i="3"/>
  <c r="AP342" i="3"/>
  <c r="AO342" i="3"/>
  <c r="BB267" i="3"/>
  <c r="AZ267" i="3"/>
  <c r="AT267" i="3"/>
  <c r="AP267" i="3"/>
  <c r="AO267" i="3"/>
  <c r="BB266" i="3"/>
  <c r="AZ266" i="3"/>
  <c r="AT266" i="3"/>
  <c r="AP266" i="3"/>
  <c r="AO266" i="3"/>
  <c r="BB264" i="3"/>
  <c r="AZ264" i="3"/>
  <c r="AT264" i="3"/>
  <c r="AP264" i="3"/>
  <c r="AO264" i="3"/>
  <c r="BB265" i="3"/>
  <c r="AZ265" i="3"/>
  <c r="AT265" i="3"/>
  <c r="AP265" i="3"/>
  <c r="AO265" i="3"/>
  <c r="BB201" i="3"/>
  <c r="AZ201" i="3"/>
  <c r="AT201" i="3"/>
  <c r="AP201" i="3"/>
  <c r="AO201" i="3"/>
  <c r="BB200" i="3"/>
  <c r="AZ200" i="3"/>
  <c r="AT200" i="3"/>
  <c r="AP200" i="3"/>
  <c r="AO200" i="3"/>
  <c r="BB159" i="3"/>
  <c r="AZ159" i="3"/>
  <c r="AT159" i="3"/>
  <c r="AP159" i="3"/>
  <c r="AO159" i="3"/>
  <c r="BB153" i="3"/>
  <c r="AZ153" i="3"/>
  <c r="AT153" i="3"/>
  <c r="AP153" i="3"/>
  <c r="AO153" i="3"/>
  <c r="BB173" i="3"/>
  <c r="AZ173" i="3"/>
  <c r="AT173" i="3"/>
  <c r="AP173" i="3"/>
  <c r="AO173" i="3"/>
  <c r="BB172" i="3"/>
  <c r="AZ172" i="3"/>
  <c r="AT172" i="3"/>
  <c r="AP172" i="3"/>
  <c r="AO172" i="3"/>
  <c r="BB171" i="3"/>
  <c r="AZ171" i="3"/>
  <c r="AT171" i="3"/>
  <c r="AP171" i="3"/>
  <c r="AO171" i="3"/>
  <c r="BB170" i="3"/>
  <c r="AZ170" i="3"/>
  <c r="AT170" i="3"/>
  <c r="AP170" i="3"/>
  <c r="AO170" i="3"/>
  <c r="BB169" i="3"/>
  <c r="AZ169" i="3"/>
  <c r="AT169" i="3"/>
  <c r="AP169" i="3"/>
  <c r="AO169" i="3"/>
  <c r="BB168" i="3"/>
  <c r="AZ168" i="3"/>
  <c r="AT168" i="3"/>
  <c r="AP168" i="3"/>
  <c r="AO168" i="3"/>
  <c r="BB167" i="3"/>
  <c r="AZ167" i="3"/>
  <c r="AT167" i="3"/>
  <c r="AP167" i="3"/>
  <c r="AO167" i="3"/>
  <c r="BB166" i="3"/>
  <c r="AZ166" i="3"/>
  <c r="AT166" i="3"/>
  <c r="AP166" i="3"/>
  <c r="AO166" i="3"/>
  <c r="BB165" i="3"/>
  <c r="AZ165" i="3"/>
  <c r="AT165" i="3"/>
  <c r="AP165" i="3"/>
  <c r="AO165" i="3"/>
  <c r="BB164" i="3"/>
  <c r="AZ164" i="3"/>
  <c r="AT164" i="3"/>
  <c r="AP164" i="3"/>
  <c r="AO164" i="3"/>
  <c r="BB163" i="3"/>
  <c r="AZ163" i="3"/>
  <c r="AT163" i="3"/>
  <c r="AP163" i="3"/>
  <c r="AO163" i="3"/>
  <c r="BB162" i="3"/>
  <c r="AZ162" i="3"/>
  <c r="AT162" i="3"/>
  <c r="AP162" i="3"/>
  <c r="AO162" i="3"/>
  <c r="BB161" i="3"/>
  <c r="AZ161" i="3"/>
  <c r="AT161" i="3"/>
  <c r="AP161" i="3"/>
  <c r="AO161" i="3"/>
  <c r="BB160" i="3"/>
  <c r="AZ160" i="3"/>
  <c r="AT160" i="3"/>
  <c r="AP160" i="3"/>
  <c r="AO160" i="3"/>
  <c r="BB150" i="3"/>
  <c r="AZ150" i="3"/>
  <c r="AT150" i="3"/>
  <c r="AP150" i="3"/>
  <c r="AO150" i="3"/>
  <c r="BB152" i="3"/>
  <c r="AZ152" i="3"/>
  <c r="AT152" i="3"/>
  <c r="AP152" i="3"/>
  <c r="AO152" i="3"/>
  <c r="BB149" i="3"/>
  <c r="AZ149" i="3"/>
  <c r="AT149" i="3"/>
  <c r="AP149" i="3"/>
  <c r="AO149" i="3"/>
  <c r="BB148" i="3"/>
  <c r="AZ148" i="3"/>
  <c r="AT148" i="3"/>
  <c r="AP148" i="3"/>
  <c r="AO148" i="3"/>
  <c r="BB158" i="3"/>
  <c r="AZ158" i="3"/>
  <c r="AT158" i="3"/>
  <c r="AP158" i="3"/>
  <c r="AO158" i="3"/>
  <c r="BB157" i="3"/>
  <c r="AZ157" i="3"/>
  <c r="AT157" i="3"/>
  <c r="AP157" i="3"/>
  <c r="AO157" i="3"/>
  <c r="BB156" i="3"/>
  <c r="AZ156" i="3"/>
  <c r="AT156" i="3"/>
  <c r="AP156" i="3"/>
  <c r="AO156" i="3"/>
  <c r="BB155" i="3"/>
  <c r="AZ155" i="3"/>
  <c r="AT155" i="3"/>
  <c r="AP155" i="3"/>
  <c r="AO155" i="3"/>
  <c r="BB154" i="3"/>
  <c r="AZ154" i="3"/>
  <c r="AT154" i="3"/>
  <c r="AP154" i="3"/>
  <c r="AO154" i="3"/>
  <c r="BB151" i="3"/>
  <c r="AZ151" i="3"/>
  <c r="AT151" i="3"/>
  <c r="AP151" i="3"/>
  <c r="AO151" i="3"/>
  <c r="BB274" i="3"/>
  <c r="AZ274" i="3"/>
  <c r="AT274" i="3"/>
  <c r="AP274" i="3"/>
  <c r="AO274" i="3"/>
  <c r="BB230" i="3"/>
  <c r="AZ230" i="3"/>
  <c r="AT230" i="3"/>
  <c r="AP230" i="3"/>
  <c r="AO230" i="3"/>
  <c r="BB226" i="3"/>
  <c r="AZ226" i="3"/>
  <c r="AT226" i="3"/>
  <c r="AP226" i="3"/>
  <c r="AO226" i="3"/>
  <c r="BB229" i="3"/>
  <c r="AZ229" i="3"/>
  <c r="AT229" i="3"/>
  <c r="AP229" i="3"/>
  <c r="AO229" i="3"/>
  <c r="BB228" i="3"/>
  <c r="AZ228" i="3"/>
  <c r="AT228" i="3"/>
  <c r="AP228" i="3"/>
  <c r="AO228" i="3"/>
  <c r="BB227" i="3"/>
  <c r="AZ227" i="3"/>
  <c r="AT227" i="3"/>
  <c r="AP227" i="3"/>
  <c r="AO227" i="3"/>
  <c r="BB231" i="3"/>
  <c r="AZ231" i="3"/>
  <c r="AT231" i="3"/>
  <c r="AP231" i="3"/>
  <c r="AO231" i="3"/>
  <c r="BB225" i="3"/>
  <c r="AZ225" i="3"/>
  <c r="AT225" i="3"/>
  <c r="AP225" i="3"/>
  <c r="AO225" i="3"/>
  <c r="BB175" i="3"/>
  <c r="AZ175" i="3"/>
  <c r="AT175" i="3"/>
  <c r="AP175" i="3"/>
  <c r="AO175" i="3"/>
  <c r="BB174" i="3"/>
  <c r="AZ174" i="3"/>
  <c r="AT174" i="3"/>
  <c r="AP174" i="3"/>
  <c r="AO174" i="3"/>
  <c r="BB109" i="3"/>
  <c r="AZ109" i="3"/>
  <c r="AT109" i="3"/>
  <c r="AP109" i="3"/>
  <c r="AO109" i="3"/>
  <c r="BB128" i="3"/>
  <c r="AZ128" i="3"/>
  <c r="AT128" i="3"/>
  <c r="AP128" i="3"/>
  <c r="AO128" i="3"/>
  <c r="BB108" i="3"/>
  <c r="AZ108" i="3"/>
  <c r="AT108" i="3"/>
  <c r="AP108" i="3"/>
  <c r="AO108" i="3"/>
  <c r="BB127" i="3"/>
  <c r="AZ127" i="3"/>
  <c r="AT127" i="3"/>
  <c r="AP127" i="3"/>
  <c r="AO127" i="3"/>
  <c r="BB126" i="3"/>
  <c r="AZ126" i="3"/>
  <c r="AT126" i="3"/>
  <c r="AP126" i="3"/>
  <c r="AO126" i="3"/>
  <c r="BB125" i="3"/>
  <c r="AZ125" i="3"/>
  <c r="AT125" i="3"/>
  <c r="AP125" i="3"/>
  <c r="AO125" i="3"/>
  <c r="BB124" i="3"/>
  <c r="AZ124" i="3"/>
  <c r="AT124" i="3"/>
  <c r="AP124" i="3"/>
  <c r="AO124" i="3"/>
  <c r="BB123" i="3"/>
  <c r="AZ123" i="3"/>
  <c r="AT123" i="3"/>
  <c r="AP123" i="3"/>
  <c r="AO123" i="3"/>
  <c r="BB122" i="3"/>
  <c r="AZ122" i="3"/>
  <c r="AT122" i="3"/>
  <c r="AP122" i="3"/>
  <c r="AO122" i="3"/>
  <c r="BB121" i="3"/>
  <c r="AZ121" i="3"/>
  <c r="AT121" i="3"/>
  <c r="AP121" i="3"/>
  <c r="AO121" i="3"/>
  <c r="BB120" i="3"/>
  <c r="AZ120" i="3"/>
  <c r="AT120" i="3"/>
  <c r="AP120" i="3"/>
  <c r="AO120" i="3"/>
  <c r="BB119" i="3"/>
  <c r="AZ119" i="3"/>
  <c r="AT119" i="3"/>
  <c r="AP119" i="3"/>
  <c r="AO119" i="3"/>
  <c r="BB118" i="3"/>
  <c r="AZ118" i="3"/>
  <c r="AT118" i="3"/>
  <c r="AP118" i="3"/>
  <c r="AO118" i="3"/>
  <c r="BB117" i="3"/>
  <c r="AZ117" i="3"/>
  <c r="AT117" i="3"/>
  <c r="AP117" i="3"/>
  <c r="AO117" i="3"/>
  <c r="BB116" i="3"/>
  <c r="AZ116" i="3"/>
  <c r="AT116" i="3"/>
  <c r="AP116" i="3"/>
  <c r="AO116" i="3"/>
  <c r="BB115" i="3"/>
  <c r="AZ115" i="3"/>
  <c r="AT115" i="3"/>
  <c r="AP115" i="3"/>
  <c r="AO115" i="3"/>
  <c r="BB114" i="3"/>
  <c r="AZ114" i="3"/>
  <c r="AT114" i="3"/>
  <c r="AP114" i="3"/>
  <c r="AO114" i="3"/>
  <c r="BB113" i="3"/>
  <c r="AZ113" i="3"/>
  <c r="AT113" i="3"/>
  <c r="AP113" i="3"/>
  <c r="AO113" i="3"/>
  <c r="BB112" i="3"/>
  <c r="AZ112" i="3"/>
  <c r="AT112" i="3"/>
  <c r="AP112" i="3"/>
  <c r="AO112" i="3"/>
  <c r="BB111" i="3"/>
  <c r="AZ111" i="3"/>
  <c r="AT111" i="3"/>
  <c r="AP111" i="3"/>
  <c r="AO111" i="3"/>
  <c r="BB110" i="3"/>
  <c r="AZ110" i="3"/>
  <c r="AT110" i="3"/>
  <c r="AP110" i="3"/>
  <c r="AO110" i="3"/>
  <c r="BB92" i="3"/>
  <c r="AZ92" i="3"/>
  <c r="AT92" i="3"/>
  <c r="AP92" i="3"/>
  <c r="AO92" i="3"/>
  <c r="BB100" i="3"/>
  <c r="AZ100" i="3"/>
  <c r="AT100" i="3"/>
  <c r="AP100" i="3"/>
  <c r="AO100" i="3"/>
  <c r="BB91" i="3"/>
  <c r="AZ91" i="3"/>
  <c r="AT91" i="3"/>
  <c r="AP91" i="3"/>
  <c r="AO91" i="3"/>
  <c r="BB99" i="3"/>
  <c r="AZ99" i="3"/>
  <c r="AT99" i="3"/>
  <c r="AP99" i="3"/>
  <c r="AO99" i="3"/>
  <c r="BB90" i="3"/>
  <c r="AZ90" i="3"/>
  <c r="AT90" i="3"/>
  <c r="AP90" i="3"/>
  <c r="AO90" i="3"/>
  <c r="BB107" i="3"/>
  <c r="AZ107" i="3"/>
  <c r="AT107" i="3"/>
  <c r="AP107" i="3"/>
  <c r="AO107" i="3"/>
  <c r="BB106" i="3"/>
  <c r="AZ106" i="3"/>
  <c r="AT106" i="3"/>
  <c r="AP106" i="3"/>
  <c r="AO106" i="3"/>
  <c r="BB105" i="3"/>
  <c r="AZ105" i="3"/>
  <c r="AT105" i="3"/>
  <c r="AP105" i="3"/>
  <c r="AO105" i="3"/>
  <c r="BB104" i="3"/>
  <c r="AZ104" i="3"/>
  <c r="AT104" i="3"/>
  <c r="AP104" i="3"/>
  <c r="AO104" i="3"/>
  <c r="BB98" i="3"/>
  <c r="AZ98" i="3"/>
  <c r="AT98" i="3"/>
  <c r="AP98" i="3"/>
  <c r="AO98" i="3"/>
  <c r="BB97" i="3"/>
  <c r="AZ97" i="3"/>
  <c r="AT97" i="3"/>
  <c r="AP97" i="3"/>
  <c r="AO97" i="3"/>
  <c r="BB89" i="3"/>
  <c r="AZ89" i="3"/>
  <c r="AT89" i="3"/>
  <c r="AP89" i="3"/>
  <c r="AO89" i="3"/>
  <c r="BB103" i="3"/>
  <c r="AZ103" i="3"/>
  <c r="AT103" i="3"/>
  <c r="AP103" i="3"/>
  <c r="AO103" i="3"/>
  <c r="BB88" i="3"/>
  <c r="AZ88" i="3"/>
  <c r="AT88" i="3"/>
  <c r="AP88" i="3"/>
  <c r="AO88" i="3"/>
  <c r="BB96" i="3"/>
  <c r="AZ96" i="3"/>
  <c r="AT96" i="3"/>
  <c r="AP96" i="3"/>
  <c r="AO96" i="3"/>
  <c r="BB95" i="3"/>
  <c r="AZ95" i="3"/>
  <c r="AT95" i="3"/>
  <c r="AP95" i="3"/>
  <c r="AO95" i="3"/>
  <c r="BB102" i="3"/>
  <c r="AZ102" i="3"/>
  <c r="AT102" i="3"/>
  <c r="AP102" i="3"/>
  <c r="AO102" i="3"/>
  <c r="BB101" i="3"/>
  <c r="AZ101" i="3"/>
  <c r="AT101" i="3"/>
  <c r="AP101" i="3"/>
  <c r="AO101" i="3"/>
  <c r="BB94" i="3"/>
  <c r="AZ94" i="3"/>
  <c r="AT94" i="3"/>
  <c r="AP94" i="3"/>
  <c r="AO94" i="3"/>
  <c r="BB93" i="3"/>
  <c r="AZ93" i="3"/>
  <c r="AT93" i="3"/>
  <c r="AP93" i="3"/>
  <c r="AO93" i="3"/>
  <c r="BB263" i="3"/>
  <c r="AZ263" i="3"/>
  <c r="AT263" i="3"/>
  <c r="AP263" i="3"/>
  <c r="AO263" i="3"/>
  <c r="BB262" i="3"/>
  <c r="AZ262" i="3"/>
  <c r="AT262" i="3"/>
  <c r="AP262" i="3"/>
  <c r="AO262" i="3"/>
  <c r="BB147" i="3"/>
  <c r="AZ147" i="3"/>
  <c r="AT147" i="3"/>
  <c r="AP147" i="3"/>
  <c r="AO147" i="3"/>
  <c r="BB146" i="3"/>
  <c r="AZ146" i="3"/>
  <c r="AT146" i="3"/>
  <c r="AP146" i="3"/>
  <c r="AO146" i="3"/>
  <c r="BB145" i="3"/>
  <c r="AZ145" i="3"/>
  <c r="AT145" i="3"/>
  <c r="AP145" i="3"/>
  <c r="AO145" i="3"/>
  <c r="BB144" i="3"/>
  <c r="AZ144" i="3"/>
  <c r="AT144" i="3"/>
  <c r="AP144" i="3"/>
  <c r="AO144" i="3"/>
  <c r="BB143" i="3"/>
  <c r="AZ143" i="3"/>
  <c r="AT143" i="3"/>
  <c r="AP143" i="3"/>
  <c r="AO143" i="3"/>
  <c r="BB142" i="3"/>
  <c r="AZ142" i="3"/>
  <c r="AT142" i="3"/>
  <c r="AP142" i="3"/>
  <c r="AO142" i="3"/>
  <c r="BB141" i="3"/>
  <c r="AZ141" i="3"/>
  <c r="AT141" i="3"/>
  <c r="AP141" i="3"/>
  <c r="AO141" i="3"/>
  <c r="BB140" i="3"/>
  <c r="AZ140" i="3"/>
  <c r="AT140" i="3"/>
  <c r="AP140" i="3"/>
  <c r="AO140" i="3"/>
  <c r="BB139" i="3"/>
  <c r="AZ139" i="3"/>
  <c r="AT139" i="3"/>
  <c r="AP139" i="3"/>
  <c r="AO139" i="3"/>
  <c r="BB138" i="3"/>
  <c r="AZ138" i="3"/>
  <c r="AT138" i="3"/>
  <c r="AP138" i="3"/>
  <c r="AO138" i="3"/>
  <c r="BB135" i="3"/>
  <c r="AZ135" i="3"/>
  <c r="AT135" i="3"/>
  <c r="AP135" i="3"/>
  <c r="AO135" i="3"/>
  <c r="BB137" i="3"/>
  <c r="AZ137" i="3"/>
  <c r="AT137" i="3"/>
  <c r="AP137" i="3"/>
  <c r="AO137" i="3"/>
  <c r="BB134" i="3"/>
  <c r="AZ134" i="3"/>
  <c r="AT134" i="3"/>
  <c r="AP134" i="3"/>
  <c r="AO134" i="3"/>
  <c r="BB133" i="3"/>
  <c r="AZ133" i="3"/>
  <c r="AT133" i="3"/>
  <c r="AP133" i="3"/>
  <c r="AO133" i="3"/>
  <c r="BB132" i="3"/>
  <c r="AZ132" i="3"/>
  <c r="AT132" i="3"/>
  <c r="AP132" i="3"/>
  <c r="AO132" i="3"/>
  <c r="BB136" i="3"/>
  <c r="AZ136" i="3"/>
  <c r="AT136" i="3"/>
  <c r="AP136" i="3"/>
  <c r="AO136" i="3"/>
  <c r="BB131" i="3"/>
  <c r="AZ131" i="3"/>
  <c r="AT131" i="3"/>
  <c r="AP131" i="3"/>
  <c r="AO131" i="3"/>
  <c r="BB130" i="3"/>
  <c r="AZ130" i="3"/>
  <c r="AT130" i="3"/>
  <c r="AP130" i="3"/>
  <c r="AO130" i="3"/>
  <c r="BB77" i="3"/>
  <c r="AZ77" i="3"/>
  <c r="AT77" i="3"/>
  <c r="AP77" i="3"/>
  <c r="AO77" i="3"/>
  <c r="BB84" i="3"/>
  <c r="AZ84" i="3"/>
  <c r="AT84" i="3"/>
  <c r="AP84" i="3"/>
  <c r="AO84" i="3"/>
  <c r="BB80" i="3"/>
  <c r="AZ80" i="3"/>
  <c r="AT80" i="3"/>
  <c r="AP80" i="3"/>
  <c r="AO80" i="3"/>
  <c r="BB83" i="3"/>
  <c r="AZ83" i="3"/>
  <c r="AT83" i="3"/>
  <c r="AP83" i="3"/>
  <c r="AO83" i="3"/>
  <c r="BB82" i="3"/>
  <c r="AZ82" i="3"/>
  <c r="AT82" i="3"/>
  <c r="AP82" i="3"/>
  <c r="AO82" i="3"/>
  <c r="BB76" i="3"/>
  <c r="AZ76" i="3"/>
  <c r="AT76" i="3"/>
  <c r="AP76" i="3"/>
  <c r="AO76" i="3"/>
  <c r="BB81" i="3"/>
  <c r="AZ81" i="3"/>
  <c r="AT81" i="3"/>
  <c r="AP81" i="3"/>
  <c r="AO81" i="3"/>
  <c r="BB79" i="3"/>
  <c r="AZ79" i="3"/>
  <c r="AT79" i="3"/>
  <c r="AP79" i="3"/>
  <c r="AO79" i="3"/>
  <c r="BB78" i="3"/>
  <c r="AZ78" i="3"/>
  <c r="AT78" i="3"/>
  <c r="AP78" i="3"/>
  <c r="AO78" i="3"/>
  <c r="BB75" i="3"/>
  <c r="AZ75" i="3"/>
  <c r="AT75" i="3"/>
  <c r="AP75" i="3"/>
  <c r="AO75" i="3"/>
  <c r="BB69" i="3"/>
  <c r="AZ69" i="3"/>
  <c r="AT69" i="3"/>
  <c r="AP69" i="3"/>
  <c r="AO69" i="3"/>
  <c r="BB70" i="3"/>
  <c r="AZ70" i="3"/>
  <c r="AT70" i="3"/>
  <c r="AP70" i="3"/>
  <c r="AO70" i="3"/>
  <c r="BB74" i="3"/>
  <c r="AZ74" i="3"/>
  <c r="AT74" i="3"/>
  <c r="AP74" i="3"/>
  <c r="AO74" i="3"/>
  <c r="BB73" i="3"/>
  <c r="AZ73" i="3"/>
  <c r="AT73" i="3"/>
  <c r="AP73" i="3"/>
  <c r="AO73" i="3"/>
  <c r="BB72" i="3"/>
  <c r="AZ72" i="3"/>
  <c r="AT72" i="3"/>
  <c r="AP72" i="3"/>
  <c r="AO72" i="3"/>
  <c r="BB71" i="3"/>
  <c r="AZ71" i="3"/>
  <c r="AT71" i="3"/>
  <c r="AP71" i="3"/>
  <c r="AO71" i="3"/>
  <c r="BB222" i="3"/>
  <c r="AZ222" i="3"/>
  <c r="AT222" i="3"/>
  <c r="AP222" i="3"/>
  <c r="AO222" i="3"/>
  <c r="BB223" i="3"/>
  <c r="AZ223" i="3"/>
  <c r="AT223" i="3"/>
  <c r="AP223" i="3"/>
  <c r="AO223" i="3"/>
  <c r="BB224" i="3"/>
  <c r="AZ224" i="3"/>
  <c r="AT224" i="3"/>
  <c r="AP224" i="3"/>
  <c r="AO224" i="3"/>
  <c r="BB87" i="3"/>
  <c r="AZ87" i="3"/>
  <c r="AT87" i="3"/>
  <c r="AP87" i="3"/>
  <c r="AO87" i="3"/>
  <c r="BB86" i="3"/>
  <c r="AZ86" i="3"/>
  <c r="AT86" i="3"/>
  <c r="AP86" i="3"/>
  <c r="AO86" i="3"/>
  <c r="BB85" i="3"/>
  <c r="AZ85" i="3"/>
  <c r="AT85" i="3"/>
  <c r="AP85" i="3"/>
  <c r="AO85" i="3"/>
  <c r="BB51" i="3"/>
  <c r="AZ51" i="3"/>
  <c r="AT51" i="3"/>
  <c r="AP51" i="3"/>
  <c r="AO51" i="3"/>
  <c r="BB50" i="3"/>
  <c r="AZ50" i="3"/>
  <c r="AT50" i="3"/>
  <c r="AP50" i="3"/>
  <c r="AO50" i="3"/>
  <c r="BB49" i="3"/>
  <c r="AZ49" i="3"/>
  <c r="AT49" i="3"/>
  <c r="AP49" i="3"/>
  <c r="AO49" i="3"/>
  <c r="BB48" i="3"/>
  <c r="AZ48" i="3"/>
  <c r="AT48" i="3"/>
  <c r="AP48" i="3"/>
  <c r="AO48" i="3"/>
  <c r="BB47" i="3"/>
  <c r="AZ47" i="3"/>
  <c r="AT47" i="3"/>
  <c r="AP47" i="3"/>
  <c r="AO47" i="3"/>
  <c r="BB46" i="3"/>
  <c r="AZ46" i="3"/>
  <c r="AT46" i="3"/>
  <c r="AP46" i="3"/>
  <c r="AO46" i="3"/>
  <c r="BB45" i="3"/>
  <c r="AZ45" i="3"/>
  <c r="AT45" i="3"/>
  <c r="AP45" i="3"/>
  <c r="AO45" i="3"/>
  <c r="BB39" i="3"/>
  <c r="AZ39" i="3"/>
  <c r="AT39" i="3"/>
  <c r="AP39" i="3"/>
  <c r="AO39" i="3"/>
  <c r="BB44" i="3"/>
  <c r="AZ44" i="3"/>
  <c r="AT44" i="3"/>
  <c r="AP44" i="3"/>
  <c r="AO44" i="3"/>
  <c r="BB43" i="3"/>
  <c r="AZ43" i="3"/>
  <c r="AT43" i="3"/>
  <c r="AP43" i="3"/>
  <c r="AO43" i="3"/>
  <c r="BB41" i="3"/>
  <c r="AZ41" i="3"/>
  <c r="AT41" i="3"/>
  <c r="AP41" i="3"/>
  <c r="AO41" i="3"/>
  <c r="BB38" i="3"/>
  <c r="AZ38" i="3"/>
  <c r="AT38" i="3"/>
  <c r="AP38" i="3"/>
  <c r="AO38" i="3"/>
  <c r="BB37" i="3"/>
  <c r="AZ37" i="3"/>
  <c r="AT37" i="3"/>
  <c r="AP37" i="3"/>
  <c r="AO37" i="3"/>
  <c r="BB40" i="3"/>
  <c r="AZ40" i="3"/>
  <c r="AT40" i="3"/>
  <c r="AP40" i="3"/>
  <c r="AO40" i="3"/>
  <c r="BB42" i="3"/>
  <c r="AZ42" i="3"/>
  <c r="AT42" i="3"/>
  <c r="AP42" i="3"/>
  <c r="AO42" i="3"/>
  <c r="BB28" i="3"/>
  <c r="AZ28" i="3"/>
  <c r="AT28" i="3"/>
  <c r="AP28" i="3"/>
  <c r="AO28" i="3"/>
  <c r="BB29" i="3"/>
  <c r="AZ29" i="3"/>
  <c r="AT29" i="3"/>
  <c r="AP29" i="3"/>
  <c r="AO29" i="3"/>
  <c r="BB31" i="3"/>
  <c r="AZ31" i="3"/>
  <c r="AT31" i="3"/>
  <c r="AP31" i="3"/>
  <c r="AO31" i="3"/>
  <c r="BB36" i="3"/>
  <c r="AZ36" i="3"/>
  <c r="AT36" i="3"/>
  <c r="AP36" i="3"/>
  <c r="AO36" i="3"/>
  <c r="BB24" i="3"/>
  <c r="AZ24" i="3"/>
  <c r="AT24" i="3"/>
  <c r="AP24" i="3"/>
  <c r="AO24" i="3"/>
  <c r="BB33" i="3"/>
  <c r="AZ33" i="3"/>
  <c r="AT33" i="3"/>
  <c r="AP33" i="3"/>
  <c r="AO33" i="3"/>
  <c r="BB23" i="3"/>
  <c r="AZ23" i="3"/>
  <c r="AT23" i="3"/>
  <c r="AP23" i="3"/>
  <c r="AO23" i="3"/>
  <c r="BB32" i="3"/>
  <c r="AZ32" i="3"/>
  <c r="AT32" i="3"/>
  <c r="AP32" i="3"/>
  <c r="AO32" i="3"/>
  <c r="BB35" i="3"/>
  <c r="AZ35" i="3"/>
  <c r="AT35" i="3"/>
  <c r="AP35" i="3"/>
  <c r="AO35" i="3"/>
  <c r="BB34" i="3"/>
  <c r="AZ34" i="3"/>
  <c r="AT34" i="3"/>
  <c r="AP34" i="3"/>
  <c r="AO34" i="3"/>
  <c r="BB26" i="3"/>
  <c r="AZ26" i="3"/>
  <c r="AT26" i="3"/>
  <c r="AP26" i="3"/>
  <c r="AO26" i="3"/>
  <c r="BB27" i="3"/>
  <c r="AZ27" i="3"/>
  <c r="AT27" i="3"/>
  <c r="AP27" i="3"/>
  <c r="AO27" i="3"/>
  <c r="BB30" i="3"/>
  <c r="AZ30" i="3"/>
  <c r="AT30" i="3"/>
  <c r="AP30" i="3"/>
  <c r="AO30" i="3"/>
  <c r="BB25" i="3"/>
  <c r="AZ25" i="3"/>
  <c r="AT25" i="3"/>
  <c r="AP25" i="3"/>
  <c r="AO25" i="3"/>
  <c r="BB129" i="3"/>
  <c r="AZ129" i="3"/>
  <c r="AT129" i="3"/>
  <c r="AP129" i="3"/>
  <c r="AO129" i="3"/>
  <c r="BB68" i="3"/>
  <c r="AZ68" i="3"/>
  <c r="AT68" i="3"/>
  <c r="AP68" i="3"/>
  <c r="AO68" i="3"/>
  <c r="BB67" i="3"/>
  <c r="AZ67" i="3"/>
  <c r="AT67" i="3"/>
  <c r="AP67" i="3"/>
  <c r="AO67" i="3"/>
  <c r="BB66" i="3"/>
  <c r="AZ66" i="3"/>
  <c r="AT66" i="3"/>
  <c r="AP66" i="3"/>
  <c r="AO66" i="3"/>
  <c r="BB62" i="3"/>
  <c r="AZ62" i="3"/>
  <c r="AT62" i="3"/>
  <c r="AP62" i="3"/>
  <c r="AO62" i="3"/>
  <c r="BB61" i="3"/>
  <c r="AZ61" i="3"/>
  <c r="AT61" i="3"/>
  <c r="AP61" i="3"/>
  <c r="AO61" i="3"/>
  <c r="BB58" i="3"/>
  <c r="AZ58" i="3"/>
  <c r="AT58" i="3"/>
  <c r="AP58" i="3"/>
  <c r="AO58" i="3"/>
  <c r="BB65" i="3"/>
  <c r="AZ65" i="3"/>
  <c r="AT65" i="3"/>
  <c r="AP65" i="3"/>
  <c r="AO65" i="3"/>
  <c r="BB57" i="3"/>
  <c r="AZ57" i="3"/>
  <c r="AT57" i="3"/>
  <c r="AP57" i="3"/>
  <c r="AO57" i="3"/>
  <c r="BB60" i="3"/>
  <c r="AZ60" i="3"/>
  <c r="AT60" i="3"/>
  <c r="AP60" i="3"/>
  <c r="AO60" i="3"/>
  <c r="BB64" i="3"/>
  <c r="AZ64" i="3"/>
  <c r="AT64" i="3"/>
  <c r="AP64" i="3"/>
  <c r="AO64" i="3"/>
  <c r="BB59" i="3"/>
  <c r="AZ59" i="3"/>
  <c r="AT59" i="3"/>
  <c r="AP59" i="3"/>
  <c r="AO59" i="3"/>
  <c r="BB63" i="3"/>
  <c r="AZ63" i="3"/>
  <c r="AT63" i="3"/>
  <c r="AP63" i="3"/>
  <c r="AO63" i="3"/>
  <c r="BB56" i="3"/>
  <c r="AZ56" i="3"/>
  <c r="AT56" i="3"/>
  <c r="AP56" i="3"/>
  <c r="AO56" i="3"/>
  <c r="BB55" i="3"/>
  <c r="AZ55" i="3"/>
  <c r="AT55" i="3"/>
  <c r="AP55" i="3"/>
  <c r="AO55" i="3"/>
  <c r="BB54" i="3"/>
  <c r="AZ54" i="3"/>
  <c r="AT54" i="3"/>
  <c r="AP54" i="3"/>
  <c r="AO54" i="3"/>
  <c r="BB53" i="3"/>
  <c r="AZ53" i="3"/>
  <c r="AT53" i="3"/>
  <c r="AP53" i="3"/>
  <c r="AO53" i="3"/>
  <c r="BB52" i="3"/>
  <c r="AZ52" i="3"/>
  <c r="AT52" i="3"/>
  <c r="AP52" i="3"/>
  <c r="AO52" i="3"/>
  <c r="BB12" i="3"/>
  <c r="AZ12" i="3"/>
  <c r="AT12" i="3"/>
  <c r="AP12" i="3"/>
  <c r="AO12" i="3"/>
  <c r="BB13" i="3"/>
  <c r="AZ13" i="3"/>
  <c r="AT13" i="3"/>
  <c r="AP13" i="3"/>
  <c r="AO13" i="3"/>
  <c r="BB19" i="3"/>
  <c r="AZ19" i="3"/>
  <c r="AT19" i="3"/>
  <c r="AP19" i="3"/>
  <c r="AO19" i="3"/>
  <c r="BB22" i="3"/>
  <c r="AZ22" i="3"/>
  <c r="AT22" i="3"/>
  <c r="AP22" i="3"/>
  <c r="AO22" i="3"/>
  <c r="BB18" i="3"/>
  <c r="AZ18" i="3"/>
  <c r="AT18" i="3"/>
  <c r="AP18" i="3"/>
  <c r="AO18" i="3"/>
  <c r="BB21" i="3"/>
  <c r="AZ21" i="3"/>
  <c r="AT21" i="3"/>
  <c r="AP21" i="3"/>
  <c r="AO21" i="3"/>
  <c r="BB20" i="3"/>
  <c r="AZ20" i="3"/>
  <c r="AT20" i="3"/>
  <c r="AP20" i="3"/>
  <c r="AO20" i="3"/>
  <c r="BB16" i="3"/>
  <c r="AZ16" i="3"/>
  <c r="AT16" i="3"/>
  <c r="AP16" i="3"/>
  <c r="AO16" i="3"/>
  <c r="BB17" i="3"/>
  <c r="AZ17" i="3"/>
  <c r="AT17" i="3"/>
  <c r="AP17" i="3"/>
  <c r="AO17" i="3"/>
  <c r="BB15" i="3"/>
  <c r="AZ15" i="3"/>
  <c r="AT15" i="3"/>
  <c r="AP15" i="3"/>
  <c r="AO15" i="3"/>
  <c r="BB5" i="3"/>
  <c r="AZ5" i="3"/>
  <c r="AY5" i="3"/>
  <c r="AT5" i="3"/>
  <c r="AP5" i="3"/>
  <c r="AO5" i="3"/>
  <c r="BB3" i="3"/>
  <c r="AZ3" i="3"/>
  <c r="AT3" i="3"/>
  <c r="AP3" i="3"/>
  <c r="AO3" i="3"/>
  <c r="BB7" i="3"/>
  <c r="AZ7" i="3"/>
  <c r="AT7" i="3"/>
  <c r="AP7" i="3"/>
  <c r="AO7" i="3"/>
  <c r="BB6" i="3"/>
  <c r="AZ6" i="3"/>
  <c r="AY6" i="3"/>
  <c r="AT6" i="3"/>
  <c r="AP6" i="3"/>
  <c r="AO6" i="3"/>
  <c r="BB2" i="3"/>
  <c r="AZ2" i="3"/>
  <c r="AY2" i="3"/>
  <c r="AT2" i="3"/>
  <c r="AP2" i="3"/>
  <c r="AO2" i="3"/>
  <c r="BB4" i="3"/>
  <c r="AZ4" i="3"/>
  <c r="AY4" i="3"/>
  <c r="AT4" i="3"/>
  <c r="AP4" i="3"/>
  <c r="AO4" i="3"/>
  <c r="BB11" i="3"/>
  <c r="AZ11" i="3"/>
  <c r="AT11" i="3"/>
  <c r="AP11" i="3"/>
  <c r="AO11" i="3"/>
  <c r="BB10" i="3"/>
  <c r="AZ10" i="3"/>
  <c r="AT10" i="3"/>
  <c r="AP10" i="3"/>
  <c r="AO10" i="3"/>
  <c r="BB14" i="3"/>
  <c r="AZ14" i="3"/>
  <c r="AT14" i="3"/>
  <c r="AP14" i="3"/>
  <c r="AO14" i="3"/>
  <c r="BB9" i="3"/>
  <c r="AZ9" i="3"/>
  <c r="AT9" i="3"/>
  <c r="AP9" i="3"/>
  <c r="AO9" i="3"/>
  <c r="BB8" i="3"/>
  <c r="AZ8" i="3"/>
  <c r="AT8" i="3"/>
  <c r="AP8" i="3"/>
  <c r="AO8" i="3"/>
  <c r="AV99" i="3" l="1"/>
  <c r="AY8" i="3"/>
  <c r="AQ3" i="3"/>
  <c r="AV15" i="3"/>
  <c r="AQ27" i="3"/>
  <c r="AV33" i="3"/>
  <c r="AQ40" i="3"/>
  <c r="M40" i="3" s="1"/>
  <c r="AQ87" i="3"/>
  <c r="M87" i="3" s="1"/>
  <c r="AV140" i="3"/>
  <c r="BG8" i="3"/>
  <c r="AQ55" i="3"/>
  <c r="AQ64" i="3"/>
  <c r="J64" i="3" s="1"/>
  <c r="AQ58" i="3"/>
  <c r="AQ143" i="3"/>
  <c r="M143" i="3" s="1"/>
  <c r="AQ9" i="3"/>
  <c r="J9" i="3" s="1"/>
  <c r="AQ6" i="3"/>
  <c r="J6" i="3" s="1"/>
  <c r="AV18" i="3"/>
  <c r="AQ59" i="3"/>
  <c r="AQ65" i="3"/>
  <c r="J65" i="3" s="1"/>
  <c r="AQ35" i="3"/>
  <c r="AR35" i="3" s="1"/>
  <c r="I35" i="3" s="1"/>
  <c r="AQ41" i="3"/>
  <c r="J41" i="3" s="1"/>
  <c r="AV70" i="3"/>
  <c r="AQ7" i="3"/>
  <c r="M7" i="3" s="1"/>
  <c r="AQ42" i="3"/>
  <c r="M42" i="3" s="1"/>
  <c r="AQ343" i="3"/>
  <c r="AV14" i="3"/>
  <c r="AV21" i="3"/>
  <c r="AQ66" i="3"/>
  <c r="M66" i="3" s="1"/>
  <c r="AV67" i="3"/>
  <c r="AQ34" i="3"/>
  <c r="M34" i="3" s="1"/>
  <c r="AQ28" i="3"/>
  <c r="AR28" i="3" s="1"/>
  <c r="AQ32" i="3"/>
  <c r="K32" i="3" s="1"/>
  <c r="AQ4" i="3"/>
  <c r="AV20" i="3"/>
  <c r="AQ63" i="3"/>
  <c r="J63" i="3" s="1"/>
  <c r="AQ57" i="3"/>
  <c r="K57" i="3" s="1"/>
  <c r="AQ62" i="3"/>
  <c r="L62" i="3" s="1"/>
  <c r="AS62" i="3" s="1"/>
  <c r="AQ33" i="3"/>
  <c r="AR33" i="3" s="1"/>
  <c r="AQ24" i="3"/>
  <c r="L24" i="3" s="1"/>
  <c r="AS24" i="3" s="1"/>
  <c r="AQ38" i="3"/>
  <c r="AR38" i="3" s="1"/>
  <c r="H38" i="3" s="1"/>
  <c r="AQ39" i="3"/>
  <c r="AQ85" i="3"/>
  <c r="AQ223" i="3"/>
  <c r="L223" i="3" s="1"/>
  <c r="AQ5" i="3"/>
  <c r="M5" i="3" s="1"/>
  <c r="AV16" i="3"/>
  <c r="AQ26" i="3"/>
  <c r="L26" i="3" s="1"/>
  <c r="AQ86" i="3"/>
  <c r="J86" i="3" s="1"/>
  <c r="BG14" i="3"/>
  <c r="AQ11" i="3"/>
  <c r="AV17" i="3"/>
  <c r="AQ56" i="3"/>
  <c r="M56" i="3" s="1"/>
  <c r="AQ60" i="3"/>
  <c r="AR60" i="3" s="1"/>
  <c r="I60" i="3" s="1"/>
  <c r="AQ61" i="3"/>
  <c r="M61" i="3" s="1"/>
  <c r="AV34" i="3"/>
  <c r="AQ23" i="3"/>
  <c r="K23" i="3" s="1"/>
  <c r="AQ44" i="3"/>
  <c r="AR44" i="3" s="1"/>
  <c r="BC380" i="3"/>
  <c r="BC367" i="3"/>
  <c r="BC383" i="3"/>
  <c r="BC221" i="3"/>
  <c r="BC56" i="3"/>
  <c r="M55" i="3"/>
  <c r="L55" i="3"/>
  <c r="AS55" i="3" s="1"/>
  <c r="K55" i="3"/>
  <c r="AR55" i="3"/>
  <c r="L64" i="3"/>
  <c r="J58" i="3"/>
  <c r="M58" i="3"/>
  <c r="L58" i="3"/>
  <c r="K58" i="3"/>
  <c r="AR58" i="3"/>
  <c r="I58" i="3" s="1"/>
  <c r="M3" i="3"/>
  <c r="L3" i="3"/>
  <c r="K3" i="3"/>
  <c r="AR3" i="3"/>
  <c r="I3" i="3" s="1"/>
  <c r="J3" i="3"/>
  <c r="J59" i="3"/>
  <c r="K35" i="3"/>
  <c r="K41" i="3"/>
  <c r="M27" i="3"/>
  <c r="L27" i="3"/>
  <c r="K27" i="3"/>
  <c r="J27" i="3"/>
  <c r="AR27" i="3"/>
  <c r="I27" i="3" s="1"/>
  <c r="AR343" i="3"/>
  <c r="I343" i="3" s="1"/>
  <c r="J343" i="3"/>
  <c r="M343" i="3"/>
  <c r="L343" i="3"/>
  <c r="K343" i="3"/>
  <c r="AR4" i="3"/>
  <c r="M4" i="3"/>
  <c r="L4" i="3"/>
  <c r="AS4" i="3" s="1"/>
  <c r="K4" i="3"/>
  <c r="M85" i="3"/>
  <c r="L85" i="3"/>
  <c r="AR85" i="3"/>
  <c r="I85" i="3" s="1"/>
  <c r="J85" i="3"/>
  <c r="K85" i="3"/>
  <c r="K62" i="3"/>
  <c r="AR62" i="3"/>
  <c r="AQ68" i="3"/>
  <c r="AQ69" i="3"/>
  <c r="AQ93" i="3"/>
  <c r="AQ95" i="3"/>
  <c r="AQ92" i="3"/>
  <c r="AQ117" i="3"/>
  <c r="AQ165" i="3"/>
  <c r="AQ172" i="3"/>
  <c r="AQ197" i="3"/>
  <c r="AQ279" i="3"/>
  <c r="AU281" i="3"/>
  <c r="AU269" i="3"/>
  <c r="AP338" i="4"/>
  <c r="J338" i="4"/>
  <c r="K338" i="4"/>
  <c r="I338" i="4"/>
  <c r="AQ13" i="3"/>
  <c r="AQ31" i="3"/>
  <c r="AQ136" i="3"/>
  <c r="AV9" i="3"/>
  <c r="BG9" i="3"/>
  <c r="AY14" i="3"/>
  <c r="AV61" i="3"/>
  <c r="AV30" i="3"/>
  <c r="AQ46" i="3"/>
  <c r="AV47" i="3"/>
  <c r="AQ50" i="3"/>
  <c r="AQ71" i="3"/>
  <c r="AQ74" i="3"/>
  <c r="AQ81" i="3"/>
  <c r="AV84" i="3"/>
  <c r="AQ77" i="3"/>
  <c r="AQ139" i="3"/>
  <c r="AQ94" i="3"/>
  <c r="AQ102" i="3"/>
  <c r="AQ104" i="3"/>
  <c r="AQ106" i="3"/>
  <c r="AQ90" i="3"/>
  <c r="AQ99" i="3"/>
  <c r="AQ116" i="3"/>
  <c r="AQ152" i="3"/>
  <c r="AQ264" i="3"/>
  <c r="AQ19" i="3"/>
  <c r="BC78" i="3"/>
  <c r="AQ8" i="3"/>
  <c r="AY9" i="3"/>
  <c r="AU14" i="3" s="1"/>
  <c r="AV10" i="3"/>
  <c r="AV12" i="3"/>
  <c r="AV52" i="3"/>
  <c r="AV53" i="3"/>
  <c r="AV54" i="3"/>
  <c r="AV129" i="3"/>
  <c r="AV25" i="3"/>
  <c r="AV32" i="3"/>
  <c r="AQ29" i="3"/>
  <c r="AQ37" i="3"/>
  <c r="AQ49" i="3"/>
  <c r="AQ222" i="3"/>
  <c r="AV72" i="3"/>
  <c r="AQ83" i="3"/>
  <c r="AQ130" i="3"/>
  <c r="AV138" i="3"/>
  <c r="AQ142" i="3"/>
  <c r="AV145" i="3"/>
  <c r="AQ146" i="3"/>
  <c r="AQ101" i="3"/>
  <c r="AQ98" i="3"/>
  <c r="AQ107" i="3"/>
  <c r="AQ100" i="3"/>
  <c r="AQ115" i="3"/>
  <c r="AQ123" i="3"/>
  <c r="AQ126" i="3"/>
  <c r="AQ127" i="3"/>
  <c r="AQ108" i="3"/>
  <c r="AQ128" i="3"/>
  <c r="AQ109" i="3"/>
  <c r="AQ174" i="3"/>
  <c r="AQ175" i="3"/>
  <c r="AQ277" i="3"/>
  <c r="AQ284" i="3"/>
  <c r="AQ378" i="3"/>
  <c r="AU424" i="3"/>
  <c r="AU414" i="3"/>
  <c r="AU413" i="3"/>
  <c r="AU412" i="3"/>
  <c r="AU411" i="3"/>
  <c r="AU410" i="3"/>
  <c r="AU409" i="3"/>
  <c r="AU395" i="3"/>
  <c r="AU394" i="3"/>
  <c r="AU418" i="3"/>
  <c r="AU397" i="3"/>
  <c r="AU391" i="3"/>
  <c r="AU408" i="3"/>
  <c r="AU339" i="3"/>
  <c r="AU428" i="3"/>
  <c r="AU427" i="3"/>
  <c r="AU426" i="3"/>
  <c r="AU406" i="3"/>
  <c r="AU405" i="3"/>
  <c r="AU404" i="3"/>
  <c r="AU403" i="3"/>
  <c r="AU388" i="3"/>
  <c r="AU379" i="3"/>
  <c r="AU425" i="3"/>
  <c r="AU415" i="3"/>
  <c r="AU399" i="3"/>
  <c r="AU398" i="3"/>
  <c r="AU420" i="3"/>
  <c r="AU390" i="3"/>
  <c r="AU389" i="3"/>
  <c r="AU357" i="3"/>
  <c r="AU430" i="3"/>
  <c r="AU423" i="3"/>
  <c r="AU422" i="3"/>
  <c r="AU421" i="3"/>
  <c r="AU429" i="3"/>
  <c r="AU407" i="3"/>
  <c r="AU374" i="3"/>
  <c r="AU368" i="3"/>
  <c r="AU337" i="3"/>
  <c r="AU282" i="3"/>
  <c r="AU284" i="3"/>
  <c r="AU295" i="3"/>
  <c r="AU367" i="3"/>
  <c r="AU331" i="3"/>
  <c r="AU325" i="3"/>
  <c r="AU323" i="3"/>
  <c r="AU320" i="3"/>
  <c r="AU316" i="3"/>
  <c r="AU312" i="3"/>
  <c r="AU309" i="3"/>
  <c r="AU373" i="3"/>
  <c r="AU338" i="3"/>
  <c r="AU330" i="3"/>
  <c r="AU386" i="3"/>
  <c r="AU377" i="3"/>
  <c r="AU372" i="3"/>
  <c r="AU365" i="3"/>
  <c r="AU402" i="3"/>
  <c r="AU335" i="3"/>
  <c r="AU371" i="3"/>
  <c r="AU364" i="3"/>
  <c r="AU321" i="3"/>
  <c r="AU318" i="3"/>
  <c r="AU314" i="3"/>
  <c r="AU287" i="3"/>
  <c r="AU376" i="3"/>
  <c r="AU375" i="3"/>
  <c r="AU324" i="3"/>
  <c r="AU296" i="3"/>
  <c r="AU317" i="3"/>
  <c r="AU313" i="3"/>
  <c r="AU310" i="3"/>
  <c r="AU306" i="3"/>
  <c r="AU294" i="3"/>
  <c r="AU300" i="3"/>
  <c r="AU299" i="3"/>
  <c r="AU216" i="3"/>
  <c r="AU202" i="3"/>
  <c r="AU275" i="3"/>
  <c r="AU235" i="3"/>
  <c r="AU246" i="3"/>
  <c r="AU236" i="3"/>
  <c r="AU196" i="3"/>
  <c r="AU370" i="3"/>
  <c r="AU369" i="3"/>
  <c r="AU249" i="3"/>
  <c r="AU241" i="3"/>
  <c r="AU400" i="3"/>
  <c r="AU354" i="3"/>
  <c r="AU307" i="3"/>
  <c r="AU304" i="3"/>
  <c r="AU301" i="3"/>
  <c r="AU215" i="3"/>
  <c r="AU212" i="3"/>
  <c r="AU279" i="3"/>
  <c r="AU257" i="3"/>
  <c r="AU251" i="3"/>
  <c r="AU336" i="3"/>
  <c r="AU273" i="3"/>
  <c r="AU270" i="3"/>
  <c r="AU219" i="3"/>
  <c r="AU280" i="3"/>
  <c r="AU247" i="3"/>
  <c r="AU239" i="3"/>
  <c r="AU185" i="3"/>
  <c r="AU342" i="3"/>
  <c r="AU267" i="3"/>
  <c r="AU387" i="3"/>
  <c r="AU378" i="3"/>
  <c r="AU285" i="3"/>
  <c r="AU305" i="3"/>
  <c r="AU302" i="3"/>
  <c r="AU283" i="3"/>
  <c r="AU214" i="3"/>
  <c r="AU204" i="3"/>
  <c r="AU261" i="3"/>
  <c r="AU250" i="3"/>
  <c r="AU242" i="3"/>
  <c r="AU232" i="3"/>
  <c r="AU188" i="3"/>
  <c r="AU172" i="3"/>
  <c r="AU362" i="3"/>
  <c r="AU326" i="3"/>
  <c r="AU345" i="3"/>
  <c r="AU256" i="3"/>
  <c r="AU245" i="3"/>
  <c r="AU192" i="3"/>
  <c r="AU366" i="3"/>
  <c r="AU322" i="3"/>
  <c r="AU319" i="3"/>
  <c r="AU315" i="3"/>
  <c r="AU311" i="3"/>
  <c r="AU308" i="3"/>
  <c r="AU346" i="3"/>
  <c r="AU248" i="3"/>
  <c r="AU240" i="3"/>
  <c r="AU238" i="3"/>
  <c r="AU254" i="3"/>
  <c r="AU173" i="3"/>
  <c r="AU99" i="3"/>
  <c r="AU145" i="3"/>
  <c r="AU272" i="3"/>
  <c r="AU213" i="3"/>
  <c r="AU121" i="3"/>
  <c r="AU119" i="3"/>
  <c r="AU118" i="3"/>
  <c r="AU116" i="3"/>
  <c r="AU115" i="3"/>
  <c r="AU113" i="3"/>
  <c r="AU111" i="3"/>
  <c r="AU110" i="3"/>
  <c r="AU104" i="3"/>
  <c r="AU98" i="3"/>
  <c r="AU89" i="3"/>
  <c r="AU88" i="3"/>
  <c r="AU96" i="3"/>
  <c r="AU102" i="3"/>
  <c r="AU101" i="3"/>
  <c r="AU93" i="3"/>
  <c r="AU263" i="3"/>
  <c r="AU134" i="3"/>
  <c r="AU223" i="3"/>
  <c r="AU224" i="3"/>
  <c r="AU87" i="3"/>
  <c r="AU86" i="3"/>
  <c r="AU51" i="3"/>
  <c r="AU148" i="3"/>
  <c r="AU189" i="3"/>
  <c r="AU200" i="3"/>
  <c r="AU230" i="3"/>
  <c r="AU125" i="3"/>
  <c r="AU146" i="3"/>
  <c r="AU77" i="3"/>
  <c r="AU244" i="3"/>
  <c r="AU198" i="3"/>
  <c r="AU126" i="3"/>
  <c r="AU158" i="3"/>
  <c r="AU205" i="3"/>
  <c r="AU243" i="3"/>
  <c r="AU266" i="3"/>
  <c r="AU124" i="3"/>
  <c r="AU9" i="3"/>
  <c r="AQ224" i="3"/>
  <c r="AQ14" i="3"/>
  <c r="AQ15" i="3"/>
  <c r="AQ17" i="3"/>
  <c r="AQ16" i="3"/>
  <c r="AQ20" i="3"/>
  <c r="AQ21" i="3"/>
  <c r="AQ18" i="3"/>
  <c r="AU56" i="3"/>
  <c r="AU59" i="3"/>
  <c r="AU64" i="3"/>
  <c r="AU57" i="3"/>
  <c r="AU65" i="3"/>
  <c r="AU58" i="3"/>
  <c r="AV66" i="3"/>
  <c r="AQ67" i="3"/>
  <c r="AV26" i="3"/>
  <c r="AV36" i="3"/>
  <c r="AU71" i="3"/>
  <c r="AU74" i="3"/>
  <c r="AU75" i="3"/>
  <c r="AQ78" i="3"/>
  <c r="AQ132" i="3"/>
  <c r="AQ135" i="3"/>
  <c r="AV141" i="3"/>
  <c r="AQ97" i="3"/>
  <c r="AU105" i="3"/>
  <c r="AU107" i="3"/>
  <c r="AQ91" i="3"/>
  <c r="AU100" i="3"/>
  <c r="AQ114" i="3"/>
  <c r="AQ122" i="3"/>
  <c r="AQ124" i="3"/>
  <c r="AQ125" i="3"/>
  <c r="AU149" i="3"/>
  <c r="AV152" i="3"/>
  <c r="AQ180" i="3"/>
  <c r="AQ186" i="3"/>
  <c r="AQ430" i="3"/>
  <c r="AQ399" i="3"/>
  <c r="AQ398" i="3"/>
  <c r="AQ420" i="3"/>
  <c r="AQ433" i="3"/>
  <c r="AQ416" i="3"/>
  <c r="AQ382" i="3"/>
  <c r="AQ432" i="3"/>
  <c r="AQ400" i="3"/>
  <c r="AQ424" i="3"/>
  <c r="AQ414" i="3"/>
  <c r="AQ413" i="3"/>
  <c r="AQ412" i="3"/>
  <c r="AQ411" i="3"/>
  <c r="AQ410" i="3"/>
  <c r="AQ409" i="3"/>
  <c r="AQ395" i="3"/>
  <c r="AQ394" i="3"/>
  <c r="AQ418" i="3"/>
  <c r="AQ397" i="3"/>
  <c r="AQ396" i="3"/>
  <c r="AQ392" i="3"/>
  <c r="AQ391" i="3"/>
  <c r="AQ408" i="3"/>
  <c r="AQ360" i="3"/>
  <c r="AQ340" i="3"/>
  <c r="AQ328" i="3"/>
  <c r="AQ273" i="3"/>
  <c r="AQ425" i="3"/>
  <c r="AQ291" i="3"/>
  <c r="AQ415" i="3"/>
  <c r="AQ381" i="3"/>
  <c r="AQ341" i="3"/>
  <c r="AQ326" i="3"/>
  <c r="AQ322" i="3"/>
  <c r="AQ319" i="3"/>
  <c r="AQ315" i="3"/>
  <c r="AQ311" i="3"/>
  <c r="AQ308" i="3"/>
  <c r="AQ346" i="3"/>
  <c r="AQ204" i="3"/>
  <c r="AQ250" i="3"/>
  <c r="AQ242" i="3"/>
  <c r="AQ332" i="3"/>
  <c r="AQ339" i="3"/>
  <c r="AQ327" i="3"/>
  <c r="AQ351" i="3"/>
  <c r="AQ213" i="3"/>
  <c r="AQ209" i="3"/>
  <c r="AQ208" i="3"/>
  <c r="AQ259" i="3"/>
  <c r="AQ258" i="3"/>
  <c r="AQ254" i="3"/>
  <c r="AQ282" i="3"/>
  <c r="AQ324" i="3"/>
  <c r="AQ296" i="3"/>
  <c r="AQ317" i="3"/>
  <c r="AQ313" i="3"/>
  <c r="AQ310" i="3"/>
  <c r="AQ299" i="3"/>
  <c r="AQ347" i="3"/>
  <c r="AQ216" i="3"/>
  <c r="AQ207" i="3"/>
  <c r="AQ205" i="3"/>
  <c r="AQ278" i="3"/>
  <c r="AQ235" i="3"/>
  <c r="AQ233" i="3"/>
  <c r="AQ243" i="3"/>
  <c r="AQ184" i="3"/>
  <c r="AQ153" i="3"/>
  <c r="AQ173" i="3"/>
  <c r="AQ331" i="3"/>
  <c r="AQ349" i="3"/>
  <c r="AQ253" i="3"/>
  <c r="AQ252" i="3"/>
  <c r="AQ246" i="3"/>
  <c r="AQ236" i="3"/>
  <c r="AQ196" i="3"/>
  <c r="AQ187" i="3"/>
  <c r="AQ179" i="3"/>
  <c r="AQ266" i="3"/>
  <c r="AQ334" i="3"/>
  <c r="AQ333" i="3"/>
  <c r="AQ220" i="3"/>
  <c r="AQ219" i="3"/>
  <c r="AQ238" i="3"/>
  <c r="AQ195" i="3"/>
  <c r="AQ188" i="3"/>
  <c r="AQ177" i="3"/>
  <c r="AQ342" i="3"/>
  <c r="AQ169" i="3"/>
  <c r="AQ105" i="3"/>
  <c r="AQ137" i="3"/>
  <c r="AQ158" i="3"/>
  <c r="AQ214" i="3"/>
  <c r="AQ190" i="3"/>
  <c r="AQ181" i="3"/>
  <c r="AQ237" i="3"/>
  <c r="AQ240" i="3"/>
  <c r="AQ183" i="3"/>
  <c r="AQ178" i="3"/>
  <c r="AQ164" i="3"/>
  <c r="AQ163" i="3"/>
  <c r="AQ162" i="3"/>
  <c r="AQ161" i="3"/>
  <c r="AQ160" i="3"/>
  <c r="AQ150" i="3"/>
  <c r="AQ149" i="3"/>
  <c r="AQ70" i="3"/>
  <c r="AQ344" i="3"/>
  <c r="AQ274" i="3"/>
  <c r="AQ218" i="3"/>
  <c r="AQ248" i="3"/>
  <c r="AQ239" i="3"/>
  <c r="AQ189" i="3"/>
  <c r="AQ176" i="3"/>
  <c r="AQ297" i="3"/>
  <c r="AQ345" i="3"/>
  <c r="AQ148" i="3"/>
  <c r="AQ226" i="3"/>
  <c r="AU61" i="3"/>
  <c r="AV4" i="3"/>
  <c r="AV56" i="3"/>
  <c r="AV63" i="3"/>
  <c r="AV59" i="3"/>
  <c r="AV64" i="3"/>
  <c r="AV60" i="3"/>
  <c r="AV57" i="3"/>
  <c r="AV65" i="3"/>
  <c r="AV58" i="3"/>
  <c r="AU35" i="3"/>
  <c r="AV31" i="3"/>
  <c r="AV71" i="3"/>
  <c r="AQ73" i="3"/>
  <c r="AV74" i="3"/>
  <c r="AU81" i="3"/>
  <c r="AQ76" i="3"/>
  <c r="AU137" i="3"/>
  <c r="AU139" i="3"/>
  <c r="AQ140" i="3"/>
  <c r="AQ147" i="3"/>
  <c r="BC95" i="3"/>
  <c r="AQ89" i="3"/>
  <c r="AU106" i="3"/>
  <c r="AU90" i="3"/>
  <c r="AQ113" i="3"/>
  <c r="AQ121" i="3"/>
  <c r="AU123" i="3"/>
  <c r="AQ151" i="3"/>
  <c r="AQ154" i="3"/>
  <c r="AU157" i="3"/>
  <c r="AQ170" i="3"/>
  <c r="AQ10" i="3"/>
  <c r="AV417" i="3"/>
  <c r="AV363" i="3"/>
  <c r="AV383" i="3"/>
  <c r="AV384" i="3"/>
  <c r="AV334" i="3"/>
  <c r="AV427" i="3"/>
  <c r="AV426" i="3"/>
  <c r="AV405" i="3"/>
  <c r="AV379" i="3"/>
  <c r="AV337" i="3"/>
  <c r="AV415" i="3"/>
  <c r="AV381" i="3"/>
  <c r="AV420" i="3"/>
  <c r="AV390" i="3"/>
  <c r="AV353" i="3"/>
  <c r="AV402" i="3"/>
  <c r="AV335" i="3"/>
  <c r="AV423" i="3"/>
  <c r="AV407" i="3"/>
  <c r="AV380" i="3"/>
  <c r="AV382" i="3"/>
  <c r="AV433" i="3"/>
  <c r="AV378" i="3"/>
  <c r="AV377" i="3"/>
  <c r="AV376" i="3"/>
  <c r="AV375" i="3"/>
  <c r="AV374" i="3"/>
  <c r="AV373" i="3"/>
  <c r="AV362" i="3"/>
  <c r="AV372" i="3"/>
  <c r="AV371" i="3"/>
  <c r="AV370" i="3"/>
  <c r="AV369" i="3"/>
  <c r="AV368" i="3"/>
  <c r="AV367" i="3"/>
  <c r="AV366" i="3"/>
  <c r="AV365" i="3"/>
  <c r="AV364" i="3"/>
  <c r="AV336" i="3"/>
  <c r="AV331" i="3"/>
  <c r="AV325" i="3"/>
  <c r="AV323" i="3"/>
  <c r="AV320" i="3"/>
  <c r="AV316" i="3"/>
  <c r="AV312" i="3"/>
  <c r="AV309" i="3"/>
  <c r="AV341" i="3"/>
  <c r="AV338" i="3"/>
  <c r="AV332" i="3"/>
  <c r="AV330" i="3"/>
  <c r="AV352" i="3"/>
  <c r="AV351" i="3"/>
  <c r="AV324" i="3"/>
  <c r="AV317" i="3"/>
  <c r="AV313" i="3"/>
  <c r="AV310" i="3"/>
  <c r="AV299" i="3"/>
  <c r="AV220" i="3"/>
  <c r="AV219" i="3"/>
  <c r="AV218" i="3"/>
  <c r="AV217" i="3"/>
  <c r="AV216" i="3"/>
  <c r="AV215" i="3"/>
  <c r="AV214" i="3"/>
  <c r="AV213" i="3"/>
  <c r="AV212" i="3"/>
  <c r="AV211" i="3"/>
  <c r="AV281" i="3"/>
  <c r="AV260" i="3"/>
  <c r="AV254" i="3"/>
  <c r="AV297" i="3"/>
  <c r="AV340" i="3"/>
  <c r="AV333" i="3"/>
  <c r="AV328" i="3"/>
  <c r="AV291" i="3"/>
  <c r="AV293" i="3"/>
  <c r="AV307" i="3"/>
  <c r="AV306" i="3"/>
  <c r="AV305" i="3"/>
  <c r="AV304" i="3"/>
  <c r="AV294" i="3"/>
  <c r="AV303" i="3"/>
  <c r="AV302" i="3"/>
  <c r="AV301" i="3"/>
  <c r="AV300" i="3"/>
  <c r="AV272" i="3"/>
  <c r="AV271" i="3"/>
  <c r="AV270" i="3"/>
  <c r="AV269" i="3"/>
  <c r="AV221" i="3"/>
  <c r="AV202" i="3"/>
  <c r="AV261" i="3"/>
  <c r="AV255" i="3"/>
  <c r="AV198" i="3"/>
  <c r="AV190" i="3"/>
  <c r="AV339" i="3"/>
  <c r="AV253" i="3"/>
  <c r="AV249" i="3"/>
  <c r="AV241" i="3"/>
  <c r="AV193" i="3"/>
  <c r="AV191" i="3"/>
  <c r="AV409" i="3"/>
  <c r="AV206" i="3"/>
  <c r="AV257" i="3"/>
  <c r="AV252" i="3"/>
  <c r="AV251" i="3"/>
  <c r="AV244" i="3"/>
  <c r="AV182" i="3"/>
  <c r="AV200" i="3"/>
  <c r="AV159" i="3"/>
  <c r="AV155" i="3"/>
  <c r="AV295" i="3"/>
  <c r="AV273" i="3"/>
  <c r="AV280" i="3"/>
  <c r="AV392" i="3"/>
  <c r="AV321" i="3"/>
  <c r="AV318" i="3"/>
  <c r="AV314" i="3"/>
  <c r="AV287" i="3"/>
  <c r="AV204" i="3"/>
  <c r="AV250" i="3"/>
  <c r="AV242" i="3"/>
  <c r="AV232" i="3"/>
  <c r="AV195" i="3"/>
  <c r="AV188" i="3"/>
  <c r="AV180" i="3"/>
  <c r="AV412" i="3"/>
  <c r="AV396" i="3"/>
  <c r="AV329" i="3"/>
  <c r="AV326" i="3"/>
  <c r="AV284" i="3"/>
  <c r="AV256" i="3"/>
  <c r="AV245" i="3"/>
  <c r="AV192" i="3"/>
  <c r="AV183" i="3"/>
  <c r="AV265" i="3"/>
  <c r="AV201" i="3"/>
  <c r="AV322" i="3"/>
  <c r="AV319" i="3"/>
  <c r="AV315" i="3"/>
  <c r="AV311" i="3"/>
  <c r="AV308" i="3"/>
  <c r="AV210" i="3"/>
  <c r="AV234" i="3"/>
  <c r="AV248" i="3"/>
  <c r="AV240" i="3"/>
  <c r="AV238" i="3"/>
  <c r="AV197" i="3"/>
  <c r="AV194" i="3"/>
  <c r="AV186" i="3"/>
  <c r="AV178" i="3"/>
  <c r="AV177" i="3"/>
  <c r="AV176" i="3"/>
  <c r="AV344" i="3"/>
  <c r="AV170" i="3"/>
  <c r="AV169" i="3"/>
  <c r="AV168" i="3"/>
  <c r="AV167" i="3"/>
  <c r="AV166" i="3"/>
  <c r="AV165" i="3"/>
  <c r="AV164" i="3"/>
  <c r="AV163" i="3"/>
  <c r="AV162" i="3"/>
  <c r="AV161" i="3"/>
  <c r="AV160" i="3"/>
  <c r="AV150" i="3"/>
  <c r="AV175" i="3"/>
  <c r="AV174" i="3"/>
  <c r="AV109" i="3"/>
  <c r="AV128" i="3"/>
  <c r="AV108" i="3"/>
  <c r="AV127" i="3"/>
  <c r="AV418" i="3"/>
  <c r="AV286" i="3"/>
  <c r="AV209" i="3"/>
  <c r="AV205" i="3"/>
  <c r="AV203" i="3"/>
  <c r="AV259" i="3"/>
  <c r="AV243" i="3"/>
  <c r="AV189" i="3"/>
  <c r="AV181" i="3"/>
  <c r="AV153" i="3"/>
  <c r="AV173" i="3"/>
  <c r="AV154" i="3"/>
  <c r="AV151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92" i="3"/>
  <c r="AV104" i="3"/>
  <c r="AV98" i="3"/>
  <c r="AV97" i="3"/>
  <c r="AV89" i="3"/>
  <c r="AV103" i="3"/>
  <c r="AV88" i="3"/>
  <c r="AV96" i="3"/>
  <c r="AV95" i="3"/>
  <c r="AV102" i="3"/>
  <c r="AV101" i="3"/>
  <c r="AV94" i="3"/>
  <c r="AV93" i="3"/>
  <c r="AV263" i="3"/>
  <c r="AV134" i="3"/>
  <c r="AV223" i="3"/>
  <c r="AV224" i="3"/>
  <c r="AV87" i="3"/>
  <c r="AV86" i="3"/>
  <c r="AV85" i="3"/>
  <c r="AV51" i="3"/>
  <c r="AV258" i="3"/>
  <c r="AV187" i="3"/>
  <c r="AV148" i="3"/>
  <c r="AV123" i="3"/>
  <c r="AV107" i="3"/>
  <c r="AV143" i="3"/>
  <c r="AV69" i="3"/>
  <c r="AV45" i="3"/>
  <c r="AV39" i="3"/>
  <c r="AV44" i="3"/>
  <c r="AV43" i="3"/>
  <c r="AV41" i="3"/>
  <c r="AV38" i="3"/>
  <c r="AV37" i="3"/>
  <c r="AV40" i="3"/>
  <c r="AV42" i="3"/>
  <c r="AV199" i="3"/>
  <c r="AV184" i="3"/>
  <c r="AV267" i="3"/>
  <c r="AV171" i="3"/>
  <c r="AV229" i="3"/>
  <c r="AV125" i="3"/>
  <c r="AV91" i="3"/>
  <c r="AV146" i="3"/>
  <c r="AV77" i="3"/>
  <c r="AV48" i="3"/>
  <c r="AV24" i="3"/>
  <c r="AV239" i="3"/>
  <c r="AV228" i="3"/>
  <c r="AV126" i="3"/>
  <c r="AV105" i="3"/>
  <c r="AV137" i="3"/>
  <c r="AV394" i="3"/>
  <c r="AV158" i="3"/>
  <c r="AV227" i="3"/>
  <c r="AV90" i="3"/>
  <c r="AV144" i="3"/>
  <c r="AV80" i="3"/>
  <c r="AV83" i="3"/>
  <c r="AV82" i="3"/>
  <c r="AV76" i="3"/>
  <c r="AV81" i="3"/>
  <c r="AV79" i="3"/>
  <c r="AV78" i="3"/>
  <c r="AV75" i="3"/>
  <c r="AV46" i="3"/>
  <c r="AV327" i="3"/>
  <c r="AV247" i="3"/>
  <c r="AV196" i="3"/>
  <c r="AV266" i="3"/>
  <c r="AV172" i="3"/>
  <c r="AV231" i="3"/>
  <c r="AV124" i="3"/>
  <c r="AV100" i="3"/>
  <c r="AV147" i="3"/>
  <c r="AV133" i="3"/>
  <c r="AV132" i="3"/>
  <c r="AV136" i="3"/>
  <c r="AV131" i="3"/>
  <c r="AV130" i="3"/>
  <c r="AV208" i="3"/>
  <c r="AV207" i="3"/>
  <c r="AV179" i="3"/>
  <c r="AV149" i="3"/>
  <c r="AV157" i="3"/>
  <c r="AV225" i="3"/>
  <c r="AV106" i="3"/>
  <c r="AV2" i="3"/>
  <c r="AU6" i="3"/>
  <c r="AV22" i="3"/>
  <c r="AV19" i="3"/>
  <c r="AV13" i="3"/>
  <c r="AQ12" i="3"/>
  <c r="AQ52" i="3"/>
  <c r="AQ53" i="3"/>
  <c r="AQ54" i="3"/>
  <c r="AU62" i="3"/>
  <c r="AV68" i="3"/>
  <c r="AQ129" i="3"/>
  <c r="AQ25" i="3"/>
  <c r="AQ30" i="3"/>
  <c r="AU27" i="3"/>
  <c r="AV35" i="3"/>
  <c r="AU23" i="3"/>
  <c r="AU37" i="3"/>
  <c r="AQ45" i="3"/>
  <c r="AU46" i="3"/>
  <c r="AQ47" i="3"/>
  <c r="AQ48" i="3"/>
  <c r="AU49" i="3"/>
  <c r="AV50" i="3"/>
  <c r="AU222" i="3"/>
  <c r="BC75" i="3"/>
  <c r="AU83" i="3"/>
  <c r="AQ80" i="3"/>
  <c r="AU130" i="3"/>
  <c r="AQ131" i="3"/>
  <c r="AV139" i="3"/>
  <c r="AU142" i="3"/>
  <c r="BC93" i="3"/>
  <c r="AQ103" i="3"/>
  <c r="AQ112" i="3"/>
  <c r="AQ120" i="3"/>
  <c r="AQ230" i="3"/>
  <c r="AU274" i="3"/>
  <c r="AU155" i="3"/>
  <c r="AV156" i="3"/>
  <c r="AQ167" i="3"/>
  <c r="AQ168" i="3"/>
  <c r="AU170" i="3"/>
  <c r="AU201" i="3"/>
  <c r="AQ247" i="3"/>
  <c r="AQ251" i="3"/>
  <c r="AU203" i="3"/>
  <c r="AQ2" i="3"/>
  <c r="AQ43" i="3"/>
  <c r="AU47" i="3"/>
  <c r="AQ75" i="3"/>
  <c r="AV6" i="3"/>
  <c r="AV62" i="3"/>
  <c r="AV27" i="3"/>
  <c r="AV23" i="3"/>
  <c r="AQ36" i="3"/>
  <c r="AV49" i="3"/>
  <c r="AV222" i="3"/>
  <c r="BC71" i="3"/>
  <c r="AU73" i="3"/>
  <c r="AU78" i="3"/>
  <c r="AQ79" i="3"/>
  <c r="AQ84" i="3"/>
  <c r="AQ133" i="3"/>
  <c r="AU135" i="3"/>
  <c r="AQ138" i="3"/>
  <c r="AV142" i="3"/>
  <c r="AQ144" i="3"/>
  <c r="AQ88" i="3"/>
  <c r="BC106" i="3"/>
  <c r="AQ111" i="3"/>
  <c r="AQ119" i="3"/>
  <c r="AQ229" i="3"/>
  <c r="AU151" i="3"/>
  <c r="AU154" i="3"/>
  <c r="AQ166" i="3"/>
  <c r="AU179" i="3"/>
  <c r="AQ198" i="3"/>
  <c r="AQ280" i="3"/>
  <c r="AQ321" i="3"/>
  <c r="AQ22" i="3"/>
  <c r="AU30" i="3"/>
  <c r="AQ51" i="3"/>
  <c r="AV8" i="3"/>
  <c r="AV11" i="3"/>
  <c r="AV7" i="3"/>
  <c r="AV3" i="3"/>
  <c r="AV5" i="3"/>
  <c r="AV55" i="3"/>
  <c r="AU34" i="3"/>
  <c r="AV29" i="3"/>
  <c r="AV28" i="3"/>
  <c r="AU42" i="3"/>
  <c r="AU38" i="3"/>
  <c r="AU45" i="3"/>
  <c r="BC46" i="3"/>
  <c r="AQ72" i="3"/>
  <c r="AV73" i="3"/>
  <c r="AU70" i="3"/>
  <c r="AU76" i="3"/>
  <c r="AQ82" i="3"/>
  <c r="AQ134" i="3"/>
  <c r="AV135" i="3"/>
  <c r="AU140" i="3"/>
  <c r="AQ141" i="3"/>
  <c r="AU143" i="3"/>
  <c r="AQ145" i="3"/>
  <c r="AQ262" i="3"/>
  <c r="AQ263" i="3"/>
  <c r="AQ96" i="3"/>
  <c r="AQ110" i="3"/>
  <c r="AQ118" i="3"/>
  <c r="AQ267" i="3"/>
  <c r="AV185" i="3"/>
  <c r="AU194" i="3"/>
  <c r="AV246" i="3"/>
  <c r="AU231" i="3"/>
  <c r="BC164" i="3"/>
  <c r="AU169" i="3"/>
  <c r="AQ171" i="3"/>
  <c r="AQ200" i="3"/>
  <c r="AU177" i="3"/>
  <c r="AQ244" i="3"/>
  <c r="AQ249" i="3"/>
  <c r="BC253" i="3"/>
  <c r="AQ260" i="3"/>
  <c r="AQ276" i="3"/>
  <c r="AQ305" i="3"/>
  <c r="AU127" i="3"/>
  <c r="AU108" i="3"/>
  <c r="AU128" i="3"/>
  <c r="AU109" i="3"/>
  <c r="AU174" i="3"/>
  <c r="AU175" i="3"/>
  <c r="AU227" i="3"/>
  <c r="AU168" i="3"/>
  <c r="AQ265" i="3"/>
  <c r="AU343" i="3"/>
  <c r="AU197" i="3"/>
  <c r="AQ234" i="3"/>
  <c r="AQ217" i="3"/>
  <c r="AQ352" i="3"/>
  <c r="AU289" i="3"/>
  <c r="AQ314" i="3"/>
  <c r="AQ365" i="3"/>
  <c r="AU228" i="3"/>
  <c r="AQ156" i="3"/>
  <c r="AU167" i="3"/>
  <c r="BC177" i="3"/>
  <c r="AU186" i="3"/>
  <c r="AQ232" i="3"/>
  <c r="AQ245" i="3"/>
  <c r="AU276" i="3"/>
  <c r="AU277" i="3"/>
  <c r="BC206" i="3"/>
  <c r="AU217" i="3"/>
  <c r="AQ350" i="3"/>
  <c r="AQ283" i="3"/>
  <c r="AQ225" i="3"/>
  <c r="AU229" i="3"/>
  <c r="BC155" i="3"/>
  <c r="AQ157" i="3"/>
  <c r="AU166" i="3"/>
  <c r="AU171" i="3"/>
  <c r="AQ201" i="3"/>
  <c r="AU264" i="3"/>
  <c r="BC343" i="3"/>
  <c r="AU176" i="3"/>
  <c r="AQ192" i="3"/>
  <c r="AQ241" i="3"/>
  <c r="AQ257" i="3"/>
  <c r="AU234" i="3"/>
  <c r="AU260" i="3"/>
  <c r="AQ211" i="3"/>
  <c r="AQ212" i="3"/>
  <c r="AQ215" i="3"/>
  <c r="AU290" i="3"/>
  <c r="AQ285" i="3"/>
  <c r="AQ329" i="3"/>
  <c r="BC127" i="3"/>
  <c r="AQ231" i="3"/>
  <c r="AQ155" i="3"/>
  <c r="AU165" i="3"/>
  <c r="AQ159" i="3"/>
  <c r="AU344" i="3"/>
  <c r="AQ185" i="3"/>
  <c r="AU187" i="3"/>
  <c r="BC198" i="3"/>
  <c r="AU259" i="3"/>
  <c r="AQ210" i="3"/>
  <c r="AQ318" i="3"/>
  <c r="AU340" i="3"/>
  <c r="AQ227" i="3"/>
  <c r="AU150" i="3"/>
  <c r="AU160" i="3"/>
  <c r="AU161" i="3"/>
  <c r="AU162" i="3"/>
  <c r="AU163" i="3"/>
  <c r="AU164" i="3"/>
  <c r="AU265" i="3"/>
  <c r="AU178" i="3"/>
  <c r="AU183" i="3"/>
  <c r="AU191" i="3"/>
  <c r="AQ194" i="3"/>
  <c r="AU255" i="3"/>
  <c r="AQ281" i="3"/>
  <c r="AU271" i="3"/>
  <c r="AQ286" i="3"/>
  <c r="AQ302" i="3"/>
  <c r="AQ228" i="3"/>
  <c r="AU156" i="3"/>
  <c r="AU237" i="3"/>
  <c r="AQ182" i="3"/>
  <c r="AQ193" i="3"/>
  <c r="BC240" i="3"/>
  <c r="AQ206" i="3"/>
  <c r="AU210" i="3"/>
  <c r="AU211" i="3"/>
  <c r="AQ295" i="3"/>
  <c r="AU303" i="3"/>
  <c r="AQ287" i="3"/>
  <c r="AQ191" i="3"/>
  <c r="AQ270" i="3"/>
  <c r="AQ268" i="3"/>
  <c r="AQ293" i="3"/>
  <c r="AQ336" i="3"/>
  <c r="AQ372" i="3"/>
  <c r="AQ417" i="3"/>
  <c r="AQ422" i="3"/>
  <c r="AQ199" i="3"/>
  <c r="AQ275" i="3"/>
  <c r="AQ202" i="3"/>
  <c r="AQ301" i="3"/>
  <c r="AQ304" i="3"/>
  <c r="AQ307" i="3"/>
  <c r="AU328" i="3"/>
  <c r="AU333" i="3"/>
  <c r="AQ377" i="3"/>
  <c r="AQ386" i="3"/>
  <c r="AU195" i="3"/>
  <c r="AQ203" i="3"/>
  <c r="AQ269" i="3"/>
  <c r="AU352" i="3"/>
  <c r="AQ309" i="3"/>
  <c r="AQ312" i="3"/>
  <c r="AQ316" i="3"/>
  <c r="AQ320" i="3"/>
  <c r="AQ323" i="3"/>
  <c r="AQ288" i="3"/>
  <c r="AQ338" i="3"/>
  <c r="AQ255" i="3"/>
  <c r="AU350" i="3"/>
  <c r="AQ348" i="3"/>
  <c r="AQ300" i="3"/>
  <c r="AQ294" i="3"/>
  <c r="AQ306" i="3"/>
  <c r="AU381" i="3"/>
  <c r="AU252" i="3"/>
  <c r="AQ256" i="3"/>
  <c r="AQ221" i="3"/>
  <c r="AQ272" i="3"/>
  <c r="BC346" i="3"/>
  <c r="AU349" i="3"/>
  <c r="BC311" i="3"/>
  <c r="BC319" i="3"/>
  <c r="AQ325" i="3"/>
  <c r="AQ292" i="3"/>
  <c r="AQ353" i="3"/>
  <c r="AQ368" i="3"/>
  <c r="AQ380" i="3"/>
  <c r="AU253" i="3"/>
  <c r="AQ261" i="3"/>
  <c r="AU347" i="3"/>
  <c r="AQ290" i="3"/>
  <c r="AQ303" i="3"/>
  <c r="AQ289" i="3"/>
  <c r="AU288" i="3"/>
  <c r="AQ384" i="3"/>
  <c r="AQ385" i="3"/>
  <c r="AQ366" i="3"/>
  <c r="AQ374" i="3"/>
  <c r="AQ383" i="3"/>
  <c r="AU363" i="3"/>
  <c r="AU258" i="3"/>
  <c r="AU208" i="3"/>
  <c r="AQ271" i="3"/>
  <c r="AU351" i="3"/>
  <c r="BC350" i="3"/>
  <c r="AU348" i="3"/>
  <c r="BC282" i="3"/>
  <c r="AQ330" i="3"/>
  <c r="AQ298" i="3"/>
  <c r="AQ362" i="3"/>
  <c r="AQ379" i="3"/>
  <c r="AU380" i="3"/>
  <c r="AQ387" i="3"/>
  <c r="AQ388" i="3"/>
  <c r="AQ403" i="3"/>
  <c r="AQ404" i="3"/>
  <c r="AQ405" i="3"/>
  <c r="AQ406" i="3"/>
  <c r="AQ407" i="3"/>
  <c r="AU419" i="3"/>
  <c r="AQ401" i="3"/>
  <c r="AQ426" i="3"/>
  <c r="AQ427" i="3"/>
  <c r="AQ428" i="3"/>
  <c r="BC424" i="3"/>
  <c r="AU327" i="3"/>
  <c r="AQ337" i="3"/>
  <c r="AU297" i="3"/>
  <c r="AQ361" i="3"/>
  <c r="AQ373" i="3"/>
  <c r="AU383" i="3"/>
  <c r="AU417" i="3"/>
  <c r="AQ429" i="3"/>
  <c r="AU384" i="3"/>
  <c r="AQ393" i="3"/>
  <c r="AQ357" i="3"/>
  <c r="AQ367" i="3"/>
  <c r="AQ358" i="3"/>
  <c r="AU382" i="3"/>
  <c r="AU416" i="3"/>
  <c r="BC419" i="3"/>
  <c r="AQ421" i="3"/>
  <c r="BC291" i="3"/>
  <c r="AU332" i="3"/>
  <c r="AU341" i="3"/>
  <c r="AQ359" i="3"/>
  <c r="AQ369" i="3"/>
  <c r="AQ375" i="3"/>
  <c r="BC382" i="3"/>
  <c r="BC416" i="3"/>
  <c r="AQ423" i="3"/>
  <c r="AU334" i="3"/>
  <c r="AQ354" i="3"/>
  <c r="AQ370" i="3"/>
  <c r="AQ376" i="3"/>
  <c r="BC360" i="3"/>
  <c r="BC381" i="3"/>
  <c r="AQ389" i="3"/>
  <c r="BC388" i="3"/>
  <c r="BC403" i="3"/>
  <c r="BC408" i="3"/>
  <c r="BC392" i="3"/>
  <c r="BC396" i="3"/>
  <c r="BC418" i="3"/>
  <c r="BC394" i="3"/>
  <c r="BC409" i="3"/>
  <c r="BC411" i="3"/>
  <c r="BC415" i="3"/>
  <c r="AU433" i="3"/>
  <c r="BC326" i="3"/>
  <c r="AU329" i="3"/>
  <c r="AQ335" i="3"/>
  <c r="BC339" i="3"/>
  <c r="AU298" i="3"/>
  <c r="AU385" i="3"/>
  <c r="AQ402" i="3"/>
  <c r="AQ355" i="3"/>
  <c r="AQ364" i="3"/>
  <c r="AQ371" i="3"/>
  <c r="AQ356" i="3"/>
  <c r="AQ363" i="3"/>
  <c r="AQ390" i="3"/>
  <c r="AQ419" i="3"/>
  <c r="AU431" i="3"/>
  <c r="AQ431" i="3"/>
  <c r="BC431" i="3"/>
  <c r="BC430" i="3"/>
  <c r="AU432" i="3"/>
  <c r="AO8" i="4"/>
  <c r="AO43" i="4"/>
  <c r="AO51" i="4"/>
  <c r="AO59" i="4"/>
  <c r="AO67" i="4"/>
  <c r="AO75" i="4"/>
  <c r="AO83" i="4"/>
  <c r="AO91" i="4"/>
  <c r="AO99" i="4"/>
  <c r="AO107" i="4"/>
  <c r="AO115" i="4"/>
  <c r="AO17" i="4"/>
  <c r="AO25" i="4"/>
  <c r="AO49" i="4"/>
  <c r="AO47" i="4"/>
  <c r="AO55" i="4"/>
  <c r="AO63" i="4"/>
  <c r="AO71" i="4"/>
  <c r="AO79" i="4"/>
  <c r="AO87" i="4"/>
  <c r="AO95" i="4"/>
  <c r="AO103" i="4"/>
  <c r="AO111" i="4"/>
  <c r="AO21" i="4"/>
  <c r="AO29" i="4"/>
  <c r="AO53" i="4"/>
  <c r="AO3" i="4"/>
  <c r="AO2" i="4"/>
  <c r="AO4" i="4"/>
  <c r="AO10" i="4"/>
  <c r="AO15" i="4"/>
  <c r="AO57" i="4"/>
  <c r="AO65" i="4"/>
  <c r="AO73" i="4"/>
  <c r="AO81" i="4"/>
  <c r="AO89" i="4"/>
  <c r="AO97" i="4"/>
  <c r="AO105" i="4"/>
  <c r="AO113" i="4"/>
  <c r="AO119" i="4"/>
  <c r="AO7" i="4"/>
  <c r="AO13" i="4"/>
  <c r="AO19" i="4"/>
  <c r="AO27" i="4"/>
  <c r="AO45" i="4"/>
  <c r="AO61" i="4"/>
  <c r="AO69" i="4"/>
  <c r="AO77" i="4"/>
  <c r="AO85" i="4"/>
  <c r="AO93" i="4"/>
  <c r="AO101" i="4"/>
  <c r="AO109" i="4"/>
  <c r="AO117" i="4"/>
  <c r="AO42" i="4"/>
  <c r="AO5" i="4"/>
  <c r="AO11" i="4"/>
  <c r="AO20" i="4"/>
  <c r="AO28" i="4"/>
  <c r="AO46" i="4"/>
  <c r="AO48" i="4"/>
  <c r="AO50" i="4"/>
  <c r="AO52" i="4"/>
  <c r="AO54" i="4"/>
  <c r="AO60" i="4"/>
  <c r="AO62" i="4"/>
  <c r="AO68" i="4"/>
  <c r="AO70" i="4"/>
  <c r="AO76" i="4"/>
  <c r="AO78" i="4"/>
  <c r="AO84" i="4"/>
  <c r="AO86" i="4"/>
  <c r="AO92" i="4"/>
  <c r="AO94" i="4"/>
  <c r="AO100" i="4"/>
  <c r="AO102" i="4"/>
  <c r="AO108" i="4"/>
  <c r="AO110" i="4"/>
  <c r="AO116" i="4"/>
  <c r="AO118" i="4"/>
  <c r="AO14" i="4"/>
  <c r="AO18" i="4"/>
  <c r="AO22" i="4"/>
  <c r="AO26" i="4"/>
  <c r="AO30" i="4"/>
  <c r="AO44" i="4"/>
  <c r="AO56" i="4"/>
  <c r="AO64" i="4"/>
  <c r="AO72" i="4"/>
  <c r="AO80" i="4"/>
  <c r="AO88" i="4"/>
  <c r="AO96" i="4"/>
  <c r="AO104" i="4"/>
  <c r="AO112" i="4"/>
  <c r="AO9" i="4"/>
  <c r="AO16" i="4"/>
  <c r="AO192" i="4"/>
  <c r="AO264" i="4"/>
  <c r="AO6" i="4"/>
  <c r="AO12" i="4"/>
  <c r="AO224" i="4"/>
  <c r="AO122" i="4"/>
  <c r="AO127" i="4"/>
  <c r="AO135" i="4"/>
  <c r="AO143" i="4"/>
  <c r="AO151" i="4"/>
  <c r="AO159" i="4"/>
  <c r="AO167" i="4"/>
  <c r="AO175" i="4"/>
  <c r="AO183" i="4"/>
  <c r="AO219" i="4"/>
  <c r="AO252" i="4"/>
  <c r="AO385" i="4"/>
  <c r="AO380" i="4"/>
  <c r="AO372" i="4"/>
  <c r="AO364" i="4"/>
  <c r="AO355" i="4"/>
  <c r="AO350" i="4"/>
  <c r="AO356" i="4"/>
  <c r="AO340" i="4"/>
  <c r="AO301" i="4"/>
  <c r="AO374" i="4"/>
  <c r="AO358" i="4"/>
  <c r="AO290" i="4"/>
  <c r="AO283" i="4"/>
  <c r="AO371" i="4"/>
  <c r="AO274" i="4"/>
  <c r="AO266" i="4"/>
  <c r="AO342" i="4"/>
  <c r="AO382" i="4"/>
  <c r="AO366" i="4"/>
  <c r="AO302" i="4"/>
  <c r="AO379" i="4"/>
  <c r="AO363" i="4"/>
  <c r="AO354" i="4"/>
  <c r="AO289" i="4"/>
  <c r="AO335" i="4"/>
  <c r="AO319" i="4"/>
  <c r="AO261" i="4"/>
  <c r="AO245" i="4"/>
  <c r="AO243" i="4"/>
  <c r="AO242" i="4"/>
  <c r="AO238" i="4"/>
  <c r="AO237" i="4"/>
  <c r="AO339" i="4"/>
  <c r="AO323" i="4"/>
  <c r="AO307" i="4"/>
  <c r="AO257" i="4"/>
  <c r="AO229" i="4"/>
  <c r="AO247" i="4"/>
  <c r="AO327" i="4"/>
  <c r="AO311" i="4"/>
  <c r="AO282" i="4"/>
  <c r="AO253" i="4"/>
  <c r="AO228" i="4"/>
  <c r="AO331" i="4"/>
  <c r="AO315" i="4"/>
  <c r="AO249" i="4"/>
  <c r="AO272" i="4"/>
  <c r="AO217" i="4"/>
  <c r="AO209" i="4"/>
  <c r="AO201" i="4"/>
  <c r="AO193" i="4"/>
  <c r="AO185" i="4"/>
  <c r="AO182" i="4"/>
  <c r="AO174" i="4"/>
  <c r="AO166" i="4"/>
  <c r="AO158" i="4"/>
  <c r="AO150" i="4"/>
  <c r="AO142" i="4"/>
  <c r="AO134" i="4"/>
  <c r="AO126" i="4"/>
  <c r="AO259" i="4"/>
  <c r="AO255" i="4"/>
  <c r="AO179" i="4"/>
  <c r="AO171" i="4"/>
  <c r="AO163" i="4"/>
  <c r="AO218" i="4"/>
  <c r="AO210" i="4"/>
  <c r="AO202" i="4"/>
  <c r="AO194" i="4"/>
  <c r="AO269" i="4"/>
  <c r="AO200" i="4"/>
  <c r="AO121" i="4"/>
  <c r="AO124" i="4"/>
  <c r="AO128" i="4"/>
  <c r="AO130" i="4"/>
  <c r="AO132" i="4"/>
  <c r="AO136" i="4"/>
  <c r="AO138" i="4"/>
  <c r="AO140" i="4"/>
  <c r="AO144" i="4"/>
  <c r="AO146" i="4"/>
  <c r="AO148" i="4"/>
  <c r="AO152" i="4"/>
  <c r="AO154" i="4"/>
  <c r="AO156" i="4"/>
  <c r="AO160" i="4"/>
  <c r="AO162" i="4"/>
  <c r="AO164" i="4"/>
  <c r="AO168" i="4"/>
  <c r="AO170" i="4"/>
  <c r="AO172" i="4"/>
  <c r="AO176" i="4"/>
  <c r="AO180" i="4"/>
  <c r="AO184" i="4"/>
  <c r="AO23" i="4"/>
  <c r="AO31" i="4"/>
  <c r="AO32" i="4"/>
  <c r="AO33" i="4"/>
  <c r="AO34" i="4"/>
  <c r="AO35" i="4"/>
  <c r="AO36" i="4"/>
  <c r="AO37" i="4"/>
  <c r="AO38" i="4"/>
  <c r="AO120" i="4"/>
  <c r="AO178" i="4"/>
  <c r="AO186" i="4"/>
  <c r="AO208" i="4"/>
  <c r="AO203" i="4"/>
  <c r="AO123" i="4"/>
  <c r="AO216" i="4"/>
  <c r="AO24" i="4"/>
  <c r="AO39" i="4"/>
  <c r="AO40" i="4"/>
  <c r="AO41" i="4"/>
  <c r="AO58" i="4"/>
  <c r="AO66" i="4"/>
  <c r="AO74" i="4"/>
  <c r="AO82" i="4"/>
  <c r="AO90" i="4"/>
  <c r="AO98" i="4"/>
  <c r="AO106" i="4"/>
  <c r="AO114" i="4"/>
  <c r="AO125" i="4"/>
  <c r="AO129" i="4"/>
  <c r="AO131" i="4"/>
  <c r="AO133" i="4"/>
  <c r="AO137" i="4"/>
  <c r="AO139" i="4"/>
  <c r="AO141" i="4"/>
  <c r="AO145" i="4"/>
  <c r="AO147" i="4"/>
  <c r="AO149" i="4"/>
  <c r="AO153" i="4"/>
  <c r="AO155" i="4"/>
  <c r="AO157" i="4"/>
  <c r="AO161" i="4"/>
  <c r="AO165" i="4"/>
  <c r="AO169" i="4"/>
  <c r="AO173" i="4"/>
  <c r="AO177" i="4"/>
  <c r="AO181" i="4"/>
  <c r="AO211" i="4"/>
  <c r="AO190" i="4"/>
  <c r="AO198" i="4"/>
  <c r="AO206" i="4"/>
  <c r="AO214" i="4"/>
  <c r="AO222" i="4"/>
  <c r="AO230" i="4"/>
  <c r="AO235" i="4"/>
  <c r="AO389" i="4"/>
  <c r="AO318" i="4"/>
  <c r="AO189" i="4"/>
  <c r="AO197" i="4"/>
  <c r="AO205" i="4"/>
  <c r="AO213" i="4"/>
  <c r="AO221" i="4"/>
  <c r="AO227" i="4"/>
  <c r="AO384" i="4"/>
  <c r="AO188" i="4"/>
  <c r="AO234" i="4"/>
  <c r="AO306" i="4"/>
  <c r="AO334" i="4"/>
  <c r="AO187" i="4"/>
  <c r="AO196" i="4"/>
  <c r="AO204" i="4"/>
  <c r="AO212" i="4"/>
  <c r="AO220" i="4"/>
  <c r="AO251" i="4"/>
  <c r="AO280" i="4"/>
  <c r="AO226" i="4"/>
  <c r="AO236" i="4"/>
  <c r="AO254" i="4"/>
  <c r="AO288" i="4"/>
  <c r="AO322" i="4"/>
  <c r="AO191" i="4"/>
  <c r="AO195" i="4"/>
  <c r="AO199" i="4"/>
  <c r="AO207" i="4"/>
  <c r="AO215" i="4"/>
  <c r="AO223" i="4"/>
  <c r="AO248" i="4"/>
  <c r="AO263" i="4"/>
  <c r="AO361" i="4"/>
  <c r="AO225" i="4"/>
  <c r="AO258" i="4"/>
  <c r="AO265" i="4"/>
  <c r="AO271" i="4"/>
  <c r="AO278" i="4"/>
  <c r="AO286" i="4"/>
  <c r="AO377" i="4"/>
  <c r="AO246" i="4"/>
  <c r="AO256" i="4"/>
  <c r="AO262" i="4"/>
  <c r="AO267" i="4"/>
  <c r="AO293" i="4"/>
  <c r="AO300" i="4"/>
  <c r="AO314" i="4"/>
  <c r="AO330" i="4"/>
  <c r="AO231" i="4"/>
  <c r="AO232" i="4"/>
  <c r="AO233" i="4"/>
  <c r="AO239" i="4"/>
  <c r="AO240" i="4"/>
  <c r="AO241" i="4"/>
  <c r="AO244" i="4"/>
  <c r="AO273" i="4"/>
  <c r="AO281" i="4"/>
  <c r="AO370" i="4"/>
  <c r="AO260" i="4"/>
  <c r="AO270" i="4"/>
  <c r="AO310" i="4"/>
  <c r="AO326" i="4"/>
  <c r="AO250" i="4"/>
  <c r="AO275" i="4"/>
  <c r="AO296" i="4"/>
  <c r="AO279" i="4"/>
  <c r="AO287" i="4"/>
  <c r="AO292" i="4"/>
  <c r="AO299" i="4"/>
  <c r="AO346" i="4"/>
  <c r="AO348" i="4"/>
  <c r="AO357" i="4"/>
  <c r="AO391" i="4"/>
  <c r="AO295" i="4"/>
  <c r="AO304" i="4"/>
  <c r="AO308" i="4"/>
  <c r="AO312" i="4"/>
  <c r="AO316" i="4"/>
  <c r="AO320" i="4"/>
  <c r="AO324" i="4"/>
  <c r="AO328" i="4"/>
  <c r="AO332" i="4"/>
  <c r="AO336" i="4"/>
  <c r="AO276" i="4"/>
  <c r="AO277" i="4"/>
  <c r="AO284" i="4"/>
  <c r="AO285" i="4"/>
  <c r="AO291" i="4"/>
  <c r="AO362" i="4"/>
  <c r="AO369" i="4"/>
  <c r="AO378" i="4"/>
  <c r="AO268" i="4"/>
  <c r="AO294" i="4"/>
  <c r="AO345" i="4"/>
  <c r="AO351" i="4"/>
  <c r="AO353" i="4"/>
  <c r="AO303" i="4"/>
  <c r="AO341" i="4"/>
  <c r="AO347" i="4"/>
  <c r="AO297" i="4"/>
  <c r="AO305" i="4"/>
  <c r="AO309" i="4"/>
  <c r="AO313" i="4"/>
  <c r="AO317" i="4"/>
  <c r="AO321" i="4"/>
  <c r="AO325" i="4"/>
  <c r="AO329" i="4"/>
  <c r="AO333" i="4"/>
  <c r="AO337" i="4"/>
  <c r="AO423" i="4"/>
  <c r="AO344" i="4"/>
  <c r="AO360" i="4"/>
  <c r="AO365" i="4"/>
  <c r="AO368" i="4"/>
  <c r="AO373" i="4"/>
  <c r="AO376" i="4"/>
  <c r="AO381" i="4"/>
  <c r="AO393" i="4"/>
  <c r="AO298" i="4"/>
  <c r="AO386" i="4"/>
  <c r="AO343" i="4"/>
  <c r="AO349" i="4"/>
  <c r="AO359" i="4"/>
  <c r="AO367" i="4"/>
  <c r="AO375" i="4"/>
  <c r="AO390" i="4"/>
  <c r="AO352" i="4"/>
  <c r="AO383" i="4"/>
  <c r="AO396" i="4"/>
  <c r="AO394" i="4"/>
  <c r="AO397" i="4"/>
  <c r="F210" i="7"/>
  <c r="AO405" i="4"/>
  <c r="AO413" i="4"/>
  <c r="AO421" i="4"/>
  <c r="AO428" i="4"/>
  <c r="AO399" i="4"/>
  <c r="AO407" i="4"/>
  <c r="AO415" i="4"/>
  <c r="AO402" i="4"/>
  <c r="AO410" i="4"/>
  <c r="AO418" i="4"/>
  <c r="AO404" i="4"/>
  <c r="AO412" i="4"/>
  <c r="AO420" i="4"/>
  <c r="AO431" i="4"/>
  <c r="AO388" i="4"/>
  <c r="AO429" i="4"/>
  <c r="AO398" i="4"/>
  <c r="AO406" i="4"/>
  <c r="AO414" i="4"/>
  <c r="AO422" i="4"/>
  <c r="AO430" i="4"/>
  <c r="F58" i="7"/>
  <c r="F122" i="7"/>
  <c r="F186" i="7"/>
  <c r="F250" i="7"/>
  <c r="AO387" i="4"/>
  <c r="AO395" i="4"/>
  <c r="AO403" i="4"/>
  <c r="AO411" i="4"/>
  <c r="AO419" i="4"/>
  <c r="AO427" i="4"/>
  <c r="F2" i="7"/>
  <c r="F66" i="7"/>
  <c r="F130" i="7"/>
  <c r="F194" i="7"/>
  <c r="AO426" i="4"/>
  <c r="F282" i="7"/>
  <c r="AO401" i="4"/>
  <c r="AO409" i="4"/>
  <c r="AO417" i="4"/>
  <c r="AO425" i="4"/>
  <c r="AO433" i="4"/>
  <c r="F50" i="7"/>
  <c r="F114" i="7"/>
  <c r="F178" i="7"/>
  <c r="F242" i="7"/>
  <c r="AO392" i="4"/>
  <c r="AO400" i="4"/>
  <c r="AO408" i="4"/>
  <c r="AO416" i="4"/>
  <c r="AO424" i="4"/>
  <c r="AO432" i="4"/>
  <c r="F10" i="7"/>
  <c r="F74" i="7"/>
  <c r="F138" i="7"/>
  <c r="F202" i="7"/>
  <c r="F266" i="7"/>
  <c r="AR64" i="3" l="1"/>
  <c r="H64" i="3" s="1"/>
  <c r="J35" i="3"/>
  <c r="K64" i="3"/>
  <c r="L35" i="3"/>
  <c r="M64" i="3"/>
  <c r="M35" i="3"/>
  <c r="K66" i="3"/>
  <c r="AR66" i="3"/>
  <c r="K65" i="3"/>
  <c r="L65" i="3"/>
  <c r="AR61" i="3"/>
  <c r="M57" i="3"/>
  <c r="M65" i="3"/>
  <c r="AV226" i="3"/>
  <c r="AV233" i="3"/>
  <c r="AV414" i="3"/>
  <c r="AV276" i="3"/>
  <c r="AV397" i="3"/>
  <c r="AV391" i="3"/>
  <c r="AV347" i="3"/>
  <c r="AV268" i="3"/>
  <c r="AV424" i="3"/>
  <c r="AV361" i="3"/>
  <c r="AV386" i="3"/>
  <c r="AV429" i="3"/>
  <c r="AV393" i="3"/>
  <c r="AV398" i="3"/>
  <c r="AV388" i="3"/>
  <c r="AV428" i="3"/>
  <c r="AV419" i="3"/>
  <c r="AV236" i="3"/>
  <c r="AV278" i="3"/>
  <c r="AV230" i="3"/>
  <c r="AV413" i="3"/>
  <c r="AV277" i="3"/>
  <c r="AV410" i="3"/>
  <c r="AV283" i="3"/>
  <c r="AV349" i="3"/>
  <c r="AV432" i="3"/>
  <c r="AV358" i="3"/>
  <c r="AV387" i="3"/>
  <c r="AV421" i="3"/>
  <c r="AV355" i="3"/>
  <c r="AV399" i="3"/>
  <c r="AV403" i="3"/>
  <c r="AV431" i="3"/>
  <c r="AV262" i="3"/>
  <c r="AV348" i="3"/>
  <c r="AV274" i="3"/>
  <c r="AV346" i="3"/>
  <c r="AV345" i="3"/>
  <c r="AV279" i="3"/>
  <c r="AV275" i="3"/>
  <c r="AV290" i="3"/>
  <c r="AV289" i="3"/>
  <c r="AV350" i="3"/>
  <c r="AV288" i="3"/>
  <c r="AV400" i="3"/>
  <c r="AV422" i="3"/>
  <c r="AV357" i="3"/>
  <c r="AV404" i="3"/>
  <c r="AV298" i="3"/>
  <c r="AV235" i="3"/>
  <c r="AV343" i="3"/>
  <c r="AV264" i="3"/>
  <c r="AV411" i="3"/>
  <c r="AV360" i="3"/>
  <c r="AV354" i="3"/>
  <c r="AV430" i="3"/>
  <c r="AV359" i="3"/>
  <c r="AV425" i="3"/>
  <c r="AV406" i="3"/>
  <c r="AV385" i="3"/>
  <c r="M62" i="3"/>
  <c r="M41" i="3"/>
  <c r="AV237" i="3"/>
  <c r="AV408" i="3"/>
  <c r="AV395" i="3"/>
  <c r="AV285" i="3"/>
  <c r="AV296" i="3"/>
  <c r="AV356" i="3"/>
  <c r="AV416" i="3"/>
  <c r="AV282" i="3"/>
  <c r="AV389" i="3"/>
  <c r="AV292" i="3"/>
  <c r="AV401" i="3"/>
  <c r="AR6" i="3"/>
  <c r="I6" i="3" s="1"/>
  <c r="BE383" i="3"/>
  <c r="F383" i="3" s="1"/>
  <c r="M63" i="3"/>
  <c r="AR223" i="3"/>
  <c r="H223" i="3" s="1"/>
  <c r="K87" i="3"/>
  <c r="AR9" i="3"/>
  <c r="I9" i="3" s="1"/>
  <c r="M60" i="3"/>
  <c r="H85" i="3"/>
  <c r="M38" i="3"/>
  <c r="L6" i="3"/>
  <c r="L42" i="3"/>
  <c r="AS42" i="3" s="1"/>
  <c r="AR87" i="3"/>
  <c r="J38" i="3"/>
  <c r="K38" i="3"/>
  <c r="K6" i="3"/>
  <c r="J87" i="3"/>
  <c r="K5" i="3"/>
  <c r="M6" i="3"/>
  <c r="AR42" i="3"/>
  <c r="L87" i="3"/>
  <c r="K42" i="3"/>
  <c r="J32" i="3"/>
  <c r="L32" i="3"/>
  <c r="M32" i="3"/>
  <c r="L60" i="3"/>
  <c r="H343" i="3"/>
  <c r="L34" i="3"/>
  <c r="L5" i="3"/>
  <c r="AR57" i="3"/>
  <c r="I57" i="3" s="1"/>
  <c r="AR32" i="3"/>
  <c r="I32" i="3" s="1"/>
  <c r="AV342" i="3"/>
  <c r="K86" i="3"/>
  <c r="K9" i="3"/>
  <c r="M86" i="3"/>
  <c r="K24" i="3"/>
  <c r="AR34" i="3"/>
  <c r="L9" i="3"/>
  <c r="AS9" i="3" s="1"/>
  <c r="BA9" i="3" s="1"/>
  <c r="J7" i="3"/>
  <c r="J40" i="3"/>
  <c r="L56" i="3"/>
  <c r="AS56" i="3" s="1"/>
  <c r="BD56" i="3" s="1"/>
  <c r="E56" i="3" s="1"/>
  <c r="AR24" i="3"/>
  <c r="J34" i="3"/>
  <c r="AR7" i="3"/>
  <c r="I7" i="3" s="1"/>
  <c r="AR143" i="3"/>
  <c r="AR40" i="3"/>
  <c r="H40" i="3" s="1"/>
  <c r="J26" i="3"/>
  <c r="M33" i="3"/>
  <c r="K34" i="3"/>
  <c r="K7" i="3"/>
  <c r="K143" i="3"/>
  <c r="K40" i="3"/>
  <c r="AR26" i="3"/>
  <c r="L63" i="3"/>
  <c r="L33" i="3"/>
  <c r="AS33" i="3" s="1"/>
  <c r="M28" i="3"/>
  <c r="AR41" i="3"/>
  <c r="I41" i="3" s="1"/>
  <c r="AR65" i="3"/>
  <c r="I65" i="3" s="1"/>
  <c r="AS65" i="3" s="1"/>
  <c r="L7" i="3"/>
  <c r="L143" i="3"/>
  <c r="AS143" i="3" s="1"/>
  <c r="BA143" i="3" s="1"/>
  <c r="L40" i="3"/>
  <c r="AR23" i="3"/>
  <c r="L38" i="3"/>
  <c r="K33" i="3"/>
  <c r="L28" i="3"/>
  <c r="AS28" i="3" s="1"/>
  <c r="M9" i="3"/>
  <c r="M23" i="3"/>
  <c r="K28" i="3"/>
  <c r="L23" i="3"/>
  <c r="AS23" i="3" s="1"/>
  <c r="H60" i="3"/>
  <c r="J5" i="3"/>
  <c r="M24" i="3"/>
  <c r="H3" i="3"/>
  <c r="L86" i="3"/>
  <c r="AS27" i="3"/>
  <c r="BA27" i="3" s="1"/>
  <c r="J60" i="3"/>
  <c r="AR56" i="3"/>
  <c r="M223" i="3"/>
  <c r="H26" i="3"/>
  <c r="K60" i="3"/>
  <c r="BE419" i="3"/>
  <c r="F419" i="3" s="1"/>
  <c r="BE416" i="3"/>
  <c r="F416" i="3" s="1"/>
  <c r="M26" i="3"/>
  <c r="AR63" i="3"/>
  <c r="I63" i="3" s="1"/>
  <c r="J57" i="3"/>
  <c r="L66" i="3"/>
  <c r="AS66" i="3" s="1"/>
  <c r="L41" i="3"/>
  <c r="M59" i="3"/>
  <c r="AR59" i="3"/>
  <c r="H59" i="3" s="1"/>
  <c r="L59" i="3"/>
  <c r="K59" i="3"/>
  <c r="BC55" i="3"/>
  <c r="BC400" i="3"/>
  <c r="BC373" i="3"/>
  <c r="BE373" i="3" s="1"/>
  <c r="F373" i="3" s="1"/>
  <c r="BC361" i="3"/>
  <c r="BC428" i="3"/>
  <c r="BE428" i="3" s="1"/>
  <c r="F428" i="3" s="1"/>
  <c r="BC398" i="3"/>
  <c r="BE398" i="3" s="1"/>
  <c r="F398" i="3" s="1"/>
  <c r="BC217" i="3"/>
  <c r="BE217" i="3" s="1"/>
  <c r="F217" i="3" s="1"/>
  <c r="BC202" i="3"/>
  <c r="BE202" i="3" s="1"/>
  <c r="F202" i="3" s="1"/>
  <c r="BC201" i="3"/>
  <c r="BC53" i="3"/>
  <c r="BC129" i="3"/>
  <c r="BC89" i="3"/>
  <c r="BE89" i="3" s="1"/>
  <c r="F89" i="3" s="1"/>
  <c r="BC135" i="3"/>
  <c r="BE135" i="3" s="1"/>
  <c r="F135" i="3" s="1"/>
  <c r="BC112" i="3"/>
  <c r="BC143" i="3"/>
  <c r="BE143" i="3" s="1"/>
  <c r="F143" i="3" s="1"/>
  <c r="BC111" i="3"/>
  <c r="BE111" i="3" s="1"/>
  <c r="F111" i="3" s="1"/>
  <c r="BC85" i="3"/>
  <c r="BC110" i="3"/>
  <c r="BC165" i="3"/>
  <c r="BE165" i="3" s="1"/>
  <c r="F165" i="3" s="1"/>
  <c r="BC134" i="3"/>
  <c r="BC102" i="3"/>
  <c r="BE102" i="3" s="1"/>
  <c r="F102" i="3" s="1"/>
  <c r="BC107" i="3"/>
  <c r="BE107" i="3" s="1"/>
  <c r="F107" i="3" s="1"/>
  <c r="BC158" i="3"/>
  <c r="BE158" i="3" s="1"/>
  <c r="F158" i="3" s="1"/>
  <c r="BC87" i="3"/>
  <c r="BE87" i="3" s="1"/>
  <c r="F87" i="3" s="1"/>
  <c r="BC139" i="3"/>
  <c r="BC97" i="3"/>
  <c r="BC194" i="3"/>
  <c r="BC185" i="3"/>
  <c r="BC279" i="3"/>
  <c r="BE279" i="3" s="1"/>
  <c r="F279" i="3" s="1"/>
  <c r="BC108" i="3"/>
  <c r="BE108" i="3" s="1"/>
  <c r="F108" i="3" s="1"/>
  <c r="BC168" i="3"/>
  <c r="BE168" i="3" s="1"/>
  <c r="F168" i="3" s="1"/>
  <c r="BC248" i="3"/>
  <c r="BE248" i="3" s="1"/>
  <c r="F248" i="3" s="1"/>
  <c r="BC176" i="3"/>
  <c r="BC260" i="3"/>
  <c r="BC251" i="3"/>
  <c r="BE251" i="3" s="1"/>
  <c r="F251" i="3" s="1"/>
  <c r="BC315" i="3"/>
  <c r="BC417" i="3"/>
  <c r="BE417" i="3" s="1"/>
  <c r="F417" i="3" s="1"/>
  <c r="BC345" i="3"/>
  <c r="BE345" i="3" s="1"/>
  <c r="F345" i="3" s="1"/>
  <c r="BC404" i="3"/>
  <c r="BE404" i="3" s="1"/>
  <c r="F404" i="3" s="1"/>
  <c r="BC395" i="3"/>
  <c r="BE395" i="3" s="1"/>
  <c r="F395" i="3" s="1"/>
  <c r="BC235" i="3"/>
  <c r="BC54" i="3"/>
  <c r="BC378" i="3"/>
  <c r="BE378" i="3" s="1"/>
  <c r="F378" i="3" s="1"/>
  <c r="BC362" i="3"/>
  <c r="BE362" i="3" s="1"/>
  <c r="F362" i="3" s="1"/>
  <c r="BC366" i="3"/>
  <c r="BE366" i="3" s="1"/>
  <c r="F366" i="3" s="1"/>
  <c r="BC427" i="3"/>
  <c r="BE427" i="3" s="1"/>
  <c r="F427" i="3" s="1"/>
  <c r="BC390" i="3"/>
  <c r="BE390" i="3" s="1"/>
  <c r="F390" i="3" s="1"/>
  <c r="BC210" i="3"/>
  <c r="BE210" i="3" s="1"/>
  <c r="F210" i="3" s="1"/>
  <c r="BC389" i="3"/>
  <c r="BC149" i="3"/>
  <c r="BE149" i="3" s="1"/>
  <c r="F149" i="3" s="1"/>
  <c r="BC223" i="3"/>
  <c r="BE223" i="3" s="1"/>
  <c r="F223" i="3" s="1"/>
  <c r="BC74" i="3"/>
  <c r="BC91" i="3"/>
  <c r="BC128" i="3"/>
  <c r="BE128" i="3" s="1"/>
  <c r="F128" i="3" s="1"/>
  <c r="BC166" i="3"/>
  <c r="BE166" i="3" s="1"/>
  <c r="F166" i="3" s="1"/>
  <c r="BC252" i="3"/>
  <c r="BE252" i="3" s="1"/>
  <c r="F252" i="3" s="1"/>
  <c r="BC377" i="3"/>
  <c r="BC372" i="3"/>
  <c r="BE372" i="3" s="1"/>
  <c r="F372" i="3" s="1"/>
  <c r="BC365" i="3"/>
  <c r="BE365" i="3" s="1"/>
  <c r="F365" i="3" s="1"/>
  <c r="BC426" i="3"/>
  <c r="BE426" i="3" s="1"/>
  <c r="F426" i="3" s="1"/>
  <c r="BC359" i="3"/>
  <c r="BC205" i="3"/>
  <c r="BE205" i="3" s="1"/>
  <c r="F205" i="3" s="1"/>
  <c r="BC133" i="3"/>
  <c r="BC156" i="3"/>
  <c r="BE156" i="3" s="1"/>
  <c r="F156" i="3" s="1"/>
  <c r="BC120" i="3"/>
  <c r="BC70" i="3"/>
  <c r="BC119" i="3"/>
  <c r="BE119" i="3" s="1"/>
  <c r="F119" i="3" s="1"/>
  <c r="BC96" i="3"/>
  <c r="BC118" i="3"/>
  <c r="BE118" i="3" s="1"/>
  <c r="F118" i="3" s="1"/>
  <c r="BC72" i="3"/>
  <c r="BC138" i="3"/>
  <c r="BC104" i="3"/>
  <c r="BE104" i="3" s="1"/>
  <c r="F104" i="3" s="1"/>
  <c r="BC148" i="3"/>
  <c r="BC114" i="3"/>
  <c r="BC150" i="3"/>
  <c r="BE150" i="3" s="1"/>
  <c r="F150" i="3" s="1"/>
  <c r="BC211" i="3"/>
  <c r="BE211" i="3" s="1"/>
  <c r="F211" i="3" s="1"/>
  <c r="BC238" i="3"/>
  <c r="BE238" i="3" s="1"/>
  <c r="F238" i="3" s="1"/>
  <c r="BC284" i="3"/>
  <c r="BE284" i="3" s="1"/>
  <c r="F284" i="3" s="1"/>
  <c r="BC169" i="3"/>
  <c r="BE169" i="3" s="1"/>
  <c r="F169" i="3" s="1"/>
  <c r="BC197" i="3"/>
  <c r="BE197" i="3" s="1"/>
  <c r="F197" i="3" s="1"/>
  <c r="BC109" i="3"/>
  <c r="BC277" i="3"/>
  <c r="BC200" i="3"/>
  <c r="BE200" i="3" s="1"/>
  <c r="F200" i="3" s="1"/>
  <c r="BC332" i="3"/>
  <c r="BC258" i="3"/>
  <c r="BE258" i="3" s="1"/>
  <c r="F258" i="3" s="1"/>
  <c r="BC322" i="3"/>
  <c r="BE322" i="3" s="1"/>
  <c r="F322" i="3" s="1"/>
  <c r="BC352" i="3"/>
  <c r="BE352" i="3" s="1"/>
  <c r="F352" i="3" s="1"/>
  <c r="BC331" i="3"/>
  <c r="BE331" i="3" s="1"/>
  <c r="F331" i="3" s="1"/>
  <c r="BC297" i="3"/>
  <c r="BC379" i="3"/>
  <c r="BC391" i="3"/>
  <c r="BE391" i="3" s="1"/>
  <c r="F391" i="3" s="1"/>
  <c r="BC410" i="3"/>
  <c r="BC356" i="3"/>
  <c r="BC371" i="3"/>
  <c r="BE371" i="3" s="1"/>
  <c r="F371" i="3" s="1"/>
  <c r="BC364" i="3"/>
  <c r="BE364" i="3" s="1"/>
  <c r="F364" i="3" s="1"/>
  <c r="BC401" i="3"/>
  <c r="BC353" i="3"/>
  <c r="BC203" i="3"/>
  <c r="BC132" i="3"/>
  <c r="BC151" i="3"/>
  <c r="BE151" i="3" s="1"/>
  <c r="F151" i="3" s="1"/>
  <c r="BC154" i="3"/>
  <c r="BE154" i="3" s="1"/>
  <c r="F154" i="3" s="1"/>
  <c r="BC73" i="3"/>
  <c r="BE73" i="3" s="1"/>
  <c r="F73" i="3" s="1"/>
  <c r="BC313" i="3"/>
  <c r="BE313" i="3" s="1"/>
  <c r="F313" i="3" s="1"/>
  <c r="BC92" i="3"/>
  <c r="BC212" i="3"/>
  <c r="BC94" i="3"/>
  <c r="BC115" i="3"/>
  <c r="BE115" i="3" s="1"/>
  <c r="F115" i="3" s="1"/>
  <c r="BC180" i="3"/>
  <c r="BC160" i="3"/>
  <c r="BE160" i="3" s="1"/>
  <c r="F160" i="3" s="1"/>
  <c r="BC237" i="3"/>
  <c r="BE237" i="3" s="1"/>
  <c r="F237" i="3" s="1"/>
  <c r="BC299" i="3"/>
  <c r="BE299" i="3" s="1"/>
  <c r="F299" i="3" s="1"/>
  <c r="BC152" i="3"/>
  <c r="BC174" i="3"/>
  <c r="BC182" i="3"/>
  <c r="BC344" i="3"/>
  <c r="BE344" i="3" s="1"/>
  <c r="F344" i="3" s="1"/>
  <c r="BC215" i="3"/>
  <c r="BC376" i="3"/>
  <c r="BE376" i="3" s="1"/>
  <c r="F376" i="3" s="1"/>
  <c r="BC370" i="3"/>
  <c r="BE370" i="3" s="1"/>
  <c r="F370" i="3" s="1"/>
  <c r="BC354" i="3"/>
  <c r="BE354" i="3" s="1"/>
  <c r="F354" i="3" s="1"/>
  <c r="BC348" i="3"/>
  <c r="BE348" i="3" s="1"/>
  <c r="F348" i="3" s="1"/>
  <c r="BC220" i="3"/>
  <c r="BC213" i="3"/>
  <c r="BE213" i="3" s="1"/>
  <c r="F213" i="3" s="1"/>
  <c r="BC136" i="3"/>
  <c r="BC204" i="3"/>
  <c r="BE204" i="3" s="1"/>
  <c r="F204" i="3" s="1"/>
  <c r="BC28" i="3"/>
  <c r="BC88" i="3"/>
  <c r="BE88" i="3" s="1"/>
  <c r="F88" i="3" s="1"/>
  <c r="BC267" i="3"/>
  <c r="BE267" i="3" s="1"/>
  <c r="F267" i="3" s="1"/>
  <c r="BC188" i="3"/>
  <c r="BE188" i="3" s="1"/>
  <c r="F188" i="3" s="1"/>
  <c r="BC51" i="3"/>
  <c r="BC116" i="3"/>
  <c r="BC81" i="3"/>
  <c r="BE81" i="3" s="1"/>
  <c r="F81" i="3" s="1"/>
  <c r="BC101" i="3"/>
  <c r="BC122" i="3"/>
  <c r="BC161" i="3"/>
  <c r="BE161" i="3" s="1"/>
  <c r="F161" i="3" s="1"/>
  <c r="BC317" i="3"/>
  <c r="BE317" i="3" s="1"/>
  <c r="F317" i="3" s="1"/>
  <c r="BC247" i="3"/>
  <c r="BE247" i="3" s="1"/>
  <c r="F247" i="3" s="1"/>
  <c r="BC175" i="3"/>
  <c r="BC310" i="3"/>
  <c r="BC347" i="3"/>
  <c r="BE347" i="3" s="1"/>
  <c r="F347" i="3" s="1"/>
  <c r="BC340" i="3"/>
  <c r="BC207" i="3"/>
  <c r="BC375" i="3"/>
  <c r="BE375" i="3" s="1"/>
  <c r="F375" i="3" s="1"/>
  <c r="BC369" i="3"/>
  <c r="BE369" i="3" s="1"/>
  <c r="F369" i="3" s="1"/>
  <c r="BC433" i="3"/>
  <c r="BE433" i="3" s="1"/>
  <c r="F433" i="3" s="1"/>
  <c r="BC399" i="3"/>
  <c r="BC219" i="3"/>
  <c r="BE219" i="3" s="1"/>
  <c r="F219" i="3" s="1"/>
  <c r="BC209" i="3"/>
  <c r="BC131" i="3"/>
  <c r="BC137" i="3"/>
  <c r="BE137" i="3" s="1"/>
  <c r="F137" i="3" s="1"/>
  <c r="BC52" i="3"/>
  <c r="BC178" i="3"/>
  <c r="BE178" i="3" s="1"/>
  <c r="F178" i="3" s="1"/>
  <c r="BC8" i="3"/>
  <c r="BC69" i="3"/>
  <c r="BC117" i="3"/>
  <c r="BC224" i="3"/>
  <c r="BC141" i="3"/>
  <c r="BC162" i="3"/>
  <c r="BE162" i="3" s="1"/>
  <c r="F162" i="3" s="1"/>
  <c r="BC324" i="3"/>
  <c r="BE324" i="3" s="1"/>
  <c r="F324" i="3" s="1"/>
  <c r="BC170" i="3"/>
  <c r="BE170" i="3" s="1"/>
  <c r="F170" i="3" s="1"/>
  <c r="BC186" i="3"/>
  <c r="BC239" i="3"/>
  <c r="BC296" i="3"/>
  <c r="BC351" i="3"/>
  <c r="BE351" i="3" s="1"/>
  <c r="F351" i="3" s="1"/>
  <c r="BC341" i="3"/>
  <c r="BE341" i="3" s="1"/>
  <c r="F341" i="3" s="1"/>
  <c r="BC208" i="3"/>
  <c r="BE208" i="3" s="1"/>
  <c r="F208" i="3" s="1"/>
  <c r="BC328" i="3"/>
  <c r="BE328" i="3" s="1"/>
  <c r="F328" i="3" s="1"/>
  <c r="BC425" i="3"/>
  <c r="BE425" i="3" s="1"/>
  <c r="F425" i="3" s="1"/>
  <c r="BC327" i="3"/>
  <c r="BE327" i="3" s="1"/>
  <c r="F327" i="3" s="1"/>
  <c r="BC397" i="3"/>
  <c r="BC429" i="3"/>
  <c r="BE429" i="3" s="1"/>
  <c r="F429" i="3" s="1"/>
  <c r="BC374" i="3"/>
  <c r="BE374" i="3" s="1"/>
  <c r="F374" i="3" s="1"/>
  <c r="BC368" i="3"/>
  <c r="BE368" i="3" s="1"/>
  <c r="F368" i="3" s="1"/>
  <c r="BC432" i="3"/>
  <c r="BE432" i="3" s="1"/>
  <c r="F432" i="3" s="1"/>
  <c r="BC355" i="3"/>
  <c r="BC218" i="3"/>
  <c r="BC357" i="3"/>
  <c r="BE357" i="3" s="1"/>
  <c r="F357" i="3" s="1"/>
  <c r="BC130" i="3"/>
  <c r="BC153" i="3"/>
  <c r="BC140" i="3"/>
  <c r="BE140" i="3" s="1"/>
  <c r="F140" i="3" s="1"/>
  <c r="BC257" i="3"/>
  <c r="BC79" i="3"/>
  <c r="BC263" i="3"/>
  <c r="BE263" i="3" s="1"/>
  <c r="F263" i="3" s="1"/>
  <c r="BC172" i="3"/>
  <c r="BE172" i="3" s="1"/>
  <c r="F172" i="3" s="1"/>
  <c r="BC98" i="3"/>
  <c r="BE98" i="3" s="1"/>
  <c r="F98" i="3" s="1"/>
  <c r="BC349" i="3"/>
  <c r="BC163" i="3"/>
  <c r="BE163" i="3" s="1"/>
  <c r="F163" i="3" s="1"/>
  <c r="BC159" i="3"/>
  <c r="BC281" i="3"/>
  <c r="BC342" i="3"/>
  <c r="BE342" i="3" s="1"/>
  <c r="F342" i="3" s="1"/>
  <c r="BC167" i="3"/>
  <c r="BE167" i="3" s="1"/>
  <c r="F167" i="3" s="1"/>
  <c r="BC244" i="3"/>
  <c r="BE244" i="3" s="1"/>
  <c r="F244" i="3" s="1"/>
  <c r="BC126" i="3"/>
  <c r="BE126" i="3" s="1"/>
  <c r="F126" i="3" s="1"/>
  <c r="BC333" i="3"/>
  <c r="BC308" i="3"/>
  <c r="K11" i="3"/>
  <c r="AR11" i="3"/>
  <c r="M11" i="3"/>
  <c r="K39" i="3"/>
  <c r="AR39" i="3"/>
  <c r="H39" i="3" s="1"/>
  <c r="L39" i="3"/>
  <c r="J39" i="3"/>
  <c r="L44" i="3"/>
  <c r="J44" i="3"/>
  <c r="I44" i="3"/>
  <c r="H44" i="3"/>
  <c r="M44" i="3"/>
  <c r="K44" i="3"/>
  <c r="BC358" i="3"/>
  <c r="BE297" i="3"/>
  <c r="F297" i="3" s="1"/>
  <c r="BC157" i="3"/>
  <c r="BE157" i="3" s="1"/>
  <c r="F157" i="3" s="1"/>
  <c r="M39" i="3"/>
  <c r="BC216" i="3"/>
  <c r="BE216" i="3" s="1"/>
  <c r="F216" i="3" s="1"/>
  <c r="BE201" i="3"/>
  <c r="F201" i="3" s="1"/>
  <c r="L11" i="3"/>
  <c r="AS11" i="3" s="1"/>
  <c r="H87" i="3"/>
  <c r="I87" i="3"/>
  <c r="BC214" i="3"/>
  <c r="BE214" i="3" s="1"/>
  <c r="F214" i="3" s="1"/>
  <c r="BE253" i="3"/>
  <c r="F253" i="3" s="1"/>
  <c r="BE127" i="3"/>
  <c r="F127" i="3" s="1"/>
  <c r="BE399" i="3"/>
  <c r="F399" i="3" s="1"/>
  <c r="AU32" i="3"/>
  <c r="K61" i="3"/>
  <c r="K223" i="3"/>
  <c r="AS85" i="3"/>
  <c r="L57" i="3"/>
  <c r="AR86" i="3"/>
  <c r="H86" i="3" s="1"/>
  <c r="BE349" i="3"/>
  <c r="F349" i="3" s="1"/>
  <c r="BE164" i="3"/>
  <c r="F164" i="3" s="1"/>
  <c r="BE277" i="3"/>
  <c r="F277" i="3" s="1"/>
  <c r="AU63" i="3"/>
  <c r="AU4" i="3"/>
  <c r="BA4" i="3" s="1"/>
  <c r="AU221" i="3"/>
  <c r="BE221" i="3" s="1"/>
  <c r="F221" i="3" s="1"/>
  <c r="AU91" i="3"/>
  <c r="AU31" i="3"/>
  <c r="AU103" i="3"/>
  <c r="AU112" i="3"/>
  <c r="AU120" i="3"/>
  <c r="BE120" i="3" s="1"/>
  <c r="F120" i="3" s="1"/>
  <c r="AU152" i="3"/>
  <c r="AU190" i="3"/>
  <c r="AU291" i="3"/>
  <c r="BE291" i="3" s="1"/>
  <c r="F291" i="3" s="1"/>
  <c r="AU278" i="3"/>
  <c r="AU355" i="3"/>
  <c r="AU361" i="3"/>
  <c r="AU393" i="3"/>
  <c r="AU401" i="3"/>
  <c r="AU392" i="3"/>
  <c r="BE392" i="3" s="1"/>
  <c r="F392" i="3" s="1"/>
  <c r="AU40" i="3"/>
  <c r="AU193" i="3"/>
  <c r="L61" i="3"/>
  <c r="AS61" i="3" s="1"/>
  <c r="K56" i="3"/>
  <c r="I26" i="3"/>
  <c r="J223" i="3"/>
  <c r="I38" i="3"/>
  <c r="AS35" i="3"/>
  <c r="D35" i="3" s="1"/>
  <c r="I64" i="3"/>
  <c r="AS64" i="3" s="1"/>
  <c r="BA64" i="3" s="1"/>
  <c r="BE177" i="3"/>
  <c r="F177" i="3" s="1"/>
  <c r="BE56" i="3"/>
  <c r="F56" i="3" s="1"/>
  <c r="BE333" i="3"/>
  <c r="F333" i="3" s="1"/>
  <c r="BE175" i="3"/>
  <c r="F175" i="3" s="1"/>
  <c r="BE70" i="3"/>
  <c r="F70" i="3" s="1"/>
  <c r="AU182" i="3"/>
  <c r="AU226" i="3"/>
  <c r="AU85" i="3"/>
  <c r="BE85" i="3" s="1"/>
  <c r="F85" i="3" s="1"/>
  <c r="AU94" i="3"/>
  <c r="AU97" i="3"/>
  <c r="AU114" i="3"/>
  <c r="AU122" i="3"/>
  <c r="AU181" i="3"/>
  <c r="AU293" i="3"/>
  <c r="AU199" i="3"/>
  <c r="AU207" i="3"/>
  <c r="BE207" i="3" s="1"/>
  <c r="F207" i="3" s="1"/>
  <c r="AU268" i="3"/>
  <c r="BE367" i="3"/>
  <c r="F367" i="3" s="1"/>
  <c r="AU359" i="3"/>
  <c r="AU225" i="3"/>
  <c r="K26" i="3"/>
  <c r="AR5" i="3"/>
  <c r="I5" i="3" s="1"/>
  <c r="K63" i="3"/>
  <c r="H58" i="3"/>
  <c r="BE431" i="3"/>
  <c r="F431" i="3" s="1"/>
  <c r="BE78" i="3"/>
  <c r="F78" i="3" s="1"/>
  <c r="BE203" i="3"/>
  <c r="F203" i="3" s="1"/>
  <c r="BE130" i="3"/>
  <c r="F130" i="3" s="1"/>
  <c r="BE377" i="3"/>
  <c r="F377" i="3" s="1"/>
  <c r="BE389" i="3"/>
  <c r="F389" i="3" s="1"/>
  <c r="AU24" i="3"/>
  <c r="BC48" i="3"/>
  <c r="BE109" i="3"/>
  <c r="F109" i="3" s="1"/>
  <c r="BE106" i="3"/>
  <c r="F106" i="3" s="1"/>
  <c r="BE400" i="3"/>
  <c r="F400" i="3" s="1"/>
  <c r="BE380" i="3"/>
  <c r="F380" i="3" s="1"/>
  <c r="BE155" i="3"/>
  <c r="F155" i="3" s="1"/>
  <c r="AU60" i="3"/>
  <c r="AU184" i="3"/>
  <c r="AU95" i="3"/>
  <c r="BE95" i="3" s="1"/>
  <c r="F95" i="3" s="1"/>
  <c r="AU92" i="3"/>
  <c r="AU117" i="3"/>
  <c r="BE117" i="3" s="1"/>
  <c r="F117" i="3" s="1"/>
  <c r="AU84" i="3"/>
  <c r="AU180" i="3"/>
  <c r="AU218" i="3"/>
  <c r="AU220" i="3"/>
  <c r="BE220" i="3" s="1"/>
  <c r="F220" i="3" s="1"/>
  <c r="AU206" i="3"/>
  <c r="BE206" i="3" s="1"/>
  <c r="F206" i="3" s="1"/>
  <c r="AU233" i="3"/>
  <c r="AU356" i="3"/>
  <c r="AU292" i="3"/>
  <c r="AU286" i="3"/>
  <c r="AU360" i="3"/>
  <c r="AS58" i="3"/>
  <c r="BA58" i="3" s="1"/>
  <c r="I428" i="4"/>
  <c r="AP428" i="4"/>
  <c r="K428" i="4"/>
  <c r="J428" i="4"/>
  <c r="I324" i="4"/>
  <c r="K324" i="4"/>
  <c r="J324" i="4"/>
  <c r="AP324" i="4"/>
  <c r="K133" i="4"/>
  <c r="J133" i="4"/>
  <c r="I133" i="4"/>
  <c r="AP133" i="4"/>
  <c r="G133" i="4" s="1"/>
  <c r="H133" i="4"/>
  <c r="I174" i="4"/>
  <c r="AP174" i="4"/>
  <c r="G174" i="4" s="1"/>
  <c r="H174" i="4"/>
  <c r="K174" i="4"/>
  <c r="J174" i="4"/>
  <c r="K183" i="4"/>
  <c r="J183" i="4"/>
  <c r="I183" i="4"/>
  <c r="AP183" i="4"/>
  <c r="F183" i="4" s="1"/>
  <c r="H183" i="4"/>
  <c r="G183" i="4"/>
  <c r="K77" i="4"/>
  <c r="J77" i="4"/>
  <c r="I77" i="4"/>
  <c r="AP77" i="4"/>
  <c r="F77" i="4" s="1"/>
  <c r="H77" i="4"/>
  <c r="G77" i="4"/>
  <c r="K115" i="4"/>
  <c r="J115" i="4"/>
  <c r="I115" i="4"/>
  <c r="AP115" i="4"/>
  <c r="G115" i="4" s="1"/>
  <c r="H115" i="4"/>
  <c r="F115" i="4"/>
  <c r="K414" i="4"/>
  <c r="J414" i="4"/>
  <c r="I414" i="4"/>
  <c r="AP414" i="4"/>
  <c r="I404" i="4"/>
  <c r="K404" i="4"/>
  <c r="J404" i="4"/>
  <c r="AP404" i="4"/>
  <c r="J421" i="4"/>
  <c r="I421" i="4"/>
  <c r="AP421" i="4"/>
  <c r="K421" i="4"/>
  <c r="AP352" i="4"/>
  <c r="J352" i="4"/>
  <c r="K352" i="4"/>
  <c r="I352" i="4"/>
  <c r="G298" i="4"/>
  <c r="I298" i="4"/>
  <c r="H298" i="4"/>
  <c r="K298" i="4"/>
  <c r="AP298" i="4"/>
  <c r="J298" i="4"/>
  <c r="F298" i="4"/>
  <c r="AP344" i="4"/>
  <c r="J344" i="4"/>
  <c r="K344" i="4"/>
  <c r="I344" i="4"/>
  <c r="I313" i="4"/>
  <c r="K313" i="4"/>
  <c r="J313" i="4"/>
  <c r="AP313" i="4"/>
  <c r="AP351" i="4"/>
  <c r="I351" i="4"/>
  <c r="K351" i="4"/>
  <c r="J351" i="4"/>
  <c r="J285" i="4"/>
  <c r="H285" i="4"/>
  <c r="AP285" i="4"/>
  <c r="G285" i="4" s="1"/>
  <c r="K285" i="4"/>
  <c r="I285" i="4"/>
  <c r="I320" i="4"/>
  <c r="K320" i="4"/>
  <c r="J320" i="4"/>
  <c r="AP320" i="4"/>
  <c r="AP348" i="4"/>
  <c r="K348" i="4"/>
  <c r="J348" i="4"/>
  <c r="I348" i="4"/>
  <c r="K250" i="4"/>
  <c r="J250" i="4"/>
  <c r="I250" i="4"/>
  <c r="H250" i="4"/>
  <c r="AP250" i="4"/>
  <c r="G250" i="4" s="1"/>
  <c r="H244" i="4"/>
  <c r="K244" i="4"/>
  <c r="AP244" i="4"/>
  <c r="F244" i="4" s="1"/>
  <c r="J244" i="4"/>
  <c r="G244" i="4"/>
  <c r="I244" i="4"/>
  <c r="I314" i="4"/>
  <c r="K314" i="4"/>
  <c r="J314" i="4"/>
  <c r="AP314" i="4"/>
  <c r="J286" i="4"/>
  <c r="I286" i="4"/>
  <c r="G286" i="4"/>
  <c r="H286" i="4"/>
  <c r="F286" i="4"/>
  <c r="AP286" i="4"/>
  <c r="K286" i="4"/>
  <c r="K248" i="4"/>
  <c r="AP248" i="4"/>
  <c r="G248" i="4" s="1"/>
  <c r="F248" i="4"/>
  <c r="J248" i="4"/>
  <c r="I248" i="4"/>
  <c r="H248" i="4"/>
  <c r="K288" i="4"/>
  <c r="I288" i="4"/>
  <c r="J288" i="4"/>
  <c r="H288" i="4"/>
  <c r="AP288" i="4"/>
  <c r="F288" i="4" s="1"/>
  <c r="AP204" i="4"/>
  <c r="G204" i="4" s="1"/>
  <c r="H204" i="4"/>
  <c r="J204" i="4"/>
  <c r="K204" i="4"/>
  <c r="I204" i="4"/>
  <c r="F204" i="4"/>
  <c r="I227" i="4"/>
  <c r="K227" i="4"/>
  <c r="J227" i="4"/>
  <c r="H227" i="4"/>
  <c r="F227" i="4"/>
  <c r="AP227" i="4"/>
  <c r="G227" i="4"/>
  <c r="K235" i="4"/>
  <c r="I235" i="4"/>
  <c r="F235" i="4"/>
  <c r="J235" i="4"/>
  <c r="G235" i="4"/>
  <c r="H235" i="4"/>
  <c r="AP235" i="4"/>
  <c r="K181" i="4"/>
  <c r="J181" i="4"/>
  <c r="I181" i="4"/>
  <c r="AP181" i="4"/>
  <c r="F181" i="4" s="1"/>
  <c r="H181" i="4"/>
  <c r="G181" i="4"/>
  <c r="AP153" i="4"/>
  <c r="H153" i="4"/>
  <c r="G153" i="4"/>
  <c r="F153" i="4"/>
  <c r="K153" i="4"/>
  <c r="J153" i="4"/>
  <c r="I153" i="4"/>
  <c r="J131" i="4"/>
  <c r="I131" i="4"/>
  <c r="AP131" i="4"/>
  <c r="F131" i="4" s="1"/>
  <c r="H131" i="4"/>
  <c r="G131" i="4"/>
  <c r="K131" i="4"/>
  <c r="K74" i="4"/>
  <c r="J74" i="4"/>
  <c r="I74" i="4"/>
  <c r="AP74" i="4"/>
  <c r="G74" i="4" s="1"/>
  <c r="H74" i="4"/>
  <c r="J123" i="4"/>
  <c r="I123" i="4"/>
  <c r="K123" i="4"/>
  <c r="H123" i="4"/>
  <c r="AP123" i="4"/>
  <c r="G123" i="4" s="1"/>
  <c r="J36" i="4"/>
  <c r="I36" i="4"/>
  <c r="AP36" i="4"/>
  <c r="K36" i="4"/>
  <c r="F180" i="4"/>
  <c r="K180" i="4"/>
  <c r="J180" i="4"/>
  <c r="I180" i="4"/>
  <c r="AP180" i="4"/>
  <c r="G180" i="4" s="1"/>
  <c r="H180" i="4"/>
  <c r="K156" i="4"/>
  <c r="J156" i="4"/>
  <c r="I156" i="4"/>
  <c r="AP156" i="4"/>
  <c r="G156" i="4" s="1"/>
  <c r="H156" i="4"/>
  <c r="K136" i="4"/>
  <c r="J136" i="4"/>
  <c r="I136" i="4"/>
  <c r="AP136" i="4"/>
  <c r="F136" i="4" s="1"/>
  <c r="H136" i="4"/>
  <c r="G136" i="4"/>
  <c r="F194" i="4"/>
  <c r="K194" i="4"/>
  <c r="J194" i="4"/>
  <c r="AP194" i="4"/>
  <c r="H194" i="4"/>
  <c r="I194" i="4"/>
  <c r="G194" i="4"/>
  <c r="J259" i="4"/>
  <c r="I259" i="4"/>
  <c r="H259" i="4"/>
  <c r="AP259" i="4"/>
  <c r="G259" i="4" s="1"/>
  <c r="K259" i="4"/>
  <c r="F259" i="4"/>
  <c r="I182" i="4"/>
  <c r="AP182" i="4"/>
  <c r="F182" i="4" s="1"/>
  <c r="H182" i="4"/>
  <c r="G182" i="4"/>
  <c r="K182" i="4"/>
  <c r="J182" i="4"/>
  <c r="I315" i="4"/>
  <c r="K315" i="4"/>
  <c r="AP315" i="4"/>
  <c r="J315" i="4"/>
  <c r="K229" i="4"/>
  <c r="H229" i="4"/>
  <c r="AP229" i="4"/>
  <c r="G229" i="4"/>
  <c r="F229" i="4"/>
  <c r="J229" i="4"/>
  <c r="I229" i="4"/>
  <c r="K243" i="4"/>
  <c r="I243" i="4"/>
  <c r="J243" i="4"/>
  <c r="H243" i="4"/>
  <c r="AP243" i="4"/>
  <c r="F243" i="4" s="1"/>
  <c r="AP379" i="4"/>
  <c r="K379" i="4"/>
  <c r="J379" i="4"/>
  <c r="I379" i="4"/>
  <c r="K283" i="4"/>
  <c r="J283" i="4"/>
  <c r="AP283" i="4"/>
  <c r="G283" i="4" s="1"/>
  <c r="H283" i="4"/>
  <c r="I283" i="4"/>
  <c r="AP355" i="4"/>
  <c r="K355" i="4"/>
  <c r="J355" i="4"/>
  <c r="I355" i="4"/>
  <c r="F175" i="4"/>
  <c r="K175" i="4"/>
  <c r="J175" i="4"/>
  <c r="I175" i="4"/>
  <c r="AP175" i="4"/>
  <c r="H175" i="4"/>
  <c r="G175" i="4"/>
  <c r="K224" i="4"/>
  <c r="J224" i="4"/>
  <c r="I224" i="4"/>
  <c r="AP224" i="4"/>
  <c r="F224" i="4" s="1"/>
  <c r="H224" i="4"/>
  <c r="K72" i="4"/>
  <c r="J72" i="4"/>
  <c r="I72" i="4"/>
  <c r="AP72" i="4"/>
  <c r="F72" i="4" s="1"/>
  <c r="H72" i="4"/>
  <c r="K14" i="4"/>
  <c r="J14" i="4"/>
  <c r="I14" i="4"/>
  <c r="AP14" i="4"/>
  <c r="K102" i="4"/>
  <c r="J102" i="4"/>
  <c r="I102" i="4"/>
  <c r="AP102" i="4"/>
  <c r="G102" i="4" s="1"/>
  <c r="H102" i="4"/>
  <c r="F102" i="4"/>
  <c r="K70" i="4"/>
  <c r="J70" i="4"/>
  <c r="I70" i="4"/>
  <c r="AP70" i="4"/>
  <c r="G70" i="4" s="1"/>
  <c r="H70" i="4"/>
  <c r="K46" i="4"/>
  <c r="J46" i="4"/>
  <c r="I46" i="4"/>
  <c r="AP46" i="4"/>
  <c r="F46" i="4" s="1"/>
  <c r="H46" i="4"/>
  <c r="G46" i="4"/>
  <c r="F69" i="4"/>
  <c r="K69" i="4"/>
  <c r="J69" i="4"/>
  <c r="I69" i="4"/>
  <c r="AP69" i="4"/>
  <c r="H69" i="4"/>
  <c r="G69" i="4"/>
  <c r="J73" i="4"/>
  <c r="I73" i="4"/>
  <c r="AP73" i="4"/>
  <c r="G73" i="4" s="1"/>
  <c r="H73" i="4"/>
  <c r="F73" i="4"/>
  <c r="K73" i="4"/>
  <c r="AP63" i="4"/>
  <c r="G63" i="4" s="1"/>
  <c r="H63" i="4"/>
  <c r="K63" i="4"/>
  <c r="J63" i="4"/>
  <c r="I63" i="4"/>
  <c r="K107" i="4"/>
  <c r="J107" i="4"/>
  <c r="I107" i="4"/>
  <c r="AP107" i="4"/>
  <c r="F107" i="4" s="1"/>
  <c r="H107" i="4"/>
  <c r="K43" i="4"/>
  <c r="J43" i="4"/>
  <c r="I43" i="4"/>
  <c r="AP43" i="4"/>
  <c r="G43" i="4" s="1"/>
  <c r="H43" i="4"/>
  <c r="M389" i="3"/>
  <c r="L389" i="3"/>
  <c r="AS389" i="3" s="1"/>
  <c r="K389" i="3"/>
  <c r="AR389" i="3"/>
  <c r="BE382" i="3"/>
  <c r="F382" i="3" s="1"/>
  <c r="L337" i="3"/>
  <c r="AS337" i="3" s="1"/>
  <c r="K337" i="3"/>
  <c r="AR337" i="3"/>
  <c r="M337" i="3"/>
  <c r="AR407" i="3"/>
  <c r="M407" i="3"/>
  <c r="L407" i="3"/>
  <c r="AS407" i="3" s="1"/>
  <c r="K407" i="3"/>
  <c r="L362" i="3"/>
  <c r="K362" i="3"/>
  <c r="AR362" i="3"/>
  <c r="I362" i="3" s="1"/>
  <c r="J362" i="3"/>
  <c r="M362" i="3"/>
  <c r="AP383" i="4"/>
  <c r="I383" i="4"/>
  <c r="J383" i="4"/>
  <c r="K383" i="4"/>
  <c r="AP357" i="4"/>
  <c r="K357" i="4"/>
  <c r="J357" i="4"/>
  <c r="I357" i="4"/>
  <c r="I322" i="4"/>
  <c r="K322" i="4"/>
  <c r="J322" i="4"/>
  <c r="AP322" i="4"/>
  <c r="K216" i="4"/>
  <c r="I216" i="4"/>
  <c r="AP216" i="4"/>
  <c r="F216" i="4" s="1"/>
  <c r="H216" i="4"/>
  <c r="J216" i="4"/>
  <c r="G216" i="4"/>
  <c r="F269" i="4"/>
  <c r="K269" i="4"/>
  <c r="AP269" i="4"/>
  <c r="H269" i="4"/>
  <c r="J269" i="4"/>
  <c r="I269" i="4"/>
  <c r="G269" i="4"/>
  <c r="AP371" i="4"/>
  <c r="K371" i="4"/>
  <c r="J371" i="4"/>
  <c r="I371" i="4"/>
  <c r="I76" i="4"/>
  <c r="AP76" i="4"/>
  <c r="H76" i="4"/>
  <c r="G76" i="4"/>
  <c r="F76" i="4"/>
  <c r="K76" i="4"/>
  <c r="J76" i="4"/>
  <c r="L371" i="3"/>
  <c r="K371" i="3"/>
  <c r="AR371" i="3"/>
  <c r="I371" i="3" s="1"/>
  <c r="J371" i="3"/>
  <c r="M371" i="3"/>
  <c r="K424" i="4"/>
  <c r="J424" i="4"/>
  <c r="AP424" i="4"/>
  <c r="I424" i="4"/>
  <c r="J416" i="4"/>
  <c r="AP416" i="4"/>
  <c r="I416" i="4"/>
  <c r="K416" i="4"/>
  <c r="K433" i="4"/>
  <c r="J433" i="4"/>
  <c r="I433" i="4"/>
  <c r="AP433" i="4"/>
  <c r="K387" i="4"/>
  <c r="J387" i="4"/>
  <c r="I387" i="4"/>
  <c r="AP387" i="4"/>
  <c r="K406" i="4"/>
  <c r="J406" i="4"/>
  <c r="I406" i="4"/>
  <c r="AP406" i="4"/>
  <c r="AP418" i="4"/>
  <c r="I418" i="4"/>
  <c r="K418" i="4"/>
  <c r="J418" i="4"/>
  <c r="J413" i="4"/>
  <c r="I413" i="4"/>
  <c r="AP413" i="4"/>
  <c r="K413" i="4"/>
  <c r="K390" i="4"/>
  <c r="I390" i="4"/>
  <c r="AP390" i="4"/>
  <c r="J390" i="4"/>
  <c r="K393" i="4"/>
  <c r="J393" i="4"/>
  <c r="I393" i="4"/>
  <c r="AP393" i="4"/>
  <c r="K423" i="4"/>
  <c r="J423" i="4"/>
  <c r="I423" i="4"/>
  <c r="AP423" i="4"/>
  <c r="I309" i="4"/>
  <c r="K309" i="4"/>
  <c r="J309" i="4"/>
  <c r="AP309" i="4"/>
  <c r="AP345" i="4"/>
  <c r="I345" i="4"/>
  <c r="K345" i="4"/>
  <c r="J345" i="4"/>
  <c r="AP284" i="4"/>
  <c r="H284" i="4"/>
  <c r="G284" i="4"/>
  <c r="J284" i="4"/>
  <c r="I284" i="4"/>
  <c r="K284" i="4"/>
  <c r="F284" i="4"/>
  <c r="I316" i="4"/>
  <c r="K316" i="4"/>
  <c r="J316" i="4"/>
  <c r="AP316" i="4"/>
  <c r="AP346" i="4"/>
  <c r="J346" i="4"/>
  <c r="I346" i="4"/>
  <c r="K346" i="4"/>
  <c r="I326" i="4"/>
  <c r="K326" i="4"/>
  <c r="J326" i="4"/>
  <c r="AP326" i="4"/>
  <c r="I241" i="4"/>
  <c r="G241" i="4"/>
  <c r="AP241" i="4"/>
  <c r="K241" i="4"/>
  <c r="H241" i="4"/>
  <c r="J241" i="4"/>
  <c r="F241" i="4"/>
  <c r="I300" i="4"/>
  <c r="J300" i="4"/>
  <c r="H300" i="4"/>
  <c r="F300" i="4"/>
  <c r="K300" i="4"/>
  <c r="G300" i="4"/>
  <c r="AP300" i="4"/>
  <c r="J278" i="4"/>
  <c r="I278" i="4"/>
  <c r="G278" i="4"/>
  <c r="H278" i="4"/>
  <c r="AP278" i="4"/>
  <c r="F278" i="4" s="1"/>
  <c r="K278" i="4"/>
  <c r="F223" i="4"/>
  <c r="K223" i="4"/>
  <c r="I223" i="4"/>
  <c r="J223" i="4"/>
  <c r="H223" i="4"/>
  <c r="AP223" i="4"/>
  <c r="G223" i="4" s="1"/>
  <c r="I254" i="4"/>
  <c r="K254" i="4"/>
  <c r="J254" i="4"/>
  <c r="F254" i="4"/>
  <c r="H254" i="4"/>
  <c r="G254" i="4"/>
  <c r="AP254" i="4"/>
  <c r="AP196" i="4"/>
  <c r="G196" i="4" s="1"/>
  <c r="H196" i="4"/>
  <c r="J196" i="4"/>
  <c r="K196" i="4"/>
  <c r="I196" i="4"/>
  <c r="F196" i="4"/>
  <c r="J221" i="4"/>
  <c r="I221" i="4"/>
  <c r="AP221" i="4"/>
  <c r="G221" i="4" s="1"/>
  <c r="K221" i="4"/>
  <c r="H221" i="4"/>
  <c r="J230" i="4"/>
  <c r="AP230" i="4"/>
  <c r="F230" i="4" s="1"/>
  <c r="H230" i="4"/>
  <c r="I230" i="4"/>
  <c r="K230" i="4"/>
  <c r="G230" i="4"/>
  <c r="AP177" i="4"/>
  <c r="F177" i="4" s="1"/>
  <c r="H177" i="4"/>
  <c r="K177" i="4"/>
  <c r="J177" i="4"/>
  <c r="I177" i="4"/>
  <c r="K149" i="4"/>
  <c r="J149" i="4"/>
  <c r="I149" i="4"/>
  <c r="AP149" i="4"/>
  <c r="G149" i="4" s="1"/>
  <c r="H149" i="4"/>
  <c r="AP129" i="4"/>
  <c r="H129" i="4"/>
  <c r="G129" i="4"/>
  <c r="F129" i="4"/>
  <c r="K129" i="4"/>
  <c r="J129" i="4"/>
  <c r="I129" i="4"/>
  <c r="F66" i="4"/>
  <c r="K66" i="4"/>
  <c r="J66" i="4"/>
  <c r="I66" i="4"/>
  <c r="AP66" i="4"/>
  <c r="G66" i="4" s="1"/>
  <c r="H66" i="4"/>
  <c r="K203" i="4"/>
  <c r="J203" i="4"/>
  <c r="AP203" i="4"/>
  <c r="F203" i="4" s="1"/>
  <c r="H203" i="4"/>
  <c r="G203" i="4"/>
  <c r="I203" i="4"/>
  <c r="J35" i="4"/>
  <c r="I35" i="4"/>
  <c r="AP35" i="4"/>
  <c r="K35" i="4"/>
  <c r="K176" i="4"/>
  <c r="J176" i="4"/>
  <c r="I176" i="4"/>
  <c r="AP176" i="4"/>
  <c r="F176" i="4" s="1"/>
  <c r="H176" i="4"/>
  <c r="G176" i="4"/>
  <c r="K154" i="4"/>
  <c r="J154" i="4"/>
  <c r="I154" i="4"/>
  <c r="AP154" i="4"/>
  <c r="H154" i="4"/>
  <c r="F132" i="4"/>
  <c r="K132" i="4"/>
  <c r="J132" i="4"/>
  <c r="I132" i="4"/>
  <c r="AP132" i="4"/>
  <c r="G132" i="4" s="1"/>
  <c r="H132" i="4"/>
  <c r="K202" i="4"/>
  <c r="J202" i="4"/>
  <c r="AP202" i="4"/>
  <c r="F202" i="4" s="1"/>
  <c r="H202" i="4"/>
  <c r="I202" i="4"/>
  <c r="I126" i="4"/>
  <c r="AP126" i="4"/>
  <c r="H126" i="4"/>
  <c r="G126" i="4"/>
  <c r="F126" i="4"/>
  <c r="K126" i="4"/>
  <c r="J126" i="4"/>
  <c r="K185" i="4"/>
  <c r="H185" i="4"/>
  <c r="AP185" i="4"/>
  <c r="G185" i="4" s="1"/>
  <c r="F185" i="4"/>
  <c r="J185" i="4"/>
  <c r="I185" i="4"/>
  <c r="I331" i="4"/>
  <c r="K331" i="4"/>
  <c r="AP331" i="4"/>
  <c r="J331" i="4"/>
  <c r="AP257" i="4"/>
  <c r="H257" i="4"/>
  <c r="I257" i="4"/>
  <c r="G257" i="4"/>
  <c r="F257" i="4"/>
  <c r="K257" i="4"/>
  <c r="J257" i="4"/>
  <c r="I245" i="4"/>
  <c r="K245" i="4"/>
  <c r="H245" i="4"/>
  <c r="AP245" i="4"/>
  <c r="F245" i="4" s="1"/>
  <c r="J245" i="4"/>
  <c r="K302" i="4"/>
  <c r="H302" i="4"/>
  <c r="AP302" i="4"/>
  <c r="G302" i="4"/>
  <c r="J302" i="4"/>
  <c r="I302" i="4"/>
  <c r="F302" i="4"/>
  <c r="F290" i="4"/>
  <c r="K290" i="4"/>
  <c r="J290" i="4"/>
  <c r="AP290" i="4"/>
  <c r="H290" i="4"/>
  <c r="I290" i="4"/>
  <c r="G290" i="4"/>
  <c r="AP364" i="4"/>
  <c r="K364" i="4"/>
  <c r="I364" i="4"/>
  <c r="J364" i="4"/>
  <c r="K167" i="4"/>
  <c r="J167" i="4"/>
  <c r="I167" i="4"/>
  <c r="AP167" i="4"/>
  <c r="H167" i="4"/>
  <c r="K12" i="4"/>
  <c r="J12" i="4"/>
  <c r="I12" i="4"/>
  <c r="AP12" i="4"/>
  <c r="K64" i="4"/>
  <c r="J64" i="4"/>
  <c r="I64" i="4"/>
  <c r="AP64" i="4"/>
  <c r="H64" i="4"/>
  <c r="G64" i="4"/>
  <c r="F64" i="4"/>
  <c r="I100" i="4"/>
  <c r="AP100" i="4"/>
  <c r="G100" i="4" s="1"/>
  <c r="H100" i="4"/>
  <c r="K100" i="4"/>
  <c r="J100" i="4"/>
  <c r="I68" i="4"/>
  <c r="AP68" i="4"/>
  <c r="H68" i="4"/>
  <c r="K68" i="4"/>
  <c r="J68" i="4"/>
  <c r="K28" i="4"/>
  <c r="J28" i="4"/>
  <c r="I28" i="4"/>
  <c r="AP28" i="4"/>
  <c r="G28" i="4" s="1"/>
  <c r="H28" i="4"/>
  <c r="F61" i="4"/>
  <c r="K61" i="4"/>
  <c r="J61" i="4"/>
  <c r="I61" i="4"/>
  <c r="AP61" i="4"/>
  <c r="G61" i="4" s="1"/>
  <c r="H61" i="4"/>
  <c r="J65" i="4"/>
  <c r="I65" i="4"/>
  <c r="AP65" i="4"/>
  <c r="H65" i="4"/>
  <c r="G65" i="4"/>
  <c r="F65" i="4"/>
  <c r="K65" i="4"/>
  <c r="AP53" i="4"/>
  <c r="K53" i="4"/>
  <c r="J53" i="4"/>
  <c r="I53" i="4"/>
  <c r="AP55" i="4"/>
  <c r="K55" i="4"/>
  <c r="J55" i="4"/>
  <c r="I55" i="4"/>
  <c r="K99" i="4"/>
  <c r="J99" i="4"/>
  <c r="I99" i="4"/>
  <c r="AP99" i="4"/>
  <c r="F99" i="4" s="1"/>
  <c r="H99" i="4"/>
  <c r="AR431" i="3"/>
  <c r="I431" i="3" s="1"/>
  <c r="J431" i="3"/>
  <c r="L431" i="3"/>
  <c r="K431" i="3"/>
  <c r="M431" i="3"/>
  <c r="L355" i="3"/>
  <c r="K355" i="3"/>
  <c r="M355" i="3"/>
  <c r="AR355" i="3"/>
  <c r="I355" i="3" s="1"/>
  <c r="J355" i="3"/>
  <c r="L358" i="3"/>
  <c r="K358" i="3"/>
  <c r="AR358" i="3"/>
  <c r="H358" i="3" s="1"/>
  <c r="J358" i="3"/>
  <c r="M358" i="3"/>
  <c r="K432" i="4"/>
  <c r="J432" i="4"/>
  <c r="AP432" i="4"/>
  <c r="I432" i="4"/>
  <c r="AP386" i="4"/>
  <c r="J386" i="4"/>
  <c r="I386" i="4"/>
  <c r="K386" i="4"/>
  <c r="K275" i="4"/>
  <c r="J275" i="4"/>
  <c r="AP275" i="4"/>
  <c r="F275" i="4"/>
  <c r="H275" i="4"/>
  <c r="I275" i="4"/>
  <c r="G275" i="4"/>
  <c r="AP212" i="4"/>
  <c r="F212" i="4" s="1"/>
  <c r="H212" i="4"/>
  <c r="G212" i="4"/>
  <c r="J212" i="4"/>
  <c r="K212" i="4"/>
  <c r="I212" i="4"/>
  <c r="G82" i="4"/>
  <c r="F82" i="4"/>
  <c r="K82" i="4"/>
  <c r="J82" i="4"/>
  <c r="I82" i="4"/>
  <c r="AP82" i="4"/>
  <c r="H82" i="4"/>
  <c r="J255" i="4"/>
  <c r="I255" i="4"/>
  <c r="AP255" i="4"/>
  <c r="H255" i="4"/>
  <c r="K255" i="4"/>
  <c r="AP350" i="4"/>
  <c r="J350" i="4"/>
  <c r="I350" i="4"/>
  <c r="K350" i="4"/>
  <c r="I108" i="4"/>
  <c r="AP108" i="4"/>
  <c r="H108" i="4"/>
  <c r="K108" i="4"/>
  <c r="J108" i="4"/>
  <c r="J395" i="4"/>
  <c r="K395" i="4"/>
  <c r="I395" i="4"/>
  <c r="AP395" i="4"/>
  <c r="J408" i="4"/>
  <c r="AP408" i="4"/>
  <c r="I408" i="4"/>
  <c r="K408" i="4"/>
  <c r="K425" i="4"/>
  <c r="AP425" i="4"/>
  <c r="I425" i="4"/>
  <c r="J425" i="4"/>
  <c r="K398" i="4"/>
  <c r="J398" i="4"/>
  <c r="AP398" i="4"/>
  <c r="I398" i="4"/>
  <c r="AP410" i="4"/>
  <c r="I410" i="4"/>
  <c r="K410" i="4"/>
  <c r="J410" i="4"/>
  <c r="J405" i="4"/>
  <c r="I405" i="4"/>
  <c r="AP405" i="4"/>
  <c r="K405" i="4"/>
  <c r="AP375" i="4"/>
  <c r="I375" i="4"/>
  <c r="J375" i="4"/>
  <c r="K375" i="4"/>
  <c r="AP381" i="4"/>
  <c r="J381" i="4"/>
  <c r="K381" i="4"/>
  <c r="I381" i="4"/>
  <c r="AP337" i="4"/>
  <c r="I337" i="4"/>
  <c r="K337" i="4"/>
  <c r="J337" i="4"/>
  <c r="I305" i="4"/>
  <c r="K305" i="4"/>
  <c r="J305" i="4"/>
  <c r="AP305" i="4"/>
  <c r="J294" i="4"/>
  <c r="I294" i="4"/>
  <c r="AP294" i="4"/>
  <c r="G294" i="4" s="1"/>
  <c r="K294" i="4"/>
  <c r="H294" i="4"/>
  <c r="J277" i="4"/>
  <c r="G277" i="4"/>
  <c r="H277" i="4"/>
  <c r="F277" i="4"/>
  <c r="AP277" i="4"/>
  <c r="K277" i="4"/>
  <c r="I277" i="4"/>
  <c r="I312" i="4"/>
  <c r="K312" i="4"/>
  <c r="J312" i="4"/>
  <c r="AP312" i="4"/>
  <c r="G299" i="4"/>
  <c r="K299" i="4"/>
  <c r="I299" i="4"/>
  <c r="J299" i="4"/>
  <c r="H299" i="4"/>
  <c r="AP299" i="4"/>
  <c r="F299" i="4" s="1"/>
  <c r="I310" i="4"/>
  <c r="K310" i="4"/>
  <c r="J310" i="4"/>
  <c r="AP310" i="4"/>
  <c r="J240" i="4"/>
  <c r="AP240" i="4"/>
  <c r="F240" i="4" s="1"/>
  <c r="K240" i="4"/>
  <c r="H240" i="4"/>
  <c r="I240" i="4"/>
  <c r="J293" i="4"/>
  <c r="I293" i="4"/>
  <c r="G293" i="4"/>
  <c r="K293" i="4"/>
  <c r="H293" i="4"/>
  <c r="F293" i="4"/>
  <c r="AP293" i="4"/>
  <c r="F271" i="4"/>
  <c r="K271" i="4"/>
  <c r="J271" i="4"/>
  <c r="I271" i="4"/>
  <c r="AP271" i="4"/>
  <c r="G271" i="4" s="1"/>
  <c r="H271" i="4"/>
  <c r="G215" i="4"/>
  <c r="K215" i="4"/>
  <c r="I215" i="4"/>
  <c r="J215" i="4"/>
  <c r="H215" i="4"/>
  <c r="AP215" i="4"/>
  <c r="F215" i="4" s="1"/>
  <c r="AP236" i="4"/>
  <c r="F236" i="4" s="1"/>
  <c r="H236" i="4"/>
  <c r="K236" i="4"/>
  <c r="J236" i="4"/>
  <c r="G236" i="4"/>
  <c r="I236" i="4"/>
  <c r="J187" i="4"/>
  <c r="G187" i="4"/>
  <c r="F187" i="4"/>
  <c r="AP187" i="4"/>
  <c r="K187" i="4"/>
  <c r="I187" i="4"/>
  <c r="H187" i="4"/>
  <c r="J213" i="4"/>
  <c r="I213" i="4"/>
  <c r="G213" i="4"/>
  <c r="F213" i="4"/>
  <c r="AP213" i="4"/>
  <c r="K213" i="4"/>
  <c r="H213" i="4"/>
  <c r="J222" i="4"/>
  <c r="I222" i="4"/>
  <c r="K222" i="4"/>
  <c r="H222" i="4"/>
  <c r="AP222" i="4"/>
  <c r="F222" i="4" s="1"/>
  <c r="K173" i="4"/>
  <c r="J173" i="4"/>
  <c r="I173" i="4"/>
  <c r="AP173" i="4"/>
  <c r="F173" i="4" s="1"/>
  <c r="H173" i="4"/>
  <c r="G173" i="4"/>
  <c r="J147" i="4"/>
  <c r="I147" i="4"/>
  <c r="AP147" i="4"/>
  <c r="H147" i="4"/>
  <c r="K147" i="4"/>
  <c r="K125" i="4"/>
  <c r="J125" i="4"/>
  <c r="I125" i="4"/>
  <c r="AP125" i="4"/>
  <c r="H125" i="4"/>
  <c r="K58" i="4"/>
  <c r="J58" i="4"/>
  <c r="I58" i="4"/>
  <c r="AP58" i="4"/>
  <c r="H58" i="4"/>
  <c r="K208" i="4"/>
  <c r="I208" i="4"/>
  <c r="AP208" i="4"/>
  <c r="H208" i="4"/>
  <c r="F208" i="4"/>
  <c r="J208" i="4"/>
  <c r="G208" i="4"/>
  <c r="J34" i="4"/>
  <c r="I34" i="4"/>
  <c r="AP34" i="4"/>
  <c r="K34" i="4"/>
  <c r="G172" i="4"/>
  <c r="F172" i="4"/>
  <c r="K172" i="4"/>
  <c r="J172" i="4"/>
  <c r="I172" i="4"/>
  <c r="AP172" i="4"/>
  <c r="H172" i="4"/>
  <c r="K152" i="4"/>
  <c r="J152" i="4"/>
  <c r="I152" i="4"/>
  <c r="AP152" i="4"/>
  <c r="H152" i="4"/>
  <c r="K130" i="4"/>
  <c r="J130" i="4"/>
  <c r="I130" i="4"/>
  <c r="AP130" i="4"/>
  <c r="F130" i="4" s="1"/>
  <c r="H130" i="4"/>
  <c r="G130" i="4"/>
  <c r="K210" i="4"/>
  <c r="J210" i="4"/>
  <c r="AP210" i="4"/>
  <c r="F210" i="4" s="1"/>
  <c r="H210" i="4"/>
  <c r="I210" i="4"/>
  <c r="G210" i="4"/>
  <c r="I134" i="4"/>
  <c r="AP134" i="4"/>
  <c r="G134" i="4" s="1"/>
  <c r="H134" i="4"/>
  <c r="F134" i="4"/>
  <c r="K134" i="4"/>
  <c r="J134" i="4"/>
  <c r="I193" i="4"/>
  <c r="AP193" i="4"/>
  <c r="H193" i="4"/>
  <c r="F193" i="4"/>
  <c r="K193" i="4"/>
  <c r="J193" i="4"/>
  <c r="G193" i="4"/>
  <c r="F228" i="4"/>
  <c r="K228" i="4"/>
  <c r="J228" i="4"/>
  <c r="I228" i="4"/>
  <c r="AP228" i="4"/>
  <c r="H228" i="4"/>
  <c r="G228" i="4"/>
  <c r="I307" i="4"/>
  <c r="K307" i="4"/>
  <c r="AP307" i="4"/>
  <c r="J307" i="4"/>
  <c r="I261" i="4"/>
  <c r="K261" i="4"/>
  <c r="H261" i="4"/>
  <c r="AP261" i="4"/>
  <c r="F261" i="4" s="1"/>
  <c r="J261" i="4"/>
  <c r="AP366" i="4"/>
  <c r="K366" i="4"/>
  <c r="J366" i="4"/>
  <c r="I366" i="4"/>
  <c r="AP358" i="4"/>
  <c r="K358" i="4"/>
  <c r="J358" i="4"/>
  <c r="I358" i="4"/>
  <c r="AP372" i="4"/>
  <c r="K372" i="4"/>
  <c r="I372" i="4"/>
  <c r="J372" i="4"/>
  <c r="F159" i="4"/>
  <c r="K159" i="4"/>
  <c r="J159" i="4"/>
  <c r="I159" i="4"/>
  <c r="AP159" i="4"/>
  <c r="H159" i="4"/>
  <c r="G159" i="4"/>
  <c r="K6" i="4"/>
  <c r="J6" i="4"/>
  <c r="I6" i="4"/>
  <c r="AP6" i="4"/>
  <c r="K56" i="4"/>
  <c r="J56" i="4"/>
  <c r="I56" i="4"/>
  <c r="AP56" i="4"/>
  <c r="G56" i="4" s="1"/>
  <c r="H56" i="4"/>
  <c r="F56" i="4"/>
  <c r="K94" i="4"/>
  <c r="J94" i="4"/>
  <c r="I94" i="4"/>
  <c r="AP94" i="4"/>
  <c r="G94" i="4" s="1"/>
  <c r="H94" i="4"/>
  <c r="F94" i="4"/>
  <c r="K62" i="4"/>
  <c r="J62" i="4"/>
  <c r="I62" i="4"/>
  <c r="AP62" i="4"/>
  <c r="F62" i="4" s="1"/>
  <c r="H62" i="4"/>
  <c r="G62" i="4"/>
  <c r="K20" i="4"/>
  <c r="J20" i="4"/>
  <c r="I20" i="4"/>
  <c r="AP20" i="4"/>
  <c r="H20" i="4"/>
  <c r="K117" i="4"/>
  <c r="J117" i="4"/>
  <c r="I117" i="4"/>
  <c r="AP117" i="4"/>
  <c r="H117" i="4"/>
  <c r="K45" i="4"/>
  <c r="J45" i="4"/>
  <c r="I45" i="4"/>
  <c r="AP45" i="4"/>
  <c r="H45" i="4"/>
  <c r="J119" i="4"/>
  <c r="H119" i="4"/>
  <c r="AP119" i="4"/>
  <c r="G119" i="4"/>
  <c r="F119" i="4"/>
  <c r="K119" i="4"/>
  <c r="I119" i="4"/>
  <c r="J57" i="4"/>
  <c r="I57" i="4"/>
  <c r="AP57" i="4"/>
  <c r="H57" i="4"/>
  <c r="G57" i="4"/>
  <c r="F57" i="4"/>
  <c r="K57" i="4"/>
  <c r="AP29" i="4"/>
  <c r="H29" i="4"/>
  <c r="K29" i="4"/>
  <c r="J29" i="4"/>
  <c r="I29" i="4"/>
  <c r="AP111" i="4"/>
  <c r="F111" i="4" s="1"/>
  <c r="H111" i="4"/>
  <c r="G111" i="4"/>
  <c r="K111" i="4"/>
  <c r="J111" i="4"/>
  <c r="I111" i="4"/>
  <c r="AP47" i="4"/>
  <c r="H47" i="4"/>
  <c r="K47" i="4"/>
  <c r="J47" i="4"/>
  <c r="I47" i="4"/>
  <c r="AP49" i="4"/>
  <c r="K49" i="4"/>
  <c r="J49" i="4"/>
  <c r="I49" i="4"/>
  <c r="K91" i="4"/>
  <c r="J91" i="4"/>
  <c r="I91" i="4"/>
  <c r="AP91" i="4"/>
  <c r="H91" i="4"/>
  <c r="L367" i="3"/>
  <c r="K367" i="3"/>
  <c r="AR367" i="3"/>
  <c r="J367" i="3"/>
  <c r="M367" i="3"/>
  <c r="AR429" i="3"/>
  <c r="M429" i="3"/>
  <c r="L429" i="3"/>
  <c r="AS429" i="3" s="1"/>
  <c r="K429" i="3"/>
  <c r="L292" i="3"/>
  <c r="AS292" i="3" s="1"/>
  <c r="M292" i="3"/>
  <c r="K292" i="3"/>
  <c r="AR292" i="3"/>
  <c r="AP403" i="4"/>
  <c r="J403" i="4"/>
  <c r="I403" i="4"/>
  <c r="K403" i="4"/>
  <c r="I317" i="4"/>
  <c r="K317" i="4"/>
  <c r="J317" i="4"/>
  <c r="AP317" i="4"/>
  <c r="I330" i="4"/>
  <c r="K330" i="4"/>
  <c r="J330" i="4"/>
  <c r="AP330" i="4"/>
  <c r="K211" i="4"/>
  <c r="J211" i="4"/>
  <c r="AP211" i="4"/>
  <c r="F211" i="4" s="1"/>
  <c r="H211" i="4"/>
  <c r="I211" i="4"/>
  <c r="K160" i="4"/>
  <c r="J160" i="4"/>
  <c r="I160" i="4"/>
  <c r="AP160" i="4"/>
  <c r="F160" i="4" s="1"/>
  <c r="H160" i="4"/>
  <c r="G160" i="4"/>
  <c r="J247" i="4"/>
  <c r="I247" i="4"/>
  <c r="AP247" i="4"/>
  <c r="F247" i="4" s="1"/>
  <c r="H247" i="4"/>
  <c r="G247" i="4"/>
  <c r="K247" i="4"/>
  <c r="K9" i="4"/>
  <c r="J9" i="4"/>
  <c r="I9" i="4"/>
  <c r="AP9" i="4"/>
  <c r="F9" i="4" s="1"/>
  <c r="H9" i="4"/>
  <c r="G9" i="4"/>
  <c r="J81" i="4"/>
  <c r="I81" i="4"/>
  <c r="AP81" i="4"/>
  <c r="G81" i="4" s="1"/>
  <c r="H81" i="4"/>
  <c r="F81" i="4"/>
  <c r="K81" i="4"/>
  <c r="J400" i="4"/>
  <c r="AP400" i="4"/>
  <c r="I400" i="4"/>
  <c r="K400" i="4"/>
  <c r="K417" i="4"/>
  <c r="J417" i="4"/>
  <c r="I417" i="4"/>
  <c r="AP417" i="4"/>
  <c r="J429" i="4"/>
  <c r="I429" i="4"/>
  <c r="AP429" i="4"/>
  <c r="K429" i="4"/>
  <c r="AP402" i="4"/>
  <c r="I402" i="4"/>
  <c r="K402" i="4"/>
  <c r="J402" i="4"/>
  <c r="AP367" i="4"/>
  <c r="I367" i="4"/>
  <c r="J367" i="4"/>
  <c r="K367" i="4"/>
  <c r="AP376" i="4"/>
  <c r="J376" i="4"/>
  <c r="K376" i="4"/>
  <c r="I376" i="4"/>
  <c r="I333" i="4"/>
  <c r="K333" i="4"/>
  <c r="J333" i="4"/>
  <c r="AP333" i="4"/>
  <c r="J297" i="4"/>
  <c r="K297" i="4"/>
  <c r="I297" i="4"/>
  <c r="AP297" i="4"/>
  <c r="F297" i="4" s="1"/>
  <c r="G297" i="4"/>
  <c r="H297" i="4"/>
  <c r="AP268" i="4"/>
  <c r="F268" i="4" s="1"/>
  <c r="H268" i="4"/>
  <c r="I268" i="4"/>
  <c r="J268" i="4"/>
  <c r="K268" i="4"/>
  <c r="AP276" i="4"/>
  <c r="F276" i="4" s="1"/>
  <c r="H276" i="4"/>
  <c r="G276" i="4"/>
  <c r="J276" i="4"/>
  <c r="I276" i="4"/>
  <c r="K276" i="4"/>
  <c r="I308" i="4"/>
  <c r="K308" i="4"/>
  <c r="J308" i="4"/>
  <c r="AP308" i="4"/>
  <c r="AP292" i="4"/>
  <c r="G292" i="4" s="1"/>
  <c r="H292" i="4"/>
  <c r="J292" i="4"/>
  <c r="K292" i="4"/>
  <c r="I292" i="4"/>
  <c r="J270" i="4"/>
  <c r="I270" i="4"/>
  <c r="K270" i="4"/>
  <c r="H270" i="4"/>
  <c r="AP270" i="4"/>
  <c r="G270" i="4" s="1"/>
  <c r="J239" i="4"/>
  <c r="AP239" i="4"/>
  <c r="F239" i="4" s="1"/>
  <c r="K239" i="4"/>
  <c r="H239" i="4"/>
  <c r="I239" i="4"/>
  <c r="K267" i="4"/>
  <c r="J267" i="4"/>
  <c r="AP267" i="4"/>
  <c r="G267" i="4" s="1"/>
  <c r="F267" i="4"/>
  <c r="H267" i="4"/>
  <c r="I267" i="4"/>
  <c r="I265" i="4"/>
  <c r="AP265" i="4"/>
  <c r="F265" i="4" s="1"/>
  <c r="H265" i="4"/>
  <c r="J265" i="4"/>
  <c r="G265" i="4"/>
  <c r="K265" i="4"/>
  <c r="G207" i="4"/>
  <c r="K207" i="4"/>
  <c r="I207" i="4"/>
  <c r="J207" i="4"/>
  <c r="H207" i="4"/>
  <c r="AP207" i="4"/>
  <c r="F207" i="4" s="1"/>
  <c r="K226" i="4"/>
  <c r="I226" i="4"/>
  <c r="J226" i="4"/>
  <c r="H226" i="4"/>
  <c r="AP226" i="4"/>
  <c r="I334" i="4"/>
  <c r="K334" i="4"/>
  <c r="J334" i="4"/>
  <c r="AP334" i="4"/>
  <c r="J205" i="4"/>
  <c r="I205" i="4"/>
  <c r="G205" i="4"/>
  <c r="F205" i="4"/>
  <c r="AP205" i="4"/>
  <c r="K205" i="4"/>
  <c r="H205" i="4"/>
  <c r="J214" i="4"/>
  <c r="I214" i="4"/>
  <c r="G214" i="4"/>
  <c r="F214" i="4"/>
  <c r="K214" i="4"/>
  <c r="H214" i="4"/>
  <c r="AP214" i="4"/>
  <c r="AP169" i="4"/>
  <c r="H169" i="4"/>
  <c r="G169" i="4"/>
  <c r="F169" i="4"/>
  <c r="K169" i="4"/>
  <c r="J169" i="4"/>
  <c r="I169" i="4"/>
  <c r="AP145" i="4"/>
  <c r="G145" i="4" s="1"/>
  <c r="H145" i="4"/>
  <c r="F145" i="4"/>
  <c r="K145" i="4"/>
  <c r="J145" i="4"/>
  <c r="I145" i="4"/>
  <c r="K114" i="4"/>
  <c r="J114" i="4"/>
  <c r="I114" i="4"/>
  <c r="AP114" i="4"/>
  <c r="H114" i="4"/>
  <c r="K41" i="4"/>
  <c r="J41" i="4"/>
  <c r="I41" i="4"/>
  <c r="AP41" i="4"/>
  <c r="J186" i="4"/>
  <c r="AP186" i="4"/>
  <c r="G186" i="4" s="1"/>
  <c r="H186" i="4"/>
  <c r="F186" i="4"/>
  <c r="K186" i="4"/>
  <c r="I186" i="4"/>
  <c r="J33" i="4"/>
  <c r="I33" i="4"/>
  <c r="AP33" i="4"/>
  <c r="K33" i="4"/>
  <c r="K170" i="4"/>
  <c r="J170" i="4"/>
  <c r="I170" i="4"/>
  <c r="AP170" i="4"/>
  <c r="G170" i="4" s="1"/>
  <c r="H170" i="4"/>
  <c r="F170" i="4"/>
  <c r="G148" i="4"/>
  <c r="F148" i="4"/>
  <c r="K148" i="4"/>
  <c r="J148" i="4"/>
  <c r="I148" i="4"/>
  <c r="AP148" i="4"/>
  <c r="H148" i="4"/>
  <c r="K128" i="4"/>
  <c r="J128" i="4"/>
  <c r="I128" i="4"/>
  <c r="AP128" i="4"/>
  <c r="H128" i="4"/>
  <c r="K218" i="4"/>
  <c r="J218" i="4"/>
  <c r="AP218" i="4"/>
  <c r="H218" i="4"/>
  <c r="I218" i="4"/>
  <c r="I142" i="4"/>
  <c r="AP142" i="4"/>
  <c r="H142" i="4"/>
  <c r="G142" i="4"/>
  <c r="F142" i="4"/>
  <c r="K142" i="4"/>
  <c r="J142" i="4"/>
  <c r="I201" i="4"/>
  <c r="AP201" i="4"/>
  <c r="H201" i="4"/>
  <c r="F201" i="4"/>
  <c r="K201" i="4"/>
  <c r="J201" i="4"/>
  <c r="G201" i="4"/>
  <c r="I253" i="4"/>
  <c r="K253" i="4"/>
  <c r="J253" i="4"/>
  <c r="H253" i="4"/>
  <c r="AP253" i="4"/>
  <c r="F253" i="4" s="1"/>
  <c r="G253" i="4"/>
  <c r="I323" i="4"/>
  <c r="K323" i="4"/>
  <c r="AP323" i="4"/>
  <c r="J323" i="4"/>
  <c r="I319" i="4"/>
  <c r="K319" i="4"/>
  <c r="AP319" i="4"/>
  <c r="J319" i="4"/>
  <c r="AP382" i="4"/>
  <c r="K382" i="4"/>
  <c r="J382" i="4"/>
  <c r="I382" i="4"/>
  <c r="AP374" i="4"/>
  <c r="K374" i="4"/>
  <c r="J374" i="4"/>
  <c r="I374" i="4"/>
  <c r="AP380" i="4"/>
  <c r="K380" i="4"/>
  <c r="I380" i="4"/>
  <c r="J380" i="4"/>
  <c r="K151" i="4"/>
  <c r="J151" i="4"/>
  <c r="I151" i="4"/>
  <c r="AP151" i="4"/>
  <c r="H151" i="4"/>
  <c r="K264" i="4"/>
  <c r="J264" i="4"/>
  <c r="I264" i="4"/>
  <c r="H264" i="4"/>
  <c r="AP264" i="4"/>
  <c r="F264" i="4" s="1"/>
  <c r="G264" i="4"/>
  <c r="K112" i="4"/>
  <c r="J112" i="4"/>
  <c r="I112" i="4"/>
  <c r="AP112" i="4"/>
  <c r="H112" i="4"/>
  <c r="G112" i="4"/>
  <c r="F112" i="4"/>
  <c r="I44" i="4"/>
  <c r="AP44" i="4"/>
  <c r="G44" i="4" s="1"/>
  <c r="H44" i="4"/>
  <c r="F44" i="4"/>
  <c r="K44" i="4"/>
  <c r="J44" i="4"/>
  <c r="I92" i="4"/>
  <c r="AP92" i="4"/>
  <c r="G92" i="4" s="1"/>
  <c r="H92" i="4"/>
  <c r="F92" i="4"/>
  <c r="K92" i="4"/>
  <c r="J92" i="4"/>
  <c r="I60" i="4"/>
  <c r="AP60" i="4"/>
  <c r="F60" i="4" s="1"/>
  <c r="H60" i="4"/>
  <c r="G60" i="4"/>
  <c r="K60" i="4"/>
  <c r="J60" i="4"/>
  <c r="K11" i="4"/>
  <c r="J11" i="4"/>
  <c r="I11" i="4"/>
  <c r="AP11" i="4"/>
  <c r="K109" i="4"/>
  <c r="J109" i="4"/>
  <c r="I109" i="4"/>
  <c r="AP109" i="4"/>
  <c r="H109" i="4"/>
  <c r="K27" i="4"/>
  <c r="J27" i="4"/>
  <c r="I27" i="4"/>
  <c r="AP27" i="4"/>
  <c r="F27" i="4" s="1"/>
  <c r="H27" i="4"/>
  <c r="G27" i="4"/>
  <c r="J113" i="4"/>
  <c r="I113" i="4"/>
  <c r="AP113" i="4"/>
  <c r="H113" i="4"/>
  <c r="G113" i="4"/>
  <c r="F113" i="4"/>
  <c r="K113" i="4"/>
  <c r="AP15" i="4"/>
  <c r="H15" i="4"/>
  <c r="K15" i="4"/>
  <c r="J15" i="4"/>
  <c r="I15" i="4"/>
  <c r="AP21" i="4"/>
  <c r="H21" i="4"/>
  <c r="K21" i="4"/>
  <c r="J21" i="4"/>
  <c r="I21" i="4"/>
  <c r="AP103" i="4"/>
  <c r="F103" i="4" s="1"/>
  <c r="H103" i="4"/>
  <c r="K103" i="4"/>
  <c r="J103" i="4"/>
  <c r="I103" i="4"/>
  <c r="K25" i="4"/>
  <c r="J25" i="4"/>
  <c r="I25" i="4"/>
  <c r="AP25" i="4"/>
  <c r="H25" i="4"/>
  <c r="K83" i="4"/>
  <c r="J83" i="4"/>
  <c r="I83" i="4"/>
  <c r="AP83" i="4"/>
  <c r="G83" i="4" s="1"/>
  <c r="H83" i="4"/>
  <c r="F83" i="4"/>
  <c r="L375" i="3"/>
  <c r="K375" i="3"/>
  <c r="AR375" i="3"/>
  <c r="I375" i="3" s="1"/>
  <c r="J375" i="3"/>
  <c r="M375" i="3"/>
  <c r="I412" i="4"/>
  <c r="K412" i="4"/>
  <c r="J412" i="4"/>
  <c r="AP412" i="4"/>
  <c r="K291" i="4"/>
  <c r="J291" i="4"/>
  <c r="AP291" i="4"/>
  <c r="H291" i="4"/>
  <c r="G291" i="4"/>
  <c r="I291" i="4"/>
  <c r="F291" i="4"/>
  <c r="G263" i="4"/>
  <c r="F263" i="4"/>
  <c r="K263" i="4"/>
  <c r="J263" i="4"/>
  <c r="I263" i="4"/>
  <c r="H263" i="4"/>
  <c r="AP263" i="4"/>
  <c r="J155" i="4"/>
  <c r="I155" i="4"/>
  <c r="AP155" i="4"/>
  <c r="H155" i="4"/>
  <c r="K155" i="4"/>
  <c r="AP363" i="4"/>
  <c r="K363" i="4"/>
  <c r="J363" i="4"/>
  <c r="I363" i="4"/>
  <c r="I18" i="4"/>
  <c r="AP18" i="4"/>
  <c r="F18" i="4" s="1"/>
  <c r="H18" i="4"/>
  <c r="G18" i="4"/>
  <c r="K18" i="4"/>
  <c r="J18" i="4"/>
  <c r="AP71" i="4"/>
  <c r="H71" i="4"/>
  <c r="K71" i="4"/>
  <c r="J71" i="4"/>
  <c r="I71" i="4"/>
  <c r="J392" i="4"/>
  <c r="AP392" i="4"/>
  <c r="K392" i="4"/>
  <c r="I392" i="4"/>
  <c r="K415" i="4"/>
  <c r="I415" i="4"/>
  <c r="AP415" i="4"/>
  <c r="J415" i="4"/>
  <c r="AP373" i="4"/>
  <c r="J373" i="4"/>
  <c r="K373" i="4"/>
  <c r="I373" i="4"/>
  <c r="AP378" i="4"/>
  <c r="J378" i="4"/>
  <c r="I378" i="4"/>
  <c r="K378" i="4"/>
  <c r="G287" i="4"/>
  <c r="F287" i="4"/>
  <c r="I287" i="4"/>
  <c r="K287" i="4"/>
  <c r="J287" i="4"/>
  <c r="H287" i="4"/>
  <c r="AP287" i="4"/>
  <c r="I262" i="4"/>
  <c r="K262" i="4"/>
  <c r="J262" i="4"/>
  <c r="F262" i="4"/>
  <c r="AP262" i="4"/>
  <c r="G262" i="4" s="1"/>
  <c r="H262" i="4"/>
  <c r="G199" i="4"/>
  <c r="K199" i="4"/>
  <c r="I199" i="4"/>
  <c r="J199" i="4"/>
  <c r="H199" i="4"/>
  <c r="AP199" i="4"/>
  <c r="F199" i="4" s="1"/>
  <c r="K280" i="4"/>
  <c r="I280" i="4"/>
  <c r="J280" i="4"/>
  <c r="H280" i="4"/>
  <c r="AP280" i="4"/>
  <c r="F280" i="4" s="1"/>
  <c r="I306" i="4"/>
  <c r="K306" i="4"/>
  <c r="J306" i="4"/>
  <c r="AP306" i="4"/>
  <c r="J197" i="4"/>
  <c r="I197" i="4"/>
  <c r="G197" i="4"/>
  <c r="F197" i="4"/>
  <c r="AP197" i="4"/>
  <c r="K197" i="4"/>
  <c r="H197" i="4"/>
  <c r="J206" i="4"/>
  <c r="I206" i="4"/>
  <c r="G206" i="4"/>
  <c r="F206" i="4"/>
  <c r="K206" i="4"/>
  <c r="H206" i="4"/>
  <c r="AP206" i="4"/>
  <c r="K165" i="4"/>
  <c r="J165" i="4"/>
  <c r="I165" i="4"/>
  <c r="AP165" i="4"/>
  <c r="F165" i="4" s="1"/>
  <c r="H165" i="4"/>
  <c r="G165" i="4"/>
  <c r="K141" i="4"/>
  <c r="J141" i="4"/>
  <c r="I141" i="4"/>
  <c r="AP141" i="4"/>
  <c r="G141" i="4" s="1"/>
  <c r="H141" i="4"/>
  <c r="K106" i="4"/>
  <c r="J106" i="4"/>
  <c r="I106" i="4"/>
  <c r="AP106" i="4"/>
  <c r="H106" i="4"/>
  <c r="K40" i="4"/>
  <c r="J40" i="4"/>
  <c r="I40" i="4"/>
  <c r="AP40" i="4"/>
  <c r="K178" i="4"/>
  <c r="J178" i="4"/>
  <c r="I178" i="4"/>
  <c r="AP178" i="4"/>
  <c r="H178" i="4"/>
  <c r="J32" i="4"/>
  <c r="I32" i="4"/>
  <c r="AP32" i="4"/>
  <c r="K32" i="4"/>
  <c r="K168" i="4"/>
  <c r="J168" i="4"/>
  <c r="I168" i="4"/>
  <c r="AP168" i="4"/>
  <c r="G168" i="4" s="1"/>
  <c r="H168" i="4"/>
  <c r="F168" i="4"/>
  <c r="K146" i="4"/>
  <c r="J146" i="4"/>
  <c r="I146" i="4"/>
  <c r="AP146" i="4"/>
  <c r="F146" i="4" s="1"/>
  <c r="H146" i="4"/>
  <c r="G146" i="4"/>
  <c r="G124" i="4"/>
  <c r="F124" i="4"/>
  <c r="K124" i="4"/>
  <c r="J124" i="4"/>
  <c r="I124" i="4"/>
  <c r="AP124" i="4"/>
  <c r="H124" i="4"/>
  <c r="J163" i="4"/>
  <c r="I163" i="4"/>
  <c r="AP163" i="4"/>
  <c r="F163" i="4" s="1"/>
  <c r="H163" i="4"/>
  <c r="K163" i="4"/>
  <c r="I150" i="4"/>
  <c r="AP150" i="4"/>
  <c r="H150" i="4"/>
  <c r="G150" i="4"/>
  <c r="F150" i="4"/>
  <c r="K150" i="4"/>
  <c r="J150" i="4"/>
  <c r="I209" i="4"/>
  <c r="AP209" i="4"/>
  <c r="H209" i="4"/>
  <c r="F209" i="4"/>
  <c r="K209" i="4"/>
  <c r="J209" i="4"/>
  <c r="G209" i="4"/>
  <c r="K282" i="4"/>
  <c r="AP282" i="4"/>
  <c r="F282" i="4" s="1"/>
  <c r="H282" i="4"/>
  <c r="J282" i="4"/>
  <c r="I282" i="4"/>
  <c r="G282" i="4"/>
  <c r="AP339" i="4"/>
  <c r="K339" i="4"/>
  <c r="J339" i="4"/>
  <c r="I339" i="4"/>
  <c r="I335" i="4"/>
  <c r="K335" i="4"/>
  <c r="AP335" i="4"/>
  <c r="J335" i="4"/>
  <c r="AP342" i="4"/>
  <c r="K342" i="4"/>
  <c r="J342" i="4"/>
  <c r="I342" i="4"/>
  <c r="K301" i="4"/>
  <c r="J301" i="4"/>
  <c r="AP301" i="4"/>
  <c r="H301" i="4"/>
  <c r="I301" i="4"/>
  <c r="AP385" i="4"/>
  <c r="I385" i="4"/>
  <c r="K385" i="4"/>
  <c r="J385" i="4"/>
  <c r="F143" i="4"/>
  <c r="K143" i="4"/>
  <c r="J143" i="4"/>
  <c r="I143" i="4"/>
  <c r="AP143" i="4"/>
  <c r="H143" i="4"/>
  <c r="G143" i="4"/>
  <c r="K104" i="4"/>
  <c r="J104" i="4"/>
  <c r="I104" i="4"/>
  <c r="AP104" i="4"/>
  <c r="G104" i="4" s="1"/>
  <c r="H104" i="4"/>
  <c r="F104" i="4"/>
  <c r="K30" i="4"/>
  <c r="J30" i="4"/>
  <c r="I30" i="4"/>
  <c r="AP30" i="4"/>
  <c r="F30" i="4" s="1"/>
  <c r="H30" i="4"/>
  <c r="G30" i="4"/>
  <c r="K118" i="4"/>
  <c r="J118" i="4"/>
  <c r="I118" i="4"/>
  <c r="AP118" i="4"/>
  <c r="H118" i="4"/>
  <c r="K86" i="4"/>
  <c r="J86" i="4"/>
  <c r="I86" i="4"/>
  <c r="AP86" i="4"/>
  <c r="H86" i="4"/>
  <c r="AP54" i="4"/>
  <c r="K54" i="4"/>
  <c r="J54" i="4"/>
  <c r="I54" i="4"/>
  <c r="K5" i="4"/>
  <c r="J5" i="4"/>
  <c r="I5" i="4"/>
  <c r="AP5" i="4"/>
  <c r="K101" i="4"/>
  <c r="J101" i="4"/>
  <c r="I101" i="4"/>
  <c r="AP101" i="4"/>
  <c r="H101" i="4"/>
  <c r="K19" i="4"/>
  <c r="J19" i="4"/>
  <c r="I19" i="4"/>
  <c r="AP19" i="4"/>
  <c r="F19" i="4" s="1"/>
  <c r="H19" i="4"/>
  <c r="J105" i="4"/>
  <c r="I105" i="4"/>
  <c r="AP105" i="4"/>
  <c r="H105" i="4"/>
  <c r="G105" i="4"/>
  <c r="F105" i="4"/>
  <c r="K105" i="4"/>
  <c r="K10" i="4"/>
  <c r="J10" i="4"/>
  <c r="I10" i="4"/>
  <c r="AP10" i="4"/>
  <c r="H10" i="4"/>
  <c r="G10" i="4"/>
  <c r="F10" i="4"/>
  <c r="AP95" i="4"/>
  <c r="H95" i="4"/>
  <c r="K95" i="4"/>
  <c r="J95" i="4"/>
  <c r="I95" i="4"/>
  <c r="K17" i="4"/>
  <c r="J17" i="4"/>
  <c r="AP17" i="4"/>
  <c r="G17" i="4" s="1"/>
  <c r="F17" i="4"/>
  <c r="K75" i="4"/>
  <c r="J75" i="4"/>
  <c r="I75" i="4"/>
  <c r="AP75" i="4"/>
  <c r="F75" i="4" s="1"/>
  <c r="H75" i="4"/>
  <c r="I8" i="4"/>
  <c r="AP8" i="4"/>
  <c r="H8" i="4"/>
  <c r="K8" i="4"/>
  <c r="J8" i="4"/>
  <c r="M390" i="3"/>
  <c r="L390" i="3"/>
  <c r="K390" i="3"/>
  <c r="J390" i="3"/>
  <c r="AR390" i="3"/>
  <c r="I390" i="3" s="1"/>
  <c r="L376" i="3"/>
  <c r="K376" i="3"/>
  <c r="AR376" i="3"/>
  <c r="J376" i="3"/>
  <c r="M376" i="3"/>
  <c r="L369" i="3"/>
  <c r="K369" i="3"/>
  <c r="AR369" i="3"/>
  <c r="J369" i="3"/>
  <c r="M369" i="3"/>
  <c r="L393" i="3"/>
  <c r="K393" i="3"/>
  <c r="AR393" i="3"/>
  <c r="I393" i="3" s="1"/>
  <c r="M393" i="3"/>
  <c r="J393" i="3"/>
  <c r="K422" i="4"/>
  <c r="J422" i="4"/>
  <c r="I422" i="4"/>
  <c r="AP422" i="4"/>
  <c r="AP353" i="4"/>
  <c r="I353" i="4"/>
  <c r="K353" i="4"/>
  <c r="J353" i="4"/>
  <c r="AP377" i="4"/>
  <c r="I377" i="4"/>
  <c r="K377" i="4"/>
  <c r="J377" i="4"/>
  <c r="J389" i="4"/>
  <c r="AP389" i="4"/>
  <c r="K389" i="4"/>
  <c r="I389" i="4"/>
  <c r="J37" i="4"/>
  <c r="I37" i="4"/>
  <c r="AP37" i="4"/>
  <c r="K37" i="4"/>
  <c r="K138" i="4"/>
  <c r="J138" i="4"/>
  <c r="I138" i="4"/>
  <c r="AP138" i="4"/>
  <c r="F138" i="4" s="1"/>
  <c r="H138" i="4"/>
  <c r="I242" i="4"/>
  <c r="K242" i="4"/>
  <c r="H242" i="4"/>
  <c r="AP242" i="4"/>
  <c r="F242" i="4" s="1"/>
  <c r="J242" i="4"/>
  <c r="K80" i="4"/>
  <c r="J80" i="4"/>
  <c r="I80" i="4"/>
  <c r="AP80" i="4"/>
  <c r="H80" i="4"/>
  <c r="G80" i="4"/>
  <c r="F80" i="4"/>
  <c r="G3" i="4"/>
  <c r="F3" i="4"/>
  <c r="K3" i="4"/>
  <c r="J3" i="4"/>
  <c r="AP3" i="4"/>
  <c r="I3" i="4"/>
  <c r="H3" i="4"/>
  <c r="K409" i="4"/>
  <c r="J409" i="4"/>
  <c r="I409" i="4"/>
  <c r="AP409" i="4"/>
  <c r="I388" i="4"/>
  <c r="J388" i="4"/>
  <c r="AP388" i="4"/>
  <c r="K388" i="4"/>
  <c r="AP359" i="4"/>
  <c r="I359" i="4"/>
  <c r="J359" i="4"/>
  <c r="K359" i="4"/>
  <c r="AP347" i="4"/>
  <c r="K347" i="4"/>
  <c r="J347" i="4"/>
  <c r="I347" i="4"/>
  <c r="K304" i="4"/>
  <c r="J304" i="4"/>
  <c r="I304" i="4"/>
  <c r="AP304" i="4"/>
  <c r="I233" i="4"/>
  <c r="AP233" i="4"/>
  <c r="K233" i="4"/>
  <c r="H233" i="4"/>
  <c r="J233" i="4"/>
  <c r="K401" i="4"/>
  <c r="J401" i="4"/>
  <c r="I401" i="4"/>
  <c r="AP401" i="4"/>
  <c r="AP419" i="4"/>
  <c r="J419" i="4"/>
  <c r="I419" i="4"/>
  <c r="K419" i="4"/>
  <c r="K431" i="4"/>
  <c r="J431" i="4"/>
  <c r="I431" i="4"/>
  <c r="AP431" i="4"/>
  <c r="K407" i="4"/>
  <c r="I407" i="4"/>
  <c r="AP407" i="4"/>
  <c r="J407" i="4"/>
  <c r="AP394" i="4"/>
  <c r="I394" i="4"/>
  <c r="K394" i="4"/>
  <c r="J394" i="4"/>
  <c r="AP349" i="4"/>
  <c r="J349" i="4"/>
  <c r="K349" i="4"/>
  <c r="I349" i="4"/>
  <c r="AP368" i="4"/>
  <c r="J368" i="4"/>
  <c r="K368" i="4"/>
  <c r="I368" i="4"/>
  <c r="I325" i="4"/>
  <c r="K325" i="4"/>
  <c r="J325" i="4"/>
  <c r="AP325" i="4"/>
  <c r="AP341" i="4"/>
  <c r="K341" i="4"/>
  <c r="I341" i="4"/>
  <c r="J341" i="4"/>
  <c r="AP369" i="4"/>
  <c r="I369" i="4"/>
  <c r="K369" i="4"/>
  <c r="J369" i="4"/>
  <c r="I332" i="4"/>
  <c r="K332" i="4"/>
  <c r="J332" i="4"/>
  <c r="AP332" i="4"/>
  <c r="AP295" i="4"/>
  <c r="G295" i="4" s="1"/>
  <c r="K295" i="4"/>
  <c r="I295" i="4"/>
  <c r="J295" i="4"/>
  <c r="H295" i="4"/>
  <c r="G279" i="4"/>
  <c r="F279" i="4"/>
  <c r="I279" i="4"/>
  <c r="K279" i="4"/>
  <c r="J279" i="4"/>
  <c r="H279" i="4"/>
  <c r="AP279" i="4"/>
  <c r="AP370" i="4"/>
  <c r="J370" i="4"/>
  <c r="I370" i="4"/>
  <c r="K370" i="4"/>
  <c r="J232" i="4"/>
  <c r="AP232" i="4"/>
  <c r="G232" i="4" s="1"/>
  <c r="K232" i="4"/>
  <c r="H232" i="4"/>
  <c r="F232" i="4"/>
  <c r="I232" i="4"/>
  <c r="K256" i="4"/>
  <c r="AP256" i="4"/>
  <c r="J256" i="4"/>
  <c r="H256" i="4"/>
  <c r="I256" i="4"/>
  <c r="I225" i="4"/>
  <c r="H225" i="4"/>
  <c r="AP225" i="4"/>
  <c r="K225" i="4"/>
  <c r="J225" i="4"/>
  <c r="K195" i="4"/>
  <c r="J195" i="4"/>
  <c r="AP195" i="4"/>
  <c r="H195" i="4"/>
  <c r="I195" i="4"/>
  <c r="J251" i="4"/>
  <c r="I251" i="4"/>
  <c r="H251" i="4"/>
  <c r="AP251" i="4"/>
  <c r="F251" i="4" s="1"/>
  <c r="G251" i="4"/>
  <c r="K251" i="4"/>
  <c r="I234" i="4"/>
  <c r="K234" i="4"/>
  <c r="H234" i="4"/>
  <c r="AP234" i="4"/>
  <c r="J234" i="4"/>
  <c r="J189" i="4"/>
  <c r="I189" i="4"/>
  <c r="AP189" i="4"/>
  <c r="G189" i="4" s="1"/>
  <c r="K189" i="4"/>
  <c r="H189" i="4"/>
  <c r="J198" i="4"/>
  <c r="I198" i="4"/>
  <c r="K198" i="4"/>
  <c r="H198" i="4"/>
  <c r="AP198" i="4"/>
  <c r="AP161" i="4"/>
  <c r="H161" i="4"/>
  <c r="K161" i="4"/>
  <c r="J161" i="4"/>
  <c r="I161" i="4"/>
  <c r="J139" i="4"/>
  <c r="I139" i="4"/>
  <c r="AP139" i="4"/>
  <c r="F139" i="4" s="1"/>
  <c r="H139" i="4"/>
  <c r="G139" i="4"/>
  <c r="K139" i="4"/>
  <c r="G98" i="4"/>
  <c r="F98" i="4"/>
  <c r="K98" i="4"/>
  <c r="J98" i="4"/>
  <c r="I98" i="4"/>
  <c r="AP98" i="4"/>
  <c r="H98" i="4"/>
  <c r="G39" i="4"/>
  <c r="F39" i="4"/>
  <c r="K39" i="4"/>
  <c r="J39" i="4"/>
  <c r="I39" i="4"/>
  <c r="H39" i="4"/>
  <c r="AP39" i="4"/>
  <c r="J120" i="4"/>
  <c r="G120" i="4"/>
  <c r="F120" i="4"/>
  <c r="AP120" i="4"/>
  <c r="K120" i="4"/>
  <c r="I120" i="4"/>
  <c r="H120" i="4"/>
  <c r="J31" i="4"/>
  <c r="I31" i="4"/>
  <c r="AP31" i="4"/>
  <c r="G31" i="4" s="1"/>
  <c r="H31" i="4"/>
  <c r="F31" i="4"/>
  <c r="K31" i="4"/>
  <c r="K164" i="4"/>
  <c r="J164" i="4"/>
  <c r="I164" i="4"/>
  <c r="AP164" i="4"/>
  <c r="H164" i="4"/>
  <c r="K144" i="4"/>
  <c r="J144" i="4"/>
  <c r="I144" i="4"/>
  <c r="AP144" i="4"/>
  <c r="H144" i="4"/>
  <c r="G144" i="4"/>
  <c r="F144" i="4"/>
  <c r="G121" i="4"/>
  <c r="K121" i="4"/>
  <c r="J121" i="4"/>
  <c r="F121" i="4"/>
  <c r="AP121" i="4"/>
  <c r="I121" i="4"/>
  <c r="H121" i="4"/>
  <c r="J171" i="4"/>
  <c r="I171" i="4"/>
  <c r="AP171" i="4"/>
  <c r="F171" i="4" s="1"/>
  <c r="H171" i="4"/>
  <c r="G171" i="4"/>
  <c r="K171" i="4"/>
  <c r="I158" i="4"/>
  <c r="AP158" i="4"/>
  <c r="H158" i="4"/>
  <c r="K158" i="4"/>
  <c r="J158" i="4"/>
  <c r="I217" i="4"/>
  <c r="AP217" i="4"/>
  <c r="G217" i="4" s="1"/>
  <c r="H217" i="4"/>
  <c r="F217" i="4"/>
  <c r="K217" i="4"/>
  <c r="J217" i="4"/>
  <c r="I311" i="4"/>
  <c r="K311" i="4"/>
  <c r="AP311" i="4"/>
  <c r="J311" i="4"/>
  <c r="K237" i="4"/>
  <c r="AP237" i="4"/>
  <c r="G237" i="4" s="1"/>
  <c r="H237" i="4"/>
  <c r="J237" i="4"/>
  <c r="I237" i="4"/>
  <c r="F237" i="4"/>
  <c r="I289" i="4"/>
  <c r="AP289" i="4"/>
  <c r="F289" i="4" s="1"/>
  <c r="H289" i="4"/>
  <c r="K289" i="4"/>
  <c r="J289" i="4"/>
  <c r="F266" i="4"/>
  <c r="I266" i="4"/>
  <c r="AP266" i="4"/>
  <c r="G266" i="4" s="1"/>
  <c r="H266" i="4"/>
  <c r="K266" i="4"/>
  <c r="J266" i="4"/>
  <c r="AP340" i="4"/>
  <c r="K340" i="4"/>
  <c r="J340" i="4"/>
  <c r="I340" i="4"/>
  <c r="H252" i="4"/>
  <c r="AP252" i="4"/>
  <c r="F252" i="4" s="1"/>
  <c r="K252" i="4"/>
  <c r="I252" i="4"/>
  <c r="J252" i="4"/>
  <c r="F135" i="4"/>
  <c r="K135" i="4"/>
  <c r="J135" i="4"/>
  <c r="I135" i="4"/>
  <c r="AP135" i="4"/>
  <c r="H135" i="4"/>
  <c r="G135" i="4"/>
  <c r="K192" i="4"/>
  <c r="I192" i="4"/>
  <c r="AP192" i="4"/>
  <c r="H192" i="4"/>
  <c r="F192" i="4"/>
  <c r="J192" i="4"/>
  <c r="G192" i="4"/>
  <c r="K96" i="4"/>
  <c r="J96" i="4"/>
  <c r="I96" i="4"/>
  <c r="AP96" i="4"/>
  <c r="F96" i="4" s="1"/>
  <c r="H96" i="4"/>
  <c r="G96" i="4"/>
  <c r="I26" i="4"/>
  <c r="AP26" i="4"/>
  <c r="F26" i="4" s="1"/>
  <c r="H26" i="4"/>
  <c r="G26" i="4"/>
  <c r="K26" i="4"/>
  <c r="J26" i="4"/>
  <c r="I116" i="4"/>
  <c r="AP116" i="4"/>
  <c r="G116" i="4" s="1"/>
  <c r="H116" i="4"/>
  <c r="F116" i="4"/>
  <c r="K116" i="4"/>
  <c r="J116" i="4"/>
  <c r="I84" i="4"/>
  <c r="AP84" i="4"/>
  <c r="H84" i="4"/>
  <c r="G84" i="4"/>
  <c r="F84" i="4"/>
  <c r="K84" i="4"/>
  <c r="J84" i="4"/>
  <c r="AP52" i="4"/>
  <c r="K52" i="4"/>
  <c r="J52" i="4"/>
  <c r="I52" i="4"/>
  <c r="K42" i="4"/>
  <c r="J42" i="4"/>
  <c r="I42" i="4"/>
  <c r="AP42" i="4"/>
  <c r="K93" i="4"/>
  <c r="J93" i="4"/>
  <c r="I93" i="4"/>
  <c r="AP93" i="4"/>
  <c r="F93" i="4" s="1"/>
  <c r="H93" i="4"/>
  <c r="K13" i="4"/>
  <c r="J13" i="4"/>
  <c r="I13" i="4"/>
  <c r="AP13" i="4"/>
  <c r="J97" i="4"/>
  <c r="I97" i="4"/>
  <c r="AP97" i="4"/>
  <c r="H97" i="4"/>
  <c r="K97" i="4"/>
  <c r="K4" i="4"/>
  <c r="J4" i="4"/>
  <c r="I4" i="4"/>
  <c r="AP4" i="4"/>
  <c r="H4" i="4"/>
  <c r="AP87" i="4"/>
  <c r="F87" i="4" s="1"/>
  <c r="H87" i="4"/>
  <c r="G87" i="4"/>
  <c r="K87" i="4"/>
  <c r="J87" i="4"/>
  <c r="I87" i="4"/>
  <c r="K67" i="4"/>
  <c r="J67" i="4"/>
  <c r="I67" i="4"/>
  <c r="AP67" i="4"/>
  <c r="H67" i="4"/>
  <c r="G67" i="4"/>
  <c r="F67" i="4"/>
  <c r="M363" i="3"/>
  <c r="L363" i="3"/>
  <c r="K363" i="3"/>
  <c r="AR363" i="3"/>
  <c r="I363" i="3" s="1"/>
  <c r="J363" i="3"/>
  <c r="L370" i="3"/>
  <c r="K370" i="3"/>
  <c r="AR370" i="3"/>
  <c r="H370" i="3" s="1"/>
  <c r="J370" i="3"/>
  <c r="M370" i="3"/>
  <c r="M426" i="3"/>
  <c r="L426" i="3"/>
  <c r="K426" i="3"/>
  <c r="AR426" i="3"/>
  <c r="I426" i="3" s="1"/>
  <c r="J426" i="3"/>
  <c r="M388" i="3"/>
  <c r="L388" i="3"/>
  <c r="AS388" i="3" s="1"/>
  <c r="K388" i="3"/>
  <c r="AR388" i="3"/>
  <c r="L366" i="3"/>
  <c r="K366" i="3"/>
  <c r="AR366" i="3"/>
  <c r="J366" i="3"/>
  <c r="M366" i="3"/>
  <c r="AP426" i="4"/>
  <c r="I426" i="4"/>
  <c r="J426" i="4"/>
  <c r="K426" i="4"/>
  <c r="AP360" i="4"/>
  <c r="J360" i="4"/>
  <c r="K360" i="4"/>
  <c r="I360" i="4"/>
  <c r="I273" i="4"/>
  <c r="AP273" i="4"/>
  <c r="H273" i="4"/>
  <c r="J273" i="4"/>
  <c r="K273" i="4"/>
  <c r="AP384" i="4"/>
  <c r="J384" i="4"/>
  <c r="K384" i="4"/>
  <c r="I384" i="4"/>
  <c r="K184" i="4"/>
  <c r="J184" i="4"/>
  <c r="I184" i="4"/>
  <c r="AP184" i="4"/>
  <c r="G184" i="4" s="1"/>
  <c r="H184" i="4"/>
  <c r="F184" i="4"/>
  <c r="AP249" i="4"/>
  <c r="F249" i="4" s="1"/>
  <c r="H249" i="4"/>
  <c r="I249" i="4"/>
  <c r="K249" i="4"/>
  <c r="J249" i="4"/>
  <c r="G249" i="4"/>
  <c r="J122" i="4"/>
  <c r="I122" i="4"/>
  <c r="AP122" i="4"/>
  <c r="G122" i="4" s="1"/>
  <c r="H122" i="4"/>
  <c r="K122" i="4"/>
  <c r="F122" i="4"/>
  <c r="AP48" i="4"/>
  <c r="K48" i="4"/>
  <c r="J48" i="4"/>
  <c r="I48" i="4"/>
  <c r="AP51" i="4"/>
  <c r="K51" i="4"/>
  <c r="J51" i="4"/>
  <c r="I51" i="4"/>
  <c r="AP427" i="4"/>
  <c r="J427" i="4"/>
  <c r="K427" i="4"/>
  <c r="I427" i="4"/>
  <c r="J397" i="4"/>
  <c r="AP397" i="4"/>
  <c r="K397" i="4"/>
  <c r="I397" i="4"/>
  <c r="I329" i="4"/>
  <c r="K329" i="4"/>
  <c r="J329" i="4"/>
  <c r="AP329" i="4"/>
  <c r="I336" i="4"/>
  <c r="K336" i="4"/>
  <c r="J336" i="4"/>
  <c r="AP336" i="4"/>
  <c r="H260" i="4"/>
  <c r="AP260" i="4"/>
  <c r="G260" i="4" s="1"/>
  <c r="F260" i="4"/>
  <c r="K260" i="4"/>
  <c r="J260" i="4"/>
  <c r="I260" i="4"/>
  <c r="K258" i="4"/>
  <c r="J258" i="4"/>
  <c r="H258" i="4"/>
  <c r="AP258" i="4"/>
  <c r="G258" i="4" s="1"/>
  <c r="I258" i="4"/>
  <c r="AP411" i="4"/>
  <c r="J411" i="4"/>
  <c r="I411" i="4"/>
  <c r="K411" i="4"/>
  <c r="K430" i="4"/>
  <c r="J430" i="4"/>
  <c r="I430" i="4"/>
  <c r="AP430" i="4"/>
  <c r="I420" i="4"/>
  <c r="K420" i="4"/>
  <c r="J420" i="4"/>
  <c r="AP420" i="4"/>
  <c r="I399" i="4"/>
  <c r="AP399" i="4"/>
  <c r="J399" i="4"/>
  <c r="K399" i="4"/>
  <c r="I396" i="4"/>
  <c r="K396" i="4"/>
  <c r="J396" i="4"/>
  <c r="AP396" i="4"/>
  <c r="AP343" i="4"/>
  <c r="I343" i="4"/>
  <c r="J343" i="4"/>
  <c r="K343" i="4"/>
  <c r="AP365" i="4"/>
  <c r="J365" i="4"/>
  <c r="K365" i="4"/>
  <c r="I365" i="4"/>
  <c r="I321" i="4"/>
  <c r="K321" i="4"/>
  <c r="J321" i="4"/>
  <c r="AP321" i="4"/>
  <c r="K303" i="4"/>
  <c r="I303" i="4"/>
  <c r="J303" i="4"/>
  <c r="AP303" i="4"/>
  <c r="AP362" i="4"/>
  <c r="J362" i="4"/>
  <c r="I362" i="4"/>
  <c r="K362" i="4"/>
  <c r="I328" i="4"/>
  <c r="K328" i="4"/>
  <c r="J328" i="4"/>
  <c r="AP328" i="4"/>
  <c r="I391" i="4"/>
  <c r="K391" i="4"/>
  <c r="J391" i="4"/>
  <c r="AP391" i="4"/>
  <c r="J296" i="4"/>
  <c r="I296" i="4"/>
  <c r="K296" i="4"/>
  <c r="H296" i="4"/>
  <c r="F296" i="4"/>
  <c r="AP296" i="4"/>
  <c r="G296" i="4" s="1"/>
  <c r="I281" i="4"/>
  <c r="AP281" i="4"/>
  <c r="F281" i="4" s="1"/>
  <c r="H281" i="4"/>
  <c r="K281" i="4"/>
  <c r="J281" i="4"/>
  <c r="G281" i="4"/>
  <c r="G231" i="4"/>
  <c r="AP231" i="4"/>
  <c r="F231" i="4"/>
  <c r="K231" i="4"/>
  <c r="I231" i="4"/>
  <c r="J231" i="4"/>
  <c r="H231" i="4"/>
  <c r="I246" i="4"/>
  <c r="K246" i="4"/>
  <c r="J246" i="4"/>
  <c r="F246" i="4"/>
  <c r="AP246" i="4"/>
  <c r="G246" i="4" s="1"/>
  <c r="H246" i="4"/>
  <c r="AP361" i="4"/>
  <c r="I361" i="4"/>
  <c r="K361" i="4"/>
  <c r="J361" i="4"/>
  <c r="F191" i="4"/>
  <c r="K191" i="4"/>
  <c r="I191" i="4"/>
  <c r="J191" i="4"/>
  <c r="H191" i="4"/>
  <c r="AP191" i="4"/>
  <c r="G191" i="4" s="1"/>
  <c r="AP220" i="4"/>
  <c r="F220" i="4" s="1"/>
  <c r="H220" i="4"/>
  <c r="G220" i="4"/>
  <c r="J220" i="4"/>
  <c r="K220" i="4"/>
  <c r="I220" i="4"/>
  <c r="J188" i="4"/>
  <c r="AP188" i="4"/>
  <c r="F188" i="4" s="1"/>
  <c r="K188" i="4"/>
  <c r="I188" i="4"/>
  <c r="H188" i="4"/>
  <c r="I318" i="4"/>
  <c r="K318" i="4"/>
  <c r="J318" i="4"/>
  <c r="AP318" i="4"/>
  <c r="J190" i="4"/>
  <c r="I190" i="4"/>
  <c r="K190" i="4"/>
  <c r="H190" i="4"/>
  <c r="AP190" i="4"/>
  <c r="G190" i="4" s="1"/>
  <c r="K157" i="4"/>
  <c r="J157" i="4"/>
  <c r="I157" i="4"/>
  <c r="AP157" i="4"/>
  <c r="H157" i="4"/>
  <c r="G157" i="4"/>
  <c r="F157" i="4"/>
  <c r="AP137" i="4"/>
  <c r="F137" i="4" s="1"/>
  <c r="H137" i="4"/>
  <c r="K137" i="4"/>
  <c r="J137" i="4"/>
  <c r="I137" i="4"/>
  <c r="G90" i="4"/>
  <c r="F90" i="4"/>
  <c r="K90" i="4"/>
  <c r="J90" i="4"/>
  <c r="I90" i="4"/>
  <c r="AP90" i="4"/>
  <c r="H90" i="4"/>
  <c r="G24" i="4"/>
  <c r="F24" i="4"/>
  <c r="K24" i="4"/>
  <c r="J24" i="4"/>
  <c r="I24" i="4"/>
  <c r="AP24" i="4"/>
  <c r="H24" i="4"/>
  <c r="J38" i="4"/>
  <c r="I38" i="4"/>
  <c r="AP38" i="4"/>
  <c r="K38" i="4"/>
  <c r="J23" i="4"/>
  <c r="I23" i="4"/>
  <c r="AP23" i="4"/>
  <c r="H23" i="4"/>
  <c r="G23" i="4"/>
  <c r="F23" i="4"/>
  <c r="K23" i="4"/>
  <c r="K162" i="4"/>
  <c r="J162" i="4"/>
  <c r="I162" i="4"/>
  <c r="AP162" i="4"/>
  <c r="H162" i="4"/>
  <c r="G162" i="4"/>
  <c r="F162" i="4"/>
  <c r="G140" i="4"/>
  <c r="F140" i="4"/>
  <c r="K140" i="4"/>
  <c r="J140" i="4"/>
  <c r="I140" i="4"/>
  <c r="AP140" i="4"/>
  <c r="H140" i="4"/>
  <c r="K200" i="4"/>
  <c r="I200" i="4"/>
  <c r="AP200" i="4"/>
  <c r="G200" i="4" s="1"/>
  <c r="H200" i="4"/>
  <c r="F200" i="4"/>
  <c r="J200" i="4"/>
  <c r="J179" i="4"/>
  <c r="I179" i="4"/>
  <c r="AP179" i="4"/>
  <c r="G179" i="4" s="1"/>
  <c r="H179" i="4"/>
  <c r="F179" i="4"/>
  <c r="K179" i="4"/>
  <c r="I166" i="4"/>
  <c r="AP166" i="4"/>
  <c r="G166" i="4" s="1"/>
  <c r="H166" i="4"/>
  <c r="F166" i="4"/>
  <c r="K166" i="4"/>
  <c r="J166" i="4"/>
  <c r="K272" i="4"/>
  <c r="J272" i="4"/>
  <c r="I272" i="4"/>
  <c r="H272" i="4"/>
  <c r="AP272" i="4"/>
  <c r="F272" i="4" s="1"/>
  <c r="G272" i="4"/>
  <c r="I327" i="4"/>
  <c r="K327" i="4"/>
  <c r="AP327" i="4"/>
  <c r="J327" i="4"/>
  <c r="J238" i="4"/>
  <c r="AP238" i="4"/>
  <c r="F238" i="4" s="1"/>
  <c r="H238" i="4"/>
  <c r="K238" i="4"/>
  <c r="G238" i="4"/>
  <c r="I238" i="4"/>
  <c r="AP354" i="4"/>
  <c r="J354" i="4"/>
  <c r="I354" i="4"/>
  <c r="K354" i="4"/>
  <c r="F274" i="4"/>
  <c r="I274" i="4"/>
  <c r="AP274" i="4"/>
  <c r="H274" i="4"/>
  <c r="G274" i="4"/>
  <c r="K274" i="4"/>
  <c r="J274" i="4"/>
  <c r="AP356" i="4"/>
  <c r="K356" i="4"/>
  <c r="J356" i="4"/>
  <c r="I356" i="4"/>
  <c r="K219" i="4"/>
  <c r="J219" i="4"/>
  <c r="AP219" i="4"/>
  <c r="G219" i="4" s="1"/>
  <c r="H219" i="4"/>
  <c r="I219" i="4"/>
  <c r="K127" i="4"/>
  <c r="J127" i="4"/>
  <c r="I127" i="4"/>
  <c r="AP127" i="4"/>
  <c r="F127" i="4" s="1"/>
  <c r="H127" i="4"/>
  <c r="K16" i="4"/>
  <c r="J16" i="4"/>
  <c r="I16" i="4"/>
  <c r="AP16" i="4"/>
  <c r="F16" i="4" s="1"/>
  <c r="H16" i="4"/>
  <c r="G16" i="4"/>
  <c r="K88" i="4"/>
  <c r="J88" i="4"/>
  <c r="I88" i="4"/>
  <c r="AP88" i="4"/>
  <c r="H88" i="4"/>
  <c r="G88" i="4"/>
  <c r="F88" i="4"/>
  <c r="K22" i="4"/>
  <c r="J22" i="4"/>
  <c r="I22" i="4"/>
  <c r="AP22" i="4"/>
  <c r="H22" i="4"/>
  <c r="G22" i="4"/>
  <c r="F22" i="4"/>
  <c r="K110" i="4"/>
  <c r="J110" i="4"/>
  <c r="I110" i="4"/>
  <c r="AP110" i="4"/>
  <c r="G110" i="4" s="1"/>
  <c r="H110" i="4"/>
  <c r="K78" i="4"/>
  <c r="J78" i="4"/>
  <c r="I78" i="4"/>
  <c r="AP78" i="4"/>
  <c r="H78" i="4"/>
  <c r="AP50" i="4"/>
  <c r="K50" i="4"/>
  <c r="J50" i="4"/>
  <c r="I50" i="4"/>
  <c r="F85" i="4"/>
  <c r="K85" i="4"/>
  <c r="J85" i="4"/>
  <c r="I85" i="4"/>
  <c r="AP85" i="4"/>
  <c r="H85" i="4"/>
  <c r="G85" i="4"/>
  <c r="K7" i="4"/>
  <c r="J7" i="4"/>
  <c r="I7" i="4"/>
  <c r="AP7" i="4"/>
  <c r="J89" i="4"/>
  <c r="I89" i="4"/>
  <c r="AP89" i="4"/>
  <c r="G89" i="4" s="1"/>
  <c r="H89" i="4"/>
  <c r="F89" i="4"/>
  <c r="K89" i="4"/>
  <c r="J2" i="4"/>
  <c r="I2" i="4"/>
  <c r="AP2" i="4"/>
  <c r="H2" i="4"/>
  <c r="G2" i="4"/>
  <c r="F2" i="4"/>
  <c r="K2" i="4"/>
  <c r="AP79" i="4"/>
  <c r="H79" i="4"/>
  <c r="G79" i="4"/>
  <c r="F79" i="4"/>
  <c r="K79" i="4"/>
  <c r="J79" i="4"/>
  <c r="I79" i="4"/>
  <c r="K59" i="4"/>
  <c r="J59" i="4"/>
  <c r="I59" i="4"/>
  <c r="AP59" i="4"/>
  <c r="F59" i="4" s="1"/>
  <c r="H59" i="4"/>
  <c r="G59" i="4"/>
  <c r="L356" i="3"/>
  <c r="K356" i="3"/>
  <c r="AR356" i="3"/>
  <c r="I356" i="3" s="1"/>
  <c r="J356" i="3"/>
  <c r="M356" i="3"/>
  <c r="K335" i="3"/>
  <c r="M335" i="3"/>
  <c r="L335" i="3"/>
  <c r="AS335" i="3" s="1"/>
  <c r="AR335" i="3"/>
  <c r="L354" i="3"/>
  <c r="AS354" i="3" s="1"/>
  <c r="K354" i="3"/>
  <c r="AR354" i="3"/>
  <c r="M354" i="3"/>
  <c r="L402" i="3"/>
  <c r="AS402" i="3" s="1"/>
  <c r="K402" i="3"/>
  <c r="M402" i="3"/>
  <c r="AR402" i="3"/>
  <c r="AR421" i="3"/>
  <c r="I421" i="3" s="1"/>
  <c r="J421" i="3"/>
  <c r="M421" i="3"/>
  <c r="L421" i="3"/>
  <c r="K421" i="3"/>
  <c r="L373" i="3"/>
  <c r="K373" i="3"/>
  <c r="AR373" i="3"/>
  <c r="I373" i="3" s="1"/>
  <c r="J373" i="3"/>
  <c r="M373" i="3"/>
  <c r="M428" i="3"/>
  <c r="L428" i="3"/>
  <c r="K428" i="3"/>
  <c r="AR428" i="3"/>
  <c r="I428" i="3" s="1"/>
  <c r="J428" i="3"/>
  <c r="M404" i="3"/>
  <c r="L404" i="3"/>
  <c r="K404" i="3"/>
  <c r="AR404" i="3"/>
  <c r="H404" i="3" s="1"/>
  <c r="J404" i="3"/>
  <c r="M383" i="3"/>
  <c r="L383" i="3"/>
  <c r="AS383" i="3" s="1"/>
  <c r="K383" i="3"/>
  <c r="AR383" i="3"/>
  <c r="K290" i="3"/>
  <c r="AR290" i="3"/>
  <c r="H290" i="3" s="1"/>
  <c r="J290" i="3"/>
  <c r="M290" i="3"/>
  <c r="L290" i="3"/>
  <c r="L368" i="3"/>
  <c r="K368" i="3"/>
  <c r="AR368" i="3"/>
  <c r="H368" i="3" s="1"/>
  <c r="J368" i="3"/>
  <c r="M368" i="3"/>
  <c r="BE381" i="3"/>
  <c r="F381" i="3" s="1"/>
  <c r="AR255" i="3"/>
  <c r="M255" i="3"/>
  <c r="L255" i="3"/>
  <c r="AS255" i="3" s="1"/>
  <c r="K255" i="3"/>
  <c r="L386" i="3"/>
  <c r="AS386" i="3" s="1"/>
  <c r="K386" i="3"/>
  <c r="AR386" i="3"/>
  <c r="M386" i="3"/>
  <c r="K304" i="3"/>
  <c r="AR304" i="3"/>
  <c r="H304" i="3" s="1"/>
  <c r="J304" i="3"/>
  <c r="L304" i="3"/>
  <c r="M304" i="3"/>
  <c r="M417" i="3"/>
  <c r="L417" i="3"/>
  <c r="AS417" i="3" s="1"/>
  <c r="K417" i="3"/>
  <c r="AR417" i="3"/>
  <c r="L206" i="3"/>
  <c r="M206" i="3"/>
  <c r="K206" i="3"/>
  <c r="J206" i="3"/>
  <c r="AR206" i="3"/>
  <c r="I206" i="3" s="1"/>
  <c r="BE176" i="3"/>
  <c r="F176" i="3" s="1"/>
  <c r="M157" i="3"/>
  <c r="L157" i="3"/>
  <c r="AR157" i="3"/>
  <c r="I157" i="3" s="1"/>
  <c r="K157" i="3"/>
  <c r="J157" i="3"/>
  <c r="L365" i="3"/>
  <c r="K365" i="3"/>
  <c r="AR365" i="3"/>
  <c r="I365" i="3" s="1"/>
  <c r="J365" i="3"/>
  <c r="M365" i="3"/>
  <c r="K260" i="3"/>
  <c r="M260" i="3"/>
  <c r="L260" i="3"/>
  <c r="AS260" i="3" s="1"/>
  <c r="AR260" i="3"/>
  <c r="M22" i="3"/>
  <c r="L22" i="3"/>
  <c r="AS22" i="3" s="1"/>
  <c r="K22" i="3"/>
  <c r="AR22" i="3"/>
  <c r="L138" i="3"/>
  <c r="K138" i="3"/>
  <c r="AR138" i="3"/>
  <c r="I138" i="3" s="1"/>
  <c r="J138" i="3"/>
  <c r="M138" i="3"/>
  <c r="L247" i="3"/>
  <c r="M247" i="3"/>
  <c r="K247" i="3"/>
  <c r="J247" i="3"/>
  <c r="AR247" i="3"/>
  <c r="H247" i="3" s="1"/>
  <c r="M47" i="3"/>
  <c r="L47" i="3"/>
  <c r="AS47" i="3" s="1"/>
  <c r="K47" i="3"/>
  <c r="AR47" i="3"/>
  <c r="K25" i="3"/>
  <c r="AR25" i="3"/>
  <c r="I25" i="3" s="1"/>
  <c r="J25" i="3"/>
  <c r="L25" i="3"/>
  <c r="M25" i="3"/>
  <c r="K151" i="3"/>
  <c r="J151" i="3"/>
  <c r="AR151" i="3"/>
  <c r="H151" i="3" s="1"/>
  <c r="M151" i="3"/>
  <c r="L151" i="3"/>
  <c r="M89" i="3"/>
  <c r="L89" i="3"/>
  <c r="K89" i="3"/>
  <c r="AR89" i="3"/>
  <c r="I89" i="3" s="1"/>
  <c r="J89" i="3"/>
  <c r="K297" i="3"/>
  <c r="AR297" i="3"/>
  <c r="H297" i="3" s="1"/>
  <c r="J297" i="3"/>
  <c r="M297" i="3"/>
  <c r="L297" i="3"/>
  <c r="L70" i="3"/>
  <c r="K70" i="3"/>
  <c r="AR70" i="3"/>
  <c r="H70" i="3" s="1"/>
  <c r="J70" i="3"/>
  <c r="M70" i="3"/>
  <c r="AR178" i="3"/>
  <c r="I178" i="3" s="1"/>
  <c r="J178" i="3"/>
  <c r="M178" i="3"/>
  <c r="K178" i="3"/>
  <c r="L178" i="3"/>
  <c r="M137" i="3"/>
  <c r="L137" i="3"/>
  <c r="AS137" i="3" s="1"/>
  <c r="K137" i="3"/>
  <c r="AR137" i="3"/>
  <c r="K219" i="3"/>
  <c r="M219" i="3"/>
  <c r="L219" i="3"/>
  <c r="J219" i="3"/>
  <c r="AR219" i="3"/>
  <c r="I219" i="3" s="1"/>
  <c r="L236" i="3"/>
  <c r="M236" i="3"/>
  <c r="K236" i="3"/>
  <c r="AR236" i="3"/>
  <c r="I236" i="3" s="1"/>
  <c r="J236" i="3"/>
  <c r="K184" i="3"/>
  <c r="J184" i="3"/>
  <c r="M184" i="3"/>
  <c r="L184" i="3"/>
  <c r="AR184" i="3"/>
  <c r="H184" i="3" s="1"/>
  <c r="M347" i="3"/>
  <c r="AR347" i="3"/>
  <c r="H347" i="3" s="1"/>
  <c r="J347" i="3"/>
  <c r="K347" i="3"/>
  <c r="L347" i="3"/>
  <c r="K254" i="3"/>
  <c r="AR254" i="3"/>
  <c r="M254" i="3"/>
  <c r="L254" i="3"/>
  <c r="AS254" i="3" s="1"/>
  <c r="M339" i="3"/>
  <c r="L339" i="3"/>
  <c r="AS339" i="3" s="1"/>
  <c r="AR339" i="3"/>
  <c r="K339" i="3"/>
  <c r="L315" i="3"/>
  <c r="K315" i="3"/>
  <c r="J315" i="3"/>
  <c r="AR315" i="3"/>
  <c r="H315" i="3" s="1"/>
  <c r="M315" i="3"/>
  <c r="M425" i="3"/>
  <c r="L425" i="3"/>
  <c r="AS425" i="3" s="1"/>
  <c r="K425" i="3"/>
  <c r="AR425" i="3"/>
  <c r="M396" i="3"/>
  <c r="L396" i="3"/>
  <c r="K396" i="3"/>
  <c r="AR396" i="3"/>
  <c r="I396" i="3" s="1"/>
  <c r="J396" i="3"/>
  <c r="M412" i="3"/>
  <c r="L412" i="3"/>
  <c r="K412" i="3"/>
  <c r="AR412" i="3"/>
  <c r="H412" i="3" s="1"/>
  <c r="J412" i="3"/>
  <c r="M433" i="3"/>
  <c r="AR433" i="3"/>
  <c r="L433" i="3"/>
  <c r="AS433" i="3" s="1"/>
  <c r="K433" i="3"/>
  <c r="L135" i="3"/>
  <c r="AS135" i="3" s="1"/>
  <c r="K135" i="3"/>
  <c r="AR135" i="3"/>
  <c r="M135" i="3"/>
  <c r="M16" i="3"/>
  <c r="L16" i="3"/>
  <c r="K16" i="3"/>
  <c r="AR16" i="3"/>
  <c r="H16" i="3" s="1"/>
  <c r="J16" i="3"/>
  <c r="BE224" i="3"/>
  <c r="F224" i="3" s="1"/>
  <c r="BE240" i="3"/>
  <c r="F240" i="3" s="1"/>
  <c r="BE388" i="3"/>
  <c r="F388" i="3" s="1"/>
  <c r="BE418" i="3"/>
  <c r="F418" i="3" s="1"/>
  <c r="M123" i="3"/>
  <c r="L123" i="3"/>
  <c r="K123" i="3"/>
  <c r="J123" i="3"/>
  <c r="AR123" i="3"/>
  <c r="H123" i="3" s="1"/>
  <c r="M101" i="3"/>
  <c r="L101" i="3"/>
  <c r="K101" i="3"/>
  <c r="AR101" i="3"/>
  <c r="I101" i="3" s="1"/>
  <c r="J101" i="3"/>
  <c r="AR83" i="3"/>
  <c r="I83" i="3" s="1"/>
  <c r="J83" i="3"/>
  <c r="M83" i="3"/>
  <c r="K83" i="3"/>
  <c r="L83" i="3"/>
  <c r="M8" i="3"/>
  <c r="L8" i="3"/>
  <c r="K8" i="3"/>
  <c r="AR8" i="3"/>
  <c r="H8" i="3" s="1"/>
  <c r="J8" i="3"/>
  <c r="M116" i="3"/>
  <c r="L116" i="3"/>
  <c r="K116" i="3"/>
  <c r="AR116" i="3"/>
  <c r="I116" i="3" s="1"/>
  <c r="J116" i="3"/>
  <c r="M94" i="3"/>
  <c r="L94" i="3"/>
  <c r="K94" i="3"/>
  <c r="AR94" i="3"/>
  <c r="I94" i="3" s="1"/>
  <c r="J94" i="3"/>
  <c r="AU79" i="3"/>
  <c r="AU48" i="3"/>
  <c r="M172" i="3"/>
  <c r="L172" i="3"/>
  <c r="AS172" i="3" s="1"/>
  <c r="K172" i="3"/>
  <c r="AR172" i="3"/>
  <c r="M68" i="3"/>
  <c r="L68" i="3"/>
  <c r="AS68" i="3" s="1"/>
  <c r="K68" i="3"/>
  <c r="AR68" i="3"/>
  <c r="BC66" i="3"/>
  <c r="AU53" i="3"/>
  <c r="BE53" i="3" s="1"/>
  <c r="F53" i="3" s="1"/>
  <c r="BC67" i="3"/>
  <c r="AU132" i="3"/>
  <c r="AU16" i="3"/>
  <c r="AU7" i="3"/>
  <c r="BC39" i="3"/>
  <c r="AU129" i="3"/>
  <c r="BC33" i="3"/>
  <c r="BC26" i="3"/>
  <c r="AU22" i="3"/>
  <c r="BC64" i="3"/>
  <c r="BC6" i="3"/>
  <c r="BC14" i="3"/>
  <c r="BE14" i="3" s="1"/>
  <c r="F14" i="3" s="1"/>
  <c r="BC264" i="3"/>
  <c r="BE264" i="3" s="1"/>
  <c r="F264" i="3" s="1"/>
  <c r="BC265" i="3"/>
  <c r="BE265" i="3" s="1"/>
  <c r="F265" i="3" s="1"/>
  <c r="BC225" i="3"/>
  <c r="BC227" i="3"/>
  <c r="BC189" i="3"/>
  <c r="BE189" i="3" s="1"/>
  <c r="F189" i="3" s="1"/>
  <c r="BC193" i="3"/>
  <c r="BE193" i="3" s="1"/>
  <c r="F193" i="3" s="1"/>
  <c r="BC266" i="3"/>
  <c r="BE266" i="3" s="1"/>
  <c r="F266" i="3" s="1"/>
  <c r="BC261" i="3"/>
  <c r="BC385" i="3"/>
  <c r="BE385" i="3" s="1"/>
  <c r="F385" i="3" s="1"/>
  <c r="BC269" i="3"/>
  <c r="BE269" i="3" s="1"/>
  <c r="F269" i="3" s="1"/>
  <c r="BC302" i="3"/>
  <c r="BE302" i="3" s="1"/>
  <c r="F302" i="3" s="1"/>
  <c r="BC285" i="3"/>
  <c r="BE285" i="3" s="1"/>
  <c r="F285" i="3" s="1"/>
  <c r="BC287" i="3"/>
  <c r="BC338" i="3"/>
  <c r="BE338" i="3" s="1"/>
  <c r="F338" i="3" s="1"/>
  <c r="BC38" i="3"/>
  <c r="M419" i="3"/>
  <c r="L419" i="3"/>
  <c r="K419" i="3"/>
  <c r="AR419" i="3"/>
  <c r="H419" i="3" s="1"/>
  <c r="J419" i="3"/>
  <c r="AR423" i="3"/>
  <c r="H423" i="3" s="1"/>
  <c r="J423" i="3"/>
  <c r="M423" i="3"/>
  <c r="L423" i="3"/>
  <c r="K423" i="3"/>
  <c r="BE332" i="3"/>
  <c r="F332" i="3" s="1"/>
  <c r="L361" i="3"/>
  <c r="K361" i="3"/>
  <c r="AR361" i="3"/>
  <c r="I361" i="3" s="1"/>
  <c r="J361" i="3"/>
  <c r="M361" i="3"/>
  <c r="M427" i="3"/>
  <c r="L427" i="3"/>
  <c r="K427" i="3"/>
  <c r="AR427" i="3"/>
  <c r="I427" i="3" s="1"/>
  <c r="J427" i="3"/>
  <c r="M403" i="3"/>
  <c r="L403" i="3"/>
  <c r="K403" i="3"/>
  <c r="AR403" i="3"/>
  <c r="H403" i="3" s="1"/>
  <c r="J403" i="3"/>
  <c r="L374" i="3"/>
  <c r="K374" i="3"/>
  <c r="AR374" i="3"/>
  <c r="I374" i="3" s="1"/>
  <c r="J374" i="3"/>
  <c r="M374" i="3"/>
  <c r="M353" i="3"/>
  <c r="L353" i="3"/>
  <c r="K353" i="3"/>
  <c r="AR353" i="3"/>
  <c r="I353" i="3" s="1"/>
  <c r="J353" i="3"/>
  <c r="AR338" i="3"/>
  <c r="L338" i="3"/>
  <c r="AS338" i="3" s="1"/>
  <c r="M338" i="3"/>
  <c r="K338" i="3"/>
  <c r="K269" i="3"/>
  <c r="AR269" i="3"/>
  <c r="I269" i="3" s="1"/>
  <c r="J269" i="3"/>
  <c r="M269" i="3"/>
  <c r="L269" i="3"/>
  <c r="L377" i="3"/>
  <c r="K377" i="3"/>
  <c r="AR377" i="3"/>
  <c r="I377" i="3" s="1"/>
  <c r="J377" i="3"/>
  <c r="M377" i="3"/>
  <c r="K301" i="3"/>
  <c r="AR301" i="3"/>
  <c r="H301" i="3" s="1"/>
  <c r="J301" i="3"/>
  <c r="L301" i="3"/>
  <c r="M301" i="3"/>
  <c r="L372" i="3"/>
  <c r="K372" i="3"/>
  <c r="AR372" i="3"/>
  <c r="H372" i="3" s="1"/>
  <c r="J372" i="3"/>
  <c r="M372" i="3"/>
  <c r="M191" i="3"/>
  <c r="L191" i="3"/>
  <c r="AS191" i="3" s="1"/>
  <c r="AR191" i="3"/>
  <c r="K191" i="3"/>
  <c r="M228" i="3"/>
  <c r="L228" i="3"/>
  <c r="K228" i="3"/>
  <c r="J228" i="3"/>
  <c r="AR228" i="3"/>
  <c r="H228" i="3" s="1"/>
  <c r="M227" i="3"/>
  <c r="L227" i="3"/>
  <c r="K227" i="3"/>
  <c r="J227" i="3"/>
  <c r="AR227" i="3"/>
  <c r="I227" i="3" s="1"/>
  <c r="BE260" i="3"/>
  <c r="F260" i="3" s="1"/>
  <c r="L314" i="3"/>
  <c r="AR314" i="3"/>
  <c r="I314" i="3" s="1"/>
  <c r="M314" i="3"/>
  <c r="K314" i="3"/>
  <c r="J314" i="3"/>
  <c r="BE343" i="3"/>
  <c r="F343" i="3" s="1"/>
  <c r="BE194" i="3"/>
  <c r="F194" i="3" s="1"/>
  <c r="M96" i="3"/>
  <c r="L96" i="3"/>
  <c r="K96" i="3"/>
  <c r="AR96" i="3"/>
  <c r="I96" i="3" s="1"/>
  <c r="J96" i="3"/>
  <c r="L321" i="3"/>
  <c r="AR321" i="3"/>
  <c r="H321" i="3" s="1"/>
  <c r="M321" i="3"/>
  <c r="K321" i="3"/>
  <c r="J321" i="3"/>
  <c r="AR75" i="3"/>
  <c r="M75" i="3"/>
  <c r="L75" i="3"/>
  <c r="AS75" i="3" s="1"/>
  <c r="K75" i="3"/>
  <c r="BE46" i="3"/>
  <c r="F46" i="3" s="1"/>
  <c r="K129" i="3"/>
  <c r="AR129" i="3"/>
  <c r="L129" i="3"/>
  <c r="AS129" i="3" s="1"/>
  <c r="M129" i="3"/>
  <c r="AR76" i="3"/>
  <c r="H76" i="3" s="1"/>
  <c r="J76" i="3"/>
  <c r="M76" i="3"/>
  <c r="L76" i="3"/>
  <c r="K76" i="3"/>
  <c r="AR176" i="3"/>
  <c r="I176" i="3" s="1"/>
  <c r="J176" i="3"/>
  <c r="M176" i="3"/>
  <c r="L176" i="3"/>
  <c r="K176" i="3"/>
  <c r="L149" i="3"/>
  <c r="K149" i="3"/>
  <c r="J149" i="3"/>
  <c r="AR149" i="3"/>
  <c r="I149" i="3" s="1"/>
  <c r="M149" i="3"/>
  <c r="K183" i="3"/>
  <c r="M183" i="3"/>
  <c r="L183" i="3"/>
  <c r="J183" i="3"/>
  <c r="AR183" i="3"/>
  <c r="I183" i="3" s="1"/>
  <c r="M105" i="3"/>
  <c r="L105" i="3"/>
  <c r="AS105" i="3" s="1"/>
  <c r="K105" i="3"/>
  <c r="AR105" i="3"/>
  <c r="K220" i="3"/>
  <c r="M220" i="3"/>
  <c r="L220" i="3"/>
  <c r="J220" i="3"/>
  <c r="AR220" i="3"/>
  <c r="H220" i="3" s="1"/>
  <c r="L246" i="3"/>
  <c r="M246" i="3"/>
  <c r="K246" i="3"/>
  <c r="AR246" i="3"/>
  <c r="I246" i="3" s="1"/>
  <c r="J246" i="3"/>
  <c r="L243" i="3"/>
  <c r="K243" i="3"/>
  <c r="J243" i="3"/>
  <c r="AR243" i="3"/>
  <c r="I243" i="3" s="1"/>
  <c r="M243" i="3"/>
  <c r="K299" i="3"/>
  <c r="L299" i="3"/>
  <c r="AS299" i="3" s="1"/>
  <c r="AR299" i="3"/>
  <c r="M299" i="3"/>
  <c r="M258" i="3"/>
  <c r="AR258" i="3"/>
  <c r="L258" i="3"/>
  <c r="AS258" i="3" s="1"/>
  <c r="K258" i="3"/>
  <c r="M332" i="3"/>
  <c r="AR332" i="3"/>
  <c r="L332" i="3"/>
  <c r="AS332" i="3" s="1"/>
  <c r="K332" i="3"/>
  <c r="L319" i="3"/>
  <c r="K319" i="3"/>
  <c r="J319" i="3"/>
  <c r="AR319" i="3"/>
  <c r="I319" i="3" s="1"/>
  <c r="M319" i="3"/>
  <c r="L273" i="3"/>
  <c r="AS273" i="3" s="1"/>
  <c r="M273" i="3"/>
  <c r="K273" i="3"/>
  <c r="AR273" i="3"/>
  <c r="M397" i="3"/>
  <c r="L397" i="3"/>
  <c r="K397" i="3"/>
  <c r="AR397" i="3"/>
  <c r="H397" i="3" s="1"/>
  <c r="J397" i="3"/>
  <c r="M413" i="3"/>
  <c r="L413" i="3"/>
  <c r="K413" i="3"/>
  <c r="AR413" i="3"/>
  <c r="I413" i="3" s="1"/>
  <c r="J413" i="3"/>
  <c r="M420" i="3"/>
  <c r="L420" i="3"/>
  <c r="AS420" i="3" s="1"/>
  <c r="K420" i="3"/>
  <c r="AR420" i="3"/>
  <c r="K132" i="3"/>
  <c r="AR132" i="3"/>
  <c r="H132" i="3" s="1"/>
  <c r="J132" i="3"/>
  <c r="L132" i="3"/>
  <c r="M132" i="3"/>
  <c r="M17" i="3"/>
  <c r="L17" i="3"/>
  <c r="K17" i="3"/>
  <c r="AR17" i="3"/>
  <c r="H17" i="3" s="1"/>
  <c r="J17" i="3"/>
  <c r="BE96" i="3"/>
  <c r="F96" i="3" s="1"/>
  <c r="BE110" i="3"/>
  <c r="F110" i="3" s="1"/>
  <c r="BE212" i="3"/>
  <c r="F212" i="3" s="1"/>
  <c r="BE235" i="3"/>
  <c r="F235" i="3" s="1"/>
  <c r="BE403" i="3"/>
  <c r="F403" i="3" s="1"/>
  <c r="BE339" i="3"/>
  <c r="F339" i="3" s="1"/>
  <c r="BE394" i="3"/>
  <c r="F394" i="3" s="1"/>
  <c r="BE424" i="3"/>
  <c r="F424" i="3" s="1"/>
  <c r="AR175" i="3"/>
  <c r="I175" i="3" s="1"/>
  <c r="J175" i="3"/>
  <c r="M175" i="3"/>
  <c r="L175" i="3"/>
  <c r="K175" i="3"/>
  <c r="M146" i="3"/>
  <c r="L146" i="3"/>
  <c r="AS146" i="3" s="1"/>
  <c r="K146" i="3"/>
  <c r="AR146" i="3"/>
  <c r="AU82" i="3"/>
  <c r="AU66" i="3"/>
  <c r="AU144" i="3"/>
  <c r="AU69" i="3"/>
  <c r="BE69" i="3" s="1"/>
  <c r="F69" i="3" s="1"/>
  <c r="AR165" i="3"/>
  <c r="I165" i="3" s="1"/>
  <c r="J165" i="3"/>
  <c r="M165" i="3"/>
  <c r="L165" i="3"/>
  <c r="K165" i="3"/>
  <c r="M95" i="3"/>
  <c r="L95" i="3"/>
  <c r="K95" i="3"/>
  <c r="AR95" i="3"/>
  <c r="H95" i="3" s="1"/>
  <c r="J95" i="3"/>
  <c r="AU136" i="3"/>
  <c r="BC13" i="3"/>
  <c r="BC9" i="3"/>
  <c r="BC21" i="3"/>
  <c r="I223" i="3"/>
  <c r="AS343" i="3"/>
  <c r="AU29" i="3"/>
  <c r="AU55" i="3"/>
  <c r="BE55" i="3" s="1"/>
  <c r="F55" i="3" s="1"/>
  <c r="H9" i="3"/>
  <c r="BC16" i="3"/>
  <c r="BC17" i="3"/>
  <c r="BC2" i="3"/>
  <c r="BC7" i="3"/>
  <c r="BC61" i="3"/>
  <c r="BE61" i="3" s="1"/>
  <c r="F61" i="3" s="1"/>
  <c r="BC181" i="3"/>
  <c r="BC250" i="3"/>
  <c r="BE250" i="3" s="1"/>
  <c r="F250" i="3" s="1"/>
  <c r="BC76" i="3"/>
  <c r="BE76" i="3" s="1"/>
  <c r="F76" i="3" s="1"/>
  <c r="BC268" i="3"/>
  <c r="BC196" i="3"/>
  <c r="BE196" i="3" s="1"/>
  <c r="F196" i="3" s="1"/>
  <c r="BC309" i="3"/>
  <c r="BC184" i="3"/>
  <c r="BE184" i="3" s="1"/>
  <c r="F184" i="3" s="1"/>
  <c r="BC286" i="3"/>
  <c r="BE286" i="3" s="1"/>
  <c r="F286" i="3" s="1"/>
  <c r="BC393" i="3"/>
  <c r="BC270" i="3"/>
  <c r="BE270" i="3" s="1"/>
  <c r="F270" i="3" s="1"/>
  <c r="BC303" i="3"/>
  <c r="BE303" i="3" s="1"/>
  <c r="F303" i="3" s="1"/>
  <c r="BC293" i="3"/>
  <c r="BC314" i="3"/>
  <c r="BE314" i="3" s="1"/>
  <c r="F314" i="3" s="1"/>
  <c r="K288" i="3"/>
  <c r="M288" i="3"/>
  <c r="L288" i="3"/>
  <c r="AS288" i="3" s="1"/>
  <c r="AR288" i="3"/>
  <c r="L336" i="3"/>
  <c r="AS336" i="3" s="1"/>
  <c r="K336" i="3"/>
  <c r="AR336" i="3"/>
  <c r="M336" i="3"/>
  <c r="L287" i="3"/>
  <c r="AR287" i="3"/>
  <c r="H287" i="3" s="1"/>
  <c r="M287" i="3"/>
  <c r="K287" i="3"/>
  <c r="J287" i="3"/>
  <c r="M193" i="3"/>
  <c r="K193" i="3"/>
  <c r="AR193" i="3"/>
  <c r="L193" i="3"/>
  <c r="AS193" i="3" s="1"/>
  <c r="BE340" i="3"/>
  <c r="F340" i="3" s="1"/>
  <c r="AR155" i="3"/>
  <c r="M155" i="3"/>
  <c r="L155" i="3"/>
  <c r="AS155" i="3" s="1"/>
  <c r="K155" i="3"/>
  <c r="M329" i="3"/>
  <c r="K329" i="3"/>
  <c r="AR329" i="3"/>
  <c r="L329" i="3"/>
  <c r="AS329" i="3" s="1"/>
  <c r="M265" i="3"/>
  <c r="L265" i="3"/>
  <c r="J265" i="3"/>
  <c r="AR265" i="3"/>
  <c r="I265" i="3" s="1"/>
  <c r="K265" i="3"/>
  <c r="L249" i="3"/>
  <c r="M249" i="3"/>
  <c r="K249" i="3"/>
  <c r="J249" i="3"/>
  <c r="AR249" i="3"/>
  <c r="I249" i="3" s="1"/>
  <c r="M263" i="3"/>
  <c r="L263" i="3"/>
  <c r="AS263" i="3" s="1"/>
  <c r="K263" i="3"/>
  <c r="AR263" i="3"/>
  <c r="M134" i="3"/>
  <c r="L134" i="3"/>
  <c r="AS134" i="3" s="1"/>
  <c r="K134" i="3"/>
  <c r="AR134" i="3"/>
  <c r="K133" i="3"/>
  <c r="AR133" i="3"/>
  <c r="H133" i="3" s="1"/>
  <c r="J133" i="3"/>
  <c r="M133" i="3"/>
  <c r="L133" i="3"/>
  <c r="K230" i="3"/>
  <c r="M230" i="3"/>
  <c r="L230" i="3"/>
  <c r="AS230" i="3" s="1"/>
  <c r="AR230" i="3"/>
  <c r="M45" i="3"/>
  <c r="K45" i="3"/>
  <c r="AR45" i="3"/>
  <c r="H45" i="3" s="1"/>
  <c r="J45" i="3"/>
  <c r="L45" i="3"/>
  <c r="M121" i="3"/>
  <c r="L121" i="3"/>
  <c r="K121" i="3"/>
  <c r="AR121" i="3"/>
  <c r="I121" i="3" s="1"/>
  <c r="J121" i="3"/>
  <c r="K189" i="3"/>
  <c r="AR189" i="3"/>
  <c r="H189" i="3" s="1"/>
  <c r="M189" i="3"/>
  <c r="L189" i="3"/>
  <c r="J189" i="3"/>
  <c r="AR150" i="3"/>
  <c r="M150" i="3"/>
  <c r="K150" i="3"/>
  <c r="L150" i="3"/>
  <c r="AS150" i="3" s="1"/>
  <c r="L240" i="3"/>
  <c r="J240" i="3"/>
  <c r="AR240" i="3"/>
  <c r="H240" i="3" s="1"/>
  <c r="M240" i="3"/>
  <c r="K240" i="3"/>
  <c r="AR169" i="3"/>
  <c r="I169" i="3" s="1"/>
  <c r="J169" i="3"/>
  <c r="M169" i="3"/>
  <c r="L169" i="3"/>
  <c r="K169" i="3"/>
  <c r="K333" i="3"/>
  <c r="AR333" i="3"/>
  <c r="M333" i="3"/>
  <c r="L333" i="3"/>
  <c r="AS333" i="3" s="1"/>
  <c r="M252" i="3"/>
  <c r="AR252" i="3"/>
  <c r="L252" i="3"/>
  <c r="AS252" i="3" s="1"/>
  <c r="K252" i="3"/>
  <c r="K233" i="3"/>
  <c r="L233" i="3"/>
  <c r="AS233" i="3" s="1"/>
  <c r="AR233" i="3"/>
  <c r="M233" i="3"/>
  <c r="L310" i="3"/>
  <c r="J310" i="3"/>
  <c r="K310" i="3"/>
  <c r="AR310" i="3"/>
  <c r="I310" i="3" s="1"/>
  <c r="M310" i="3"/>
  <c r="M259" i="3"/>
  <c r="AR259" i="3"/>
  <c r="L259" i="3"/>
  <c r="AS259" i="3" s="1"/>
  <c r="K259" i="3"/>
  <c r="L242" i="3"/>
  <c r="M242" i="3"/>
  <c r="K242" i="3"/>
  <c r="J242" i="3"/>
  <c r="AR242" i="3"/>
  <c r="H242" i="3" s="1"/>
  <c r="L322" i="3"/>
  <c r="K322" i="3"/>
  <c r="J322" i="3"/>
  <c r="AR322" i="3"/>
  <c r="I322" i="3" s="1"/>
  <c r="M322" i="3"/>
  <c r="AR328" i="3"/>
  <c r="M328" i="3"/>
  <c r="K328" i="3"/>
  <c r="L328" i="3"/>
  <c r="AS328" i="3" s="1"/>
  <c r="M418" i="3"/>
  <c r="L418" i="3"/>
  <c r="K418" i="3"/>
  <c r="AR418" i="3"/>
  <c r="I418" i="3" s="1"/>
  <c r="J418" i="3"/>
  <c r="M414" i="3"/>
  <c r="L414" i="3"/>
  <c r="K414" i="3"/>
  <c r="AR414" i="3"/>
  <c r="H414" i="3" s="1"/>
  <c r="J414" i="3"/>
  <c r="M398" i="3"/>
  <c r="L398" i="3"/>
  <c r="K398" i="3"/>
  <c r="J398" i="3"/>
  <c r="AR398" i="3"/>
  <c r="I398" i="3" s="1"/>
  <c r="M91" i="3"/>
  <c r="L91" i="3"/>
  <c r="AS91" i="3" s="1"/>
  <c r="K91" i="3"/>
  <c r="AR91" i="3"/>
  <c r="M15" i="3"/>
  <c r="L15" i="3"/>
  <c r="K15" i="3"/>
  <c r="AR15" i="3"/>
  <c r="H15" i="3" s="1"/>
  <c r="J15" i="3"/>
  <c r="BE148" i="3"/>
  <c r="F148" i="3" s="1"/>
  <c r="BE134" i="3"/>
  <c r="F134" i="3" s="1"/>
  <c r="BE346" i="3"/>
  <c r="F346" i="3" s="1"/>
  <c r="BE185" i="3"/>
  <c r="F185" i="3" s="1"/>
  <c r="BE215" i="3"/>
  <c r="F215" i="3" s="1"/>
  <c r="BE287" i="3"/>
  <c r="F287" i="3" s="1"/>
  <c r="BE282" i="3"/>
  <c r="F282" i="3" s="1"/>
  <c r="BE360" i="3"/>
  <c r="F360" i="3" s="1"/>
  <c r="L378" i="3"/>
  <c r="K378" i="3"/>
  <c r="AR378" i="3"/>
  <c r="H378" i="3" s="1"/>
  <c r="J378" i="3"/>
  <c r="M378" i="3"/>
  <c r="AR174" i="3"/>
  <c r="I174" i="3" s="1"/>
  <c r="J174" i="3"/>
  <c r="M174" i="3"/>
  <c r="L174" i="3"/>
  <c r="K174" i="3"/>
  <c r="M115" i="3"/>
  <c r="L115" i="3"/>
  <c r="K115" i="3"/>
  <c r="AR115" i="3"/>
  <c r="I115" i="3" s="1"/>
  <c r="J115" i="3"/>
  <c r="M29" i="3"/>
  <c r="L29" i="3"/>
  <c r="AS29" i="3" s="1"/>
  <c r="K29" i="3"/>
  <c r="AR29" i="3"/>
  <c r="M19" i="3"/>
  <c r="L19" i="3"/>
  <c r="K19" i="3"/>
  <c r="AR19" i="3"/>
  <c r="I19" i="3" s="1"/>
  <c r="J19" i="3"/>
  <c r="M99" i="3"/>
  <c r="L99" i="3"/>
  <c r="AS99" i="3" s="1"/>
  <c r="K99" i="3"/>
  <c r="AR99" i="3"/>
  <c r="L139" i="3"/>
  <c r="K139" i="3"/>
  <c r="AR139" i="3"/>
  <c r="I139" i="3" s="1"/>
  <c r="J139" i="3"/>
  <c r="M139" i="3"/>
  <c r="L74" i="3"/>
  <c r="K74" i="3"/>
  <c r="AR74" i="3"/>
  <c r="I74" i="3" s="1"/>
  <c r="J74" i="3"/>
  <c r="M74" i="3"/>
  <c r="AR46" i="3"/>
  <c r="M46" i="3"/>
  <c r="L46" i="3"/>
  <c r="AS46" i="3" s="1"/>
  <c r="K46" i="3"/>
  <c r="M93" i="3"/>
  <c r="L93" i="3"/>
  <c r="K93" i="3"/>
  <c r="AR93" i="3"/>
  <c r="H93" i="3" s="1"/>
  <c r="J93" i="3"/>
  <c r="BC77" i="3"/>
  <c r="BE77" i="3" s="1"/>
  <c r="F77" i="3" s="1"/>
  <c r="AU33" i="3"/>
  <c r="AU19" i="3"/>
  <c r="AU141" i="3"/>
  <c r="BE141" i="3" s="1"/>
  <c r="F141" i="3" s="1"/>
  <c r="AU17" i="3"/>
  <c r="AU2" i="3"/>
  <c r="BC68" i="3"/>
  <c r="BC24" i="3"/>
  <c r="BD24" i="3" s="1"/>
  <c r="E24" i="3" s="1"/>
  <c r="AU133" i="3"/>
  <c r="BC23" i="3"/>
  <c r="BD23" i="3" s="1"/>
  <c r="E23" i="3" s="1"/>
  <c r="AU67" i="3"/>
  <c r="AU5" i="3"/>
  <c r="AU147" i="3"/>
  <c r="AU50" i="3"/>
  <c r="AU68" i="3"/>
  <c r="BE68" i="3" s="1"/>
  <c r="F68" i="3" s="1"/>
  <c r="BC34" i="3"/>
  <c r="AU11" i="3"/>
  <c r="BC62" i="3"/>
  <c r="BE62" i="3" s="1"/>
  <c r="F62" i="3" s="1"/>
  <c r="BC3" i="3"/>
  <c r="BC30" i="3"/>
  <c r="BE30" i="3" s="1"/>
  <c r="F30" i="3" s="1"/>
  <c r="BC125" i="3"/>
  <c r="BE125" i="3" s="1"/>
  <c r="F125" i="3" s="1"/>
  <c r="BC183" i="3"/>
  <c r="BC280" i="3"/>
  <c r="BE280" i="3" s="1"/>
  <c r="F280" i="3" s="1"/>
  <c r="BC82" i="3"/>
  <c r="BC288" i="3"/>
  <c r="BE288" i="3" s="1"/>
  <c r="F288" i="3" s="1"/>
  <c r="BC241" i="3"/>
  <c r="BE241" i="3" s="1"/>
  <c r="F241" i="3" s="1"/>
  <c r="BC312" i="3"/>
  <c r="BE312" i="3" s="1"/>
  <c r="F312" i="3" s="1"/>
  <c r="BC199" i="3"/>
  <c r="BC325" i="3"/>
  <c r="BE325" i="3" s="1"/>
  <c r="F325" i="3" s="1"/>
  <c r="BC271" i="3"/>
  <c r="BC294" i="3"/>
  <c r="BE294" i="3" s="1"/>
  <c r="F294" i="3" s="1"/>
  <c r="BC335" i="3"/>
  <c r="BE335" i="3" s="1"/>
  <c r="F335" i="3" s="1"/>
  <c r="BC318" i="3"/>
  <c r="BC407" i="3"/>
  <c r="BE407" i="3" s="1"/>
  <c r="F407" i="3" s="1"/>
  <c r="M401" i="3"/>
  <c r="L401" i="3"/>
  <c r="AS401" i="3" s="1"/>
  <c r="K401" i="3"/>
  <c r="AR401" i="3"/>
  <c r="L387" i="3"/>
  <c r="K387" i="3"/>
  <c r="AR387" i="3"/>
  <c r="I387" i="3" s="1"/>
  <c r="J387" i="3"/>
  <c r="M387" i="3"/>
  <c r="M385" i="3"/>
  <c r="K385" i="3"/>
  <c r="AR385" i="3"/>
  <c r="I385" i="3" s="1"/>
  <c r="L385" i="3"/>
  <c r="J385" i="3"/>
  <c r="L325" i="3"/>
  <c r="M325" i="3"/>
  <c r="K325" i="3"/>
  <c r="AR325" i="3"/>
  <c r="I325" i="3" s="1"/>
  <c r="J325" i="3"/>
  <c r="K272" i="3"/>
  <c r="AR272" i="3"/>
  <c r="H272" i="3" s="1"/>
  <c r="J272" i="3"/>
  <c r="M272" i="3"/>
  <c r="L272" i="3"/>
  <c r="K306" i="3"/>
  <c r="AR306" i="3"/>
  <c r="I306" i="3" s="1"/>
  <c r="J306" i="3"/>
  <c r="M306" i="3"/>
  <c r="L306" i="3"/>
  <c r="L323" i="3"/>
  <c r="M323" i="3"/>
  <c r="K323" i="3"/>
  <c r="AR323" i="3"/>
  <c r="H323" i="3" s="1"/>
  <c r="J323" i="3"/>
  <c r="L202" i="3"/>
  <c r="AS202" i="3" s="1"/>
  <c r="K202" i="3"/>
  <c r="AR202" i="3"/>
  <c r="M202" i="3"/>
  <c r="L293" i="3"/>
  <c r="J293" i="3"/>
  <c r="AR293" i="3"/>
  <c r="I293" i="3" s="1"/>
  <c r="M293" i="3"/>
  <c r="K293" i="3"/>
  <c r="K182" i="3"/>
  <c r="M182" i="3"/>
  <c r="J182" i="3"/>
  <c r="AR182" i="3"/>
  <c r="I182" i="3" s="1"/>
  <c r="L182" i="3"/>
  <c r="L318" i="3"/>
  <c r="AR318" i="3"/>
  <c r="I318" i="3" s="1"/>
  <c r="M318" i="3"/>
  <c r="K318" i="3"/>
  <c r="J318" i="3"/>
  <c r="M231" i="3"/>
  <c r="AR231" i="3"/>
  <c r="H231" i="3" s="1"/>
  <c r="L231" i="3"/>
  <c r="K231" i="3"/>
  <c r="J231" i="3"/>
  <c r="K285" i="3"/>
  <c r="AR285" i="3"/>
  <c r="I285" i="3" s="1"/>
  <c r="J285" i="3"/>
  <c r="M285" i="3"/>
  <c r="L285" i="3"/>
  <c r="L257" i="3"/>
  <c r="AS257" i="3" s="1"/>
  <c r="M257" i="3"/>
  <c r="K257" i="3"/>
  <c r="AR257" i="3"/>
  <c r="M225" i="3"/>
  <c r="AR225" i="3"/>
  <c r="L225" i="3"/>
  <c r="AS225" i="3" s="1"/>
  <c r="K225" i="3"/>
  <c r="M352" i="3"/>
  <c r="AR352" i="3"/>
  <c r="H352" i="3" s="1"/>
  <c r="J352" i="3"/>
  <c r="L352" i="3"/>
  <c r="K352" i="3"/>
  <c r="L244" i="3"/>
  <c r="K244" i="3"/>
  <c r="J244" i="3"/>
  <c r="AR244" i="3"/>
  <c r="I244" i="3" s="1"/>
  <c r="M244" i="3"/>
  <c r="M267" i="3"/>
  <c r="L267" i="3"/>
  <c r="AS267" i="3" s="1"/>
  <c r="K267" i="3"/>
  <c r="AR267" i="3"/>
  <c r="K262" i="3"/>
  <c r="AR262" i="3"/>
  <c r="I262" i="3" s="1"/>
  <c r="J262" i="3"/>
  <c r="M262" i="3"/>
  <c r="L262" i="3"/>
  <c r="AR82" i="3"/>
  <c r="I82" i="3" s="1"/>
  <c r="J82" i="3"/>
  <c r="M82" i="3"/>
  <c r="L82" i="3"/>
  <c r="K82" i="3"/>
  <c r="BE38" i="3"/>
  <c r="F38" i="3" s="1"/>
  <c r="K280" i="3"/>
  <c r="M280" i="3"/>
  <c r="L280" i="3"/>
  <c r="J280" i="3"/>
  <c r="AR280" i="3"/>
  <c r="I280" i="3" s="1"/>
  <c r="M229" i="3"/>
  <c r="L229" i="3"/>
  <c r="K229" i="3"/>
  <c r="J229" i="3"/>
  <c r="AR229" i="3"/>
  <c r="H229" i="3" s="1"/>
  <c r="M88" i="3"/>
  <c r="L88" i="3"/>
  <c r="K88" i="3"/>
  <c r="AR88" i="3"/>
  <c r="H88" i="3" s="1"/>
  <c r="J88" i="3"/>
  <c r="M84" i="3"/>
  <c r="L84" i="3"/>
  <c r="AS84" i="3" s="1"/>
  <c r="K84" i="3"/>
  <c r="AR84" i="3"/>
  <c r="M43" i="3"/>
  <c r="L43" i="3"/>
  <c r="K43" i="3"/>
  <c r="J43" i="3"/>
  <c r="AR43" i="3"/>
  <c r="I43" i="3" s="1"/>
  <c r="M120" i="3"/>
  <c r="L120" i="3"/>
  <c r="K120" i="3"/>
  <c r="AR120" i="3"/>
  <c r="I120" i="3" s="1"/>
  <c r="J120" i="3"/>
  <c r="K10" i="3"/>
  <c r="L10" i="3"/>
  <c r="AR10" i="3"/>
  <c r="I10" i="3" s="1"/>
  <c r="J10" i="3"/>
  <c r="M10" i="3"/>
  <c r="K147" i="3"/>
  <c r="AR147" i="3"/>
  <c r="L147" i="3"/>
  <c r="AS147" i="3" s="1"/>
  <c r="M147" i="3"/>
  <c r="L239" i="3"/>
  <c r="M239" i="3"/>
  <c r="K239" i="3"/>
  <c r="J239" i="3"/>
  <c r="AR239" i="3"/>
  <c r="H239" i="3" s="1"/>
  <c r="AR160" i="3"/>
  <c r="I160" i="3" s="1"/>
  <c r="J160" i="3"/>
  <c r="M160" i="3"/>
  <c r="K160" i="3"/>
  <c r="L160" i="3"/>
  <c r="AR237" i="3"/>
  <c r="H237" i="3" s="1"/>
  <c r="J237" i="3"/>
  <c r="M237" i="3"/>
  <c r="L237" i="3"/>
  <c r="K237" i="3"/>
  <c r="M342" i="3"/>
  <c r="L342" i="3"/>
  <c r="K342" i="3"/>
  <c r="AR342" i="3"/>
  <c r="H342" i="3" s="1"/>
  <c r="J342" i="3"/>
  <c r="M334" i="3"/>
  <c r="K334" i="3"/>
  <c r="AR334" i="3"/>
  <c r="L334" i="3"/>
  <c r="AS334" i="3" s="1"/>
  <c r="M253" i="3"/>
  <c r="L253" i="3"/>
  <c r="AS253" i="3" s="1"/>
  <c r="K253" i="3"/>
  <c r="AR253" i="3"/>
  <c r="AR235" i="3"/>
  <c r="L235" i="3"/>
  <c r="AS235" i="3" s="1"/>
  <c r="K235" i="3"/>
  <c r="M235" i="3"/>
  <c r="L313" i="3"/>
  <c r="J313" i="3"/>
  <c r="K313" i="3"/>
  <c r="AR313" i="3"/>
  <c r="I313" i="3" s="1"/>
  <c r="M313" i="3"/>
  <c r="M208" i="3"/>
  <c r="AR208" i="3"/>
  <c r="L208" i="3"/>
  <c r="AS208" i="3" s="1"/>
  <c r="K208" i="3"/>
  <c r="L250" i="3"/>
  <c r="M250" i="3"/>
  <c r="K250" i="3"/>
  <c r="J250" i="3"/>
  <c r="AR250" i="3"/>
  <c r="H250" i="3" s="1"/>
  <c r="L326" i="3"/>
  <c r="AR326" i="3"/>
  <c r="I326" i="3" s="1"/>
  <c r="J326" i="3"/>
  <c r="M326" i="3"/>
  <c r="K326" i="3"/>
  <c r="M340" i="3"/>
  <c r="AR340" i="3"/>
  <c r="L340" i="3"/>
  <c r="AS340" i="3" s="1"/>
  <c r="K340" i="3"/>
  <c r="M394" i="3"/>
  <c r="L394" i="3"/>
  <c r="K394" i="3"/>
  <c r="AR394" i="3"/>
  <c r="H394" i="3" s="1"/>
  <c r="J394" i="3"/>
  <c r="M424" i="3"/>
  <c r="L424" i="3"/>
  <c r="AS424" i="3" s="1"/>
  <c r="K424" i="3"/>
  <c r="AR424" i="3"/>
  <c r="M399" i="3"/>
  <c r="L399" i="3"/>
  <c r="K399" i="3"/>
  <c r="J399" i="3"/>
  <c r="AR399" i="3"/>
  <c r="I399" i="3" s="1"/>
  <c r="L125" i="3"/>
  <c r="AS125" i="3" s="1"/>
  <c r="M125" i="3"/>
  <c r="K125" i="3"/>
  <c r="AR125" i="3"/>
  <c r="AR78" i="3"/>
  <c r="I78" i="3" s="1"/>
  <c r="J78" i="3"/>
  <c r="M78" i="3"/>
  <c r="K78" i="3"/>
  <c r="L78" i="3"/>
  <c r="M67" i="3"/>
  <c r="L67" i="3"/>
  <c r="AS67" i="3" s="1"/>
  <c r="K67" i="3"/>
  <c r="AR67" i="3"/>
  <c r="BE308" i="3"/>
  <c r="F308" i="3" s="1"/>
  <c r="BE310" i="3"/>
  <c r="F310" i="3" s="1"/>
  <c r="BE408" i="3"/>
  <c r="F408" i="3" s="1"/>
  <c r="BE409" i="3"/>
  <c r="F409" i="3" s="1"/>
  <c r="M284" i="3"/>
  <c r="L284" i="3"/>
  <c r="K284" i="3"/>
  <c r="J284" i="3"/>
  <c r="AR284" i="3"/>
  <c r="I284" i="3" s="1"/>
  <c r="AR109" i="3"/>
  <c r="I109" i="3" s="1"/>
  <c r="J109" i="3"/>
  <c r="M109" i="3"/>
  <c r="L109" i="3"/>
  <c r="K109" i="3"/>
  <c r="AU36" i="3"/>
  <c r="AU209" i="3"/>
  <c r="AR90" i="3"/>
  <c r="M90" i="3"/>
  <c r="L90" i="3"/>
  <c r="AS90" i="3" s="1"/>
  <c r="K90" i="3"/>
  <c r="AU138" i="3"/>
  <c r="AU44" i="3"/>
  <c r="K136" i="3"/>
  <c r="AR136" i="3"/>
  <c r="H136" i="3" s="1"/>
  <c r="J136" i="3"/>
  <c r="M136" i="3"/>
  <c r="L136" i="3"/>
  <c r="BE281" i="3"/>
  <c r="F281" i="3" s="1"/>
  <c r="BC274" i="3"/>
  <c r="BE274" i="3" s="1"/>
  <c r="F274" i="3" s="1"/>
  <c r="BC142" i="3"/>
  <c r="BE142" i="3" s="1"/>
  <c r="F142" i="3" s="1"/>
  <c r="BC20" i="3"/>
  <c r="BC10" i="3"/>
  <c r="AU8" i="3"/>
  <c r="AS57" i="3"/>
  <c r="H27" i="3"/>
  <c r="H35" i="3"/>
  <c r="AU12" i="3"/>
  <c r="BC37" i="3"/>
  <c r="BE37" i="3" s="1"/>
  <c r="F37" i="3" s="1"/>
  <c r="AU18" i="3"/>
  <c r="BA55" i="3"/>
  <c r="D55" i="3"/>
  <c r="BC27" i="3"/>
  <c r="BD27" i="3" s="1"/>
  <c r="E27" i="3" s="1"/>
  <c r="BC229" i="3"/>
  <c r="BE229" i="3" s="1"/>
  <c r="F229" i="3" s="1"/>
  <c r="BC41" i="3"/>
  <c r="BC190" i="3"/>
  <c r="BC195" i="3"/>
  <c r="BE195" i="3" s="1"/>
  <c r="F195" i="3" s="1"/>
  <c r="BC273" i="3"/>
  <c r="BE273" i="3" s="1"/>
  <c r="F273" i="3" s="1"/>
  <c r="BC83" i="3"/>
  <c r="BE83" i="3" s="1"/>
  <c r="F83" i="3" s="1"/>
  <c r="BC249" i="3"/>
  <c r="BE249" i="3" s="1"/>
  <c r="F249" i="3" s="1"/>
  <c r="BC316" i="3"/>
  <c r="BE316" i="3" s="1"/>
  <c r="F316" i="3" s="1"/>
  <c r="BC236" i="3"/>
  <c r="BE236" i="3" s="1"/>
  <c r="F236" i="3" s="1"/>
  <c r="BC420" i="3"/>
  <c r="BE420" i="3" s="1"/>
  <c r="F420" i="3" s="1"/>
  <c r="BC334" i="3"/>
  <c r="BC337" i="3"/>
  <c r="BE337" i="3" s="1"/>
  <c r="F337" i="3" s="1"/>
  <c r="BC272" i="3"/>
  <c r="BC304" i="3"/>
  <c r="BE304" i="3" s="1"/>
  <c r="F304" i="3" s="1"/>
  <c r="BC384" i="3"/>
  <c r="BE384" i="3" s="1"/>
  <c r="F384" i="3" s="1"/>
  <c r="BC321" i="3"/>
  <c r="BE321" i="3" s="1"/>
  <c r="F321" i="3" s="1"/>
  <c r="BC363" i="3"/>
  <c r="M379" i="3"/>
  <c r="L379" i="3"/>
  <c r="AS379" i="3" s="1"/>
  <c r="K379" i="3"/>
  <c r="AR379" i="3"/>
  <c r="K271" i="3"/>
  <c r="AR271" i="3"/>
  <c r="H271" i="3" s="1"/>
  <c r="J271" i="3"/>
  <c r="M271" i="3"/>
  <c r="L271" i="3"/>
  <c r="M384" i="3"/>
  <c r="K384" i="3"/>
  <c r="L384" i="3"/>
  <c r="J384" i="3"/>
  <c r="AR384" i="3"/>
  <c r="H384" i="3" s="1"/>
  <c r="M261" i="3"/>
  <c r="L261" i="3"/>
  <c r="AS261" i="3" s="1"/>
  <c r="K261" i="3"/>
  <c r="AR261" i="3"/>
  <c r="K221" i="3"/>
  <c r="AR221" i="3"/>
  <c r="M221" i="3"/>
  <c r="L221" i="3"/>
  <c r="AS221" i="3" s="1"/>
  <c r="K294" i="3"/>
  <c r="AR294" i="3"/>
  <c r="I294" i="3" s="1"/>
  <c r="J294" i="3"/>
  <c r="M294" i="3"/>
  <c r="L294" i="3"/>
  <c r="L320" i="3"/>
  <c r="M320" i="3"/>
  <c r="K320" i="3"/>
  <c r="AR320" i="3"/>
  <c r="H320" i="3" s="1"/>
  <c r="J320" i="3"/>
  <c r="L203" i="3"/>
  <c r="AS203" i="3" s="1"/>
  <c r="AR203" i="3"/>
  <c r="M203" i="3"/>
  <c r="K203" i="3"/>
  <c r="L275" i="3"/>
  <c r="K275" i="3"/>
  <c r="J275" i="3"/>
  <c r="AR275" i="3"/>
  <c r="H275" i="3" s="1"/>
  <c r="M275" i="3"/>
  <c r="M295" i="3"/>
  <c r="L295" i="3"/>
  <c r="AS295" i="3" s="1"/>
  <c r="K295" i="3"/>
  <c r="AR295" i="3"/>
  <c r="K302" i="3"/>
  <c r="AR302" i="3"/>
  <c r="H302" i="3" s="1"/>
  <c r="J302" i="3"/>
  <c r="M302" i="3"/>
  <c r="L302" i="3"/>
  <c r="AR194" i="3"/>
  <c r="M194" i="3"/>
  <c r="L194" i="3"/>
  <c r="AS194" i="3" s="1"/>
  <c r="K194" i="3"/>
  <c r="K185" i="3"/>
  <c r="L185" i="3"/>
  <c r="J185" i="3"/>
  <c r="AR185" i="3"/>
  <c r="I185" i="3" s="1"/>
  <c r="M185" i="3"/>
  <c r="M201" i="3"/>
  <c r="L201" i="3"/>
  <c r="AS201" i="3" s="1"/>
  <c r="AR201" i="3"/>
  <c r="K201" i="3"/>
  <c r="K217" i="3"/>
  <c r="AR217" i="3"/>
  <c r="H217" i="3" s="1"/>
  <c r="M217" i="3"/>
  <c r="L217" i="3"/>
  <c r="J217" i="3"/>
  <c r="BE227" i="3"/>
  <c r="F227" i="3" s="1"/>
  <c r="K305" i="3"/>
  <c r="AR305" i="3"/>
  <c r="I305" i="3" s="1"/>
  <c r="J305" i="3"/>
  <c r="M305" i="3"/>
  <c r="L305" i="3"/>
  <c r="M145" i="3"/>
  <c r="L145" i="3"/>
  <c r="AS145" i="3" s="1"/>
  <c r="K145" i="3"/>
  <c r="AR145" i="3"/>
  <c r="L198" i="3"/>
  <c r="AS198" i="3" s="1"/>
  <c r="K198" i="3"/>
  <c r="AR198" i="3"/>
  <c r="M198" i="3"/>
  <c r="M119" i="3"/>
  <c r="L119" i="3"/>
  <c r="K119" i="3"/>
  <c r="AR119" i="3"/>
  <c r="I119" i="3" s="1"/>
  <c r="J119" i="3"/>
  <c r="AR36" i="3"/>
  <c r="M36" i="3"/>
  <c r="L36" i="3"/>
  <c r="AS36" i="3" s="1"/>
  <c r="K36" i="3"/>
  <c r="M2" i="3"/>
  <c r="L2" i="3"/>
  <c r="K2" i="3"/>
  <c r="AR2" i="3"/>
  <c r="H2" i="3" s="1"/>
  <c r="J2" i="3"/>
  <c r="AR168" i="3"/>
  <c r="H168" i="3" s="1"/>
  <c r="J168" i="3"/>
  <c r="M168" i="3"/>
  <c r="L168" i="3"/>
  <c r="K168" i="3"/>
  <c r="K54" i="3"/>
  <c r="AR54" i="3"/>
  <c r="H54" i="3" s="1"/>
  <c r="J54" i="3"/>
  <c r="L54" i="3"/>
  <c r="M54" i="3"/>
  <c r="M113" i="3"/>
  <c r="L113" i="3"/>
  <c r="K113" i="3"/>
  <c r="AR113" i="3"/>
  <c r="H113" i="3" s="1"/>
  <c r="J113" i="3"/>
  <c r="L140" i="3"/>
  <c r="K140" i="3"/>
  <c r="AR140" i="3"/>
  <c r="H140" i="3" s="1"/>
  <c r="J140" i="3"/>
  <c r="M140" i="3"/>
  <c r="L248" i="3"/>
  <c r="J248" i="3"/>
  <c r="AR248" i="3"/>
  <c r="H248" i="3" s="1"/>
  <c r="M248" i="3"/>
  <c r="K248" i="3"/>
  <c r="AR161" i="3"/>
  <c r="I161" i="3" s="1"/>
  <c r="J161" i="3"/>
  <c r="M161" i="3"/>
  <c r="K161" i="3"/>
  <c r="L161" i="3"/>
  <c r="K181" i="3"/>
  <c r="AR181" i="3"/>
  <c r="H181" i="3" s="1"/>
  <c r="M181" i="3"/>
  <c r="L181" i="3"/>
  <c r="J181" i="3"/>
  <c r="AR177" i="3"/>
  <c r="H177" i="3" s="1"/>
  <c r="J177" i="3"/>
  <c r="M177" i="3"/>
  <c r="L177" i="3"/>
  <c r="K177" i="3"/>
  <c r="L266" i="3"/>
  <c r="AS266" i="3" s="1"/>
  <c r="AR266" i="3"/>
  <c r="M266" i="3"/>
  <c r="K266" i="3"/>
  <c r="M349" i="3"/>
  <c r="AR349" i="3"/>
  <c r="I349" i="3" s="1"/>
  <c r="J349" i="3"/>
  <c r="L349" i="3"/>
  <c r="K349" i="3"/>
  <c r="K278" i="3"/>
  <c r="L278" i="3"/>
  <c r="J278" i="3"/>
  <c r="AR278" i="3"/>
  <c r="H278" i="3" s="1"/>
  <c r="M278" i="3"/>
  <c r="L317" i="3"/>
  <c r="J317" i="3"/>
  <c r="K317" i="3"/>
  <c r="AR317" i="3"/>
  <c r="I317" i="3" s="1"/>
  <c r="M317" i="3"/>
  <c r="M209" i="3"/>
  <c r="AR209" i="3"/>
  <c r="L209" i="3"/>
  <c r="AS209" i="3" s="1"/>
  <c r="K209" i="3"/>
  <c r="L204" i="3"/>
  <c r="AS204" i="3" s="1"/>
  <c r="M204" i="3"/>
  <c r="K204" i="3"/>
  <c r="AR204" i="3"/>
  <c r="K341" i="3"/>
  <c r="AR341" i="3"/>
  <c r="M341" i="3"/>
  <c r="L341" i="3"/>
  <c r="AS341" i="3" s="1"/>
  <c r="M360" i="3"/>
  <c r="L360" i="3"/>
  <c r="AS360" i="3" s="1"/>
  <c r="K360" i="3"/>
  <c r="AR360" i="3"/>
  <c r="M395" i="3"/>
  <c r="L395" i="3"/>
  <c r="K395" i="3"/>
  <c r="AR395" i="3"/>
  <c r="I395" i="3" s="1"/>
  <c r="J395" i="3"/>
  <c r="L400" i="3"/>
  <c r="AS400" i="3" s="1"/>
  <c r="K400" i="3"/>
  <c r="AR400" i="3"/>
  <c r="M400" i="3"/>
  <c r="AR430" i="3"/>
  <c r="H430" i="3" s="1"/>
  <c r="J430" i="3"/>
  <c r="M430" i="3"/>
  <c r="L430" i="3"/>
  <c r="K430" i="3"/>
  <c r="L124" i="3"/>
  <c r="AS124" i="3" s="1"/>
  <c r="AR124" i="3"/>
  <c r="M124" i="3"/>
  <c r="K124" i="3"/>
  <c r="BE75" i="3"/>
  <c r="F75" i="3" s="1"/>
  <c r="M14" i="3"/>
  <c r="L14" i="3"/>
  <c r="AS14" i="3" s="1"/>
  <c r="K14" i="3"/>
  <c r="AR14" i="3"/>
  <c r="BE51" i="3"/>
  <c r="F51" i="3" s="1"/>
  <c r="BE93" i="3"/>
  <c r="F93" i="3" s="1"/>
  <c r="BE311" i="3"/>
  <c r="F311" i="3" s="1"/>
  <c r="BE239" i="3"/>
  <c r="F239" i="3" s="1"/>
  <c r="BE318" i="3"/>
  <c r="F318" i="3" s="1"/>
  <c r="BE430" i="3"/>
  <c r="F430" i="3" s="1"/>
  <c r="BE410" i="3"/>
  <c r="F410" i="3" s="1"/>
  <c r="K277" i="3"/>
  <c r="M277" i="3"/>
  <c r="L277" i="3"/>
  <c r="J277" i="3"/>
  <c r="AR277" i="3"/>
  <c r="I277" i="3" s="1"/>
  <c r="AR128" i="3"/>
  <c r="I128" i="3" s="1"/>
  <c r="J128" i="3"/>
  <c r="M128" i="3"/>
  <c r="L128" i="3"/>
  <c r="K128" i="3"/>
  <c r="K100" i="3"/>
  <c r="AR100" i="3"/>
  <c r="M100" i="3"/>
  <c r="L100" i="3"/>
  <c r="AS100" i="3" s="1"/>
  <c r="L142" i="3"/>
  <c r="K142" i="3"/>
  <c r="AR142" i="3"/>
  <c r="H142" i="3" s="1"/>
  <c r="J142" i="3"/>
  <c r="M142" i="3"/>
  <c r="M222" i="3"/>
  <c r="L222" i="3"/>
  <c r="AS222" i="3" s="1"/>
  <c r="K222" i="3"/>
  <c r="AR222" i="3"/>
  <c r="L106" i="3"/>
  <c r="AS106" i="3" s="1"/>
  <c r="K106" i="3"/>
  <c r="AR106" i="3"/>
  <c r="M106" i="3"/>
  <c r="AU72" i="3"/>
  <c r="AU41" i="3"/>
  <c r="M31" i="3"/>
  <c r="L31" i="3"/>
  <c r="AS31" i="3" s="1"/>
  <c r="K31" i="3"/>
  <c r="AR31" i="3"/>
  <c r="K279" i="3"/>
  <c r="M279" i="3"/>
  <c r="L279" i="3"/>
  <c r="J279" i="3"/>
  <c r="AR279" i="3"/>
  <c r="I279" i="3" s="1"/>
  <c r="BC121" i="3"/>
  <c r="BE121" i="3" s="1"/>
  <c r="F121" i="3" s="1"/>
  <c r="AU131" i="3"/>
  <c r="BE131" i="3" s="1"/>
  <c r="F131" i="3" s="1"/>
  <c r="BA61" i="3"/>
  <c r="D61" i="3"/>
  <c r="AU15" i="3"/>
  <c r="BC146" i="3"/>
  <c r="BE146" i="3" s="1"/>
  <c r="F146" i="3" s="1"/>
  <c r="BC32" i="3"/>
  <c r="AU54" i="3"/>
  <c r="BE54" i="3" s="1"/>
  <c r="F54" i="3" s="1"/>
  <c r="BC22" i="3"/>
  <c r="AS3" i="3"/>
  <c r="D42" i="3"/>
  <c r="BA42" i="3"/>
  <c r="BC15" i="3"/>
  <c r="BC57" i="3"/>
  <c r="BE57" i="3" s="1"/>
  <c r="F57" i="3" s="1"/>
  <c r="BC29" i="3"/>
  <c r="BC44" i="3"/>
  <c r="BC232" i="3"/>
  <c r="BE232" i="3" s="1"/>
  <c r="F232" i="3" s="1"/>
  <c r="BC36" i="3"/>
  <c r="BC147" i="3"/>
  <c r="BC80" i="3"/>
  <c r="BC171" i="3"/>
  <c r="BE171" i="3" s="1"/>
  <c r="F171" i="3" s="1"/>
  <c r="BC233" i="3"/>
  <c r="BE233" i="3" s="1"/>
  <c r="F233" i="3" s="1"/>
  <c r="BC320" i="3"/>
  <c r="BE320" i="3" s="1"/>
  <c r="F320" i="3" s="1"/>
  <c r="BC246" i="3"/>
  <c r="BE246" i="3" s="1"/>
  <c r="F246" i="3" s="1"/>
  <c r="BC255" i="3"/>
  <c r="BE255" i="3" s="1"/>
  <c r="F255" i="3" s="1"/>
  <c r="BC329" i="3"/>
  <c r="BE329" i="3" s="1"/>
  <c r="F329" i="3" s="1"/>
  <c r="BC283" i="3"/>
  <c r="BE283" i="3" s="1"/>
  <c r="F283" i="3" s="1"/>
  <c r="BC305" i="3"/>
  <c r="BE305" i="3" s="1"/>
  <c r="F305" i="3" s="1"/>
  <c r="BC402" i="3"/>
  <c r="BE402" i="3" s="1"/>
  <c r="F402" i="3" s="1"/>
  <c r="BC405" i="3"/>
  <c r="BE405" i="3" s="1"/>
  <c r="F405" i="3" s="1"/>
  <c r="BC412" i="3"/>
  <c r="BE412" i="3" s="1"/>
  <c r="F412" i="3" s="1"/>
  <c r="BC421" i="3"/>
  <c r="BE421" i="3" s="1"/>
  <c r="F421" i="3" s="1"/>
  <c r="L256" i="3"/>
  <c r="AS256" i="3" s="1"/>
  <c r="AR256" i="3"/>
  <c r="M256" i="3"/>
  <c r="K256" i="3"/>
  <c r="K300" i="3"/>
  <c r="AR300" i="3"/>
  <c r="I300" i="3" s="1"/>
  <c r="J300" i="3"/>
  <c r="M300" i="3"/>
  <c r="L300" i="3"/>
  <c r="L316" i="3"/>
  <c r="M316" i="3"/>
  <c r="K316" i="3"/>
  <c r="AR316" i="3"/>
  <c r="I316" i="3" s="1"/>
  <c r="J316" i="3"/>
  <c r="L199" i="3"/>
  <c r="AS199" i="3" s="1"/>
  <c r="K199" i="3"/>
  <c r="AR199" i="3"/>
  <c r="M199" i="3"/>
  <c r="M268" i="3"/>
  <c r="L268" i="3"/>
  <c r="AS268" i="3" s="1"/>
  <c r="K268" i="3"/>
  <c r="AR268" i="3"/>
  <c r="M286" i="3"/>
  <c r="L286" i="3"/>
  <c r="K286" i="3"/>
  <c r="AR286" i="3"/>
  <c r="I286" i="3" s="1"/>
  <c r="J286" i="3"/>
  <c r="K210" i="3"/>
  <c r="AR210" i="3"/>
  <c r="M210" i="3"/>
  <c r="L210" i="3"/>
  <c r="AS210" i="3" s="1"/>
  <c r="K215" i="3"/>
  <c r="M215" i="3"/>
  <c r="L215" i="3"/>
  <c r="J215" i="3"/>
  <c r="AR215" i="3"/>
  <c r="I215" i="3" s="1"/>
  <c r="L241" i="3"/>
  <c r="M241" i="3"/>
  <c r="J241" i="3"/>
  <c r="AR241" i="3"/>
  <c r="I241" i="3" s="1"/>
  <c r="K241" i="3"/>
  <c r="K283" i="3"/>
  <c r="AR283" i="3"/>
  <c r="M283" i="3"/>
  <c r="L283" i="3"/>
  <c r="AS283" i="3" s="1"/>
  <c r="L245" i="3"/>
  <c r="AR245" i="3"/>
  <c r="I245" i="3" s="1"/>
  <c r="M245" i="3"/>
  <c r="K245" i="3"/>
  <c r="J245" i="3"/>
  <c r="K234" i="3"/>
  <c r="AR234" i="3"/>
  <c r="M234" i="3"/>
  <c r="L234" i="3"/>
  <c r="AS234" i="3" s="1"/>
  <c r="M118" i="3"/>
  <c r="L118" i="3"/>
  <c r="K118" i="3"/>
  <c r="AR118" i="3"/>
  <c r="I118" i="3" s="1"/>
  <c r="J118" i="3"/>
  <c r="AR79" i="3"/>
  <c r="H79" i="3" s="1"/>
  <c r="J79" i="3"/>
  <c r="M79" i="3"/>
  <c r="L79" i="3"/>
  <c r="K79" i="3"/>
  <c r="AR167" i="3"/>
  <c r="H167" i="3" s="1"/>
  <c r="J167" i="3"/>
  <c r="M167" i="3"/>
  <c r="L167" i="3"/>
  <c r="K167" i="3"/>
  <c r="M112" i="3"/>
  <c r="L112" i="3"/>
  <c r="K112" i="3"/>
  <c r="AR112" i="3"/>
  <c r="I112" i="3" s="1"/>
  <c r="J112" i="3"/>
  <c r="K131" i="3"/>
  <c r="AR131" i="3"/>
  <c r="I131" i="3" s="1"/>
  <c r="J131" i="3"/>
  <c r="M131" i="3"/>
  <c r="L131" i="3"/>
  <c r="K53" i="3"/>
  <c r="AR53" i="3"/>
  <c r="H53" i="3" s="1"/>
  <c r="J53" i="3"/>
  <c r="L53" i="3"/>
  <c r="M53" i="3"/>
  <c r="AR170" i="3"/>
  <c r="H170" i="3" s="1"/>
  <c r="J170" i="3"/>
  <c r="M170" i="3"/>
  <c r="L170" i="3"/>
  <c r="K170" i="3"/>
  <c r="BE139" i="3"/>
  <c r="F139" i="3" s="1"/>
  <c r="L73" i="3"/>
  <c r="K73" i="3"/>
  <c r="AR73" i="3"/>
  <c r="I73" i="3" s="1"/>
  <c r="J73" i="3"/>
  <c r="M73" i="3"/>
  <c r="L226" i="3"/>
  <c r="AS226" i="3" s="1"/>
  <c r="K226" i="3"/>
  <c r="M226" i="3"/>
  <c r="AR226" i="3"/>
  <c r="K218" i="3"/>
  <c r="M218" i="3"/>
  <c r="L218" i="3"/>
  <c r="J218" i="3"/>
  <c r="AR218" i="3"/>
  <c r="I218" i="3" s="1"/>
  <c r="AR162" i="3"/>
  <c r="I162" i="3" s="1"/>
  <c r="J162" i="3"/>
  <c r="M162" i="3"/>
  <c r="K162" i="3"/>
  <c r="L162" i="3"/>
  <c r="M190" i="3"/>
  <c r="L190" i="3"/>
  <c r="AS190" i="3" s="1"/>
  <c r="K190" i="3"/>
  <c r="AR190" i="3"/>
  <c r="K188" i="3"/>
  <c r="M188" i="3"/>
  <c r="L188" i="3"/>
  <c r="J188" i="3"/>
  <c r="AR188" i="3"/>
  <c r="H188" i="3" s="1"/>
  <c r="K179" i="3"/>
  <c r="L179" i="3"/>
  <c r="AR179" i="3"/>
  <c r="H179" i="3" s="1"/>
  <c r="M179" i="3"/>
  <c r="J179" i="3"/>
  <c r="L331" i="3"/>
  <c r="AS331" i="3" s="1"/>
  <c r="AR331" i="3"/>
  <c r="M331" i="3"/>
  <c r="K331" i="3"/>
  <c r="L205" i="3"/>
  <c r="K205" i="3"/>
  <c r="J205" i="3"/>
  <c r="AR205" i="3"/>
  <c r="I205" i="3" s="1"/>
  <c r="M205" i="3"/>
  <c r="L296" i="3"/>
  <c r="J296" i="3"/>
  <c r="K296" i="3"/>
  <c r="AR296" i="3"/>
  <c r="H296" i="3" s="1"/>
  <c r="M296" i="3"/>
  <c r="K213" i="3"/>
  <c r="J213" i="3"/>
  <c r="AR213" i="3"/>
  <c r="I213" i="3" s="1"/>
  <c r="M213" i="3"/>
  <c r="L213" i="3"/>
  <c r="L346" i="3"/>
  <c r="K346" i="3"/>
  <c r="AR346" i="3"/>
  <c r="I346" i="3" s="1"/>
  <c r="J346" i="3"/>
  <c r="M346" i="3"/>
  <c r="M381" i="3"/>
  <c r="L381" i="3"/>
  <c r="AS381" i="3" s="1"/>
  <c r="K381" i="3"/>
  <c r="AR381" i="3"/>
  <c r="M408" i="3"/>
  <c r="L408" i="3"/>
  <c r="AS408" i="3" s="1"/>
  <c r="K408" i="3"/>
  <c r="AR408" i="3"/>
  <c r="M409" i="3"/>
  <c r="L409" i="3"/>
  <c r="K409" i="3"/>
  <c r="AR409" i="3"/>
  <c r="I409" i="3" s="1"/>
  <c r="J409" i="3"/>
  <c r="M432" i="3"/>
  <c r="L432" i="3"/>
  <c r="AS432" i="3" s="1"/>
  <c r="AR432" i="3"/>
  <c r="K432" i="3"/>
  <c r="M122" i="3"/>
  <c r="L122" i="3"/>
  <c r="K122" i="3"/>
  <c r="AR122" i="3"/>
  <c r="I122" i="3" s="1"/>
  <c r="J122" i="3"/>
  <c r="M97" i="3"/>
  <c r="L97" i="3"/>
  <c r="K97" i="3"/>
  <c r="AR97" i="3"/>
  <c r="H97" i="3" s="1"/>
  <c r="J97" i="3"/>
  <c r="BE74" i="3"/>
  <c r="F74" i="3" s="1"/>
  <c r="M18" i="3"/>
  <c r="L18" i="3"/>
  <c r="K18" i="3"/>
  <c r="AR18" i="3"/>
  <c r="I18" i="3" s="1"/>
  <c r="J18" i="3"/>
  <c r="M224" i="3"/>
  <c r="L224" i="3"/>
  <c r="AR224" i="3"/>
  <c r="I224" i="3" s="1"/>
  <c r="J224" i="3"/>
  <c r="K224" i="3"/>
  <c r="BE182" i="3"/>
  <c r="F182" i="3" s="1"/>
  <c r="BE97" i="3"/>
  <c r="F97" i="3" s="1"/>
  <c r="BE122" i="3"/>
  <c r="F122" i="3" s="1"/>
  <c r="BE315" i="3"/>
  <c r="F315" i="3" s="1"/>
  <c r="BE326" i="3"/>
  <c r="F326" i="3" s="1"/>
  <c r="BE261" i="3"/>
  <c r="F261" i="3" s="1"/>
  <c r="BE293" i="3"/>
  <c r="F293" i="3" s="1"/>
  <c r="BE415" i="3"/>
  <c r="F415" i="3" s="1"/>
  <c r="BE411" i="3"/>
  <c r="F411" i="3" s="1"/>
  <c r="AR108" i="3"/>
  <c r="H108" i="3" s="1"/>
  <c r="J108" i="3"/>
  <c r="M108" i="3"/>
  <c r="L108" i="3"/>
  <c r="K108" i="3"/>
  <c r="M107" i="3"/>
  <c r="L107" i="3"/>
  <c r="AS107" i="3" s="1"/>
  <c r="K107" i="3"/>
  <c r="AR107" i="3"/>
  <c r="K49" i="3"/>
  <c r="AR49" i="3"/>
  <c r="L49" i="3"/>
  <c r="AS49" i="3" s="1"/>
  <c r="M49" i="3"/>
  <c r="M264" i="3"/>
  <c r="L264" i="3"/>
  <c r="K264" i="3"/>
  <c r="J264" i="3"/>
  <c r="AR264" i="3"/>
  <c r="H264" i="3" s="1"/>
  <c r="M104" i="3"/>
  <c r="L104" i="3"/>
  <c r="K104" i="3"/>
  <c r="AR104" i="3"/>
  <c r="I104" i="3" s="1"/>
  <c r="J104" i="3"/>
  <c r="M77" i="3"/>
  <c r="L77" i="3"/>
  <c r="AS77" i="3" s="1"/>
  <c r="K77" i="3"/>
  <c r="AR77" i="3"/>
  <c r="L71" i="3"/>
  <c r="AS71" i="3" s="1"/>
  <c r="K71" i="3"/>
  <c r="AR71" i="3"/>
  <c r="M71" i="3"/>
  <c r="M13" i="3"/>
  <c r="L13" i="3"/>
  <c r="K13" i="3"/>
  <c r="AR13" i="3"/>
  <c r="H13" i="3" s="1"/>
  <c r="J13" i="3"/>
  <c r="K197" i="3"/>
  <c r="AR197" i="3"/>
  <c r="M197" i="3"/>
  <c r="L197" i="3"/>
  <c r="AS197" i="3" s="1"/>
  <c r="M117" i="3"/>
  <c r="L117" i="3"/>
  <c r="K117" i="3"/>
  <c r="AR117" i="3"/>
  <c r="I117" i="3" s="1"/>
  <c r="J117" i="3"/>
  <c r="AU80" i="3"/>
  <c r="BA23" i="3"/>
  <c r="D23" i="3"/>
  <c r="BC45" i="3"/>
  <c r="BE45" i="3" s="1"/>
  <c r="F45" i="3" s="1"/>
  <c r="D24" i="3"/>
  <c r="BA24" i="3"/>
  <c r="BC12" i="3"/>
  <c r="BC43" i="3"/>
  <c r="AU21" i="3"/>
  <c r="AU3" i="3"/>
  <c r="BC4" i="3"/>
  <c r="BC59" i="3"/>
  <c r="BC226" i="3"/>
  <c r="BC60" i="3"/>
  <c r="BC47" i="3"/>
  <c r="BE47" i="3" s="1"/>
  <c r="F47" i="3" s="1"/>
  <c r="BC242" i="3"/>
  <c r="BE242" i="3" s="1"/>
  <c r="F242" i="3" s="1"/>
  <c r="BC84" i="3"/>
  <c r="BC243" i="3"/>
  <c r="BE243" i="3" s="1"/>
  <c r="F243" i="3" s="1"/>
  <c r="BC49" i="3"/>
  <c r="BE49" i="3" s="1"/>
  <c r="F49" i="3" s="1"/>
  <c r="BC262" i="3"/>
  <c r="BC144" i="3"/>
  <c r="BC179" i="3"/>
  <c r="BE179" i="3" s="1"/>
  <c r="F179" i="3" s="1"/>
  <c r="BC275" i="3"/>
  <c r="BE275" i="3" s="1"/>
  <c r="F275" i="3" s="1"/>
  <c r="BC323" i="3"/>
  <c r="BE323" i="3" s="1"/>
  <c r="F323" i="3" s="1"/>
  <c r="BC254" i="3"/>
  <c r="BE254" i="3" s="1"/>
  <c r="F254" i="3" s="1"/>
  <c r="BC234" i="3"/>
  <c r="BE234" i="3" s="1"/>
  <c r="F234" i="3" s="1"/>
  <c r="BC192" i="3"/>
  <c r="BE192" i="3" s="1"/>
  <c r="F192" i="3" s="1"/>
  <c r="BC336" i="3"/>
  <c r="BE336" i="3" s="1"/>
  <c r="F336" i="3" s="1"/>
  <c r="BC290" i="3"/>
  <c r="BE290" i="3" s="1"/>
  <c r="F290" i="3" s="1"/>
  <c r="BC289" i="3"/>
  <c r="BE289" i="3" s="1"/>
  <c r="F289" i="3" s="1"/>
  <c r="BC406" i="3"/>
  <c r="BE406" i="3" s="1"/>
  <c r="F406" i="3" s="1"/>
  <c r="BC413" i="3"/>
  <c r="BE413" i="3" s="1"/>
  <c r="F413" i="3" s="1"/>
  <c r="BC386" i="3"/>
  <c r="BC422" i="3"/>
  <c r="BE422" i="3" s="1"/>
  <c r="F422" i="3" s="1"/>
  <c r="L364" i="3"/>
  <c r="K364" i="3"/>
  <c r="AR364" i="3"/>
  <c r="H364" i="3" s="1"/>
  <c r="J364" i="3"/>
  <c r="M364" i="3"/>
  <c r="BE334" i="3"/>
  <c r="F334" i="3" s="1"/>
  <c r="M359" i="3"/>
  <c r="L359" i="3"/>
  <c r="K359" i="3"/>
  <c r="AR359" i="3"/>
  <c r="H359" i="3" s="1"/>
  <c r="J359" i="3"/>
  <c r="L357" i="3"/>
  <c r="K357" i="3"/>
  <c r="AR357" i="3"/>
  <c r="I357" i="3" s="1"/>
  <c r="M357" i="3"/>
  <c r="J357" i="3"/>
  <c r="M406" i="3"/>
  <c r="L406" i="3"/>
  <c r="K406" i="3"/>
  <c r="AR406" i="3"/>
  <c r="H406" i="3" s="1"/>
  <c r="J406" i="3"/>
  <c r="M298" i="3"/>
  <c r="K298" i="3"/>
  <c r="AR298" i="3"/>
  <c r="L298" i="3"/>
  <c r="AS298" i="3" s="1"/>
  <c r="K289" i="3"/>
  <c r="AR289" i="3"/>
  <c r="I289" i="3" s="1"/>
  <c r="J289" i="3"/>
  <c r="M289" i="3"/>
  <c r="L289" i="3"/>
  <c r="AR348" i="3"/>
  <c r="M348" i="3"/>
  <c r="L348" i="3"/>
  <c r="AS348" i="3" s="1"/>
  <c r="K348" i="3"/>
  <c r="L312" i="3"/>
  <c r="M312" i="3"/>
  <c r="K312" i="3"/>
  <c r="AR312" i="3"/>
  <c r="H312" i="3" s="1"/>
  <c r="J312" i="3"/>
  <c r="K270" i="3"/>
  <c r="AR270" i="3"/>
  <c r="H270" i="3" s="1"/>
  <c r="J270" i="3"/>
  <c r="M270" i="3"/>
  <c r="L270" i="3"/>
  <c r="BE271" i="3"/>
  <c r="F271" i="3" s="1"/>
  <c r="BE183" i="3"/>
  <c r="F183" i="3" s="1"/>
  <c r="K212" i="3"/>
  <c r="M212" i="3"/>
  <c r="L212" i="3"/>
  <c r="J212" i="3"/>
  <c r="AR212" i="3"/>
  <c r="H212" i="3" s="1"/>
  <c r="L232" i="3"/>
  <c r="AS232" i="3" s="1"/>
  <c r="M232" i="3"/>
  <c r="K232" i="3"/>
  <c r="AR232" i="3"/>
  <c r="M156" i="3"/>
  <c r="L156" i="3"/>
  <c r="AS156" i="3" s="1"/>
  <c r="AR156" i="3"/>
  <c r="K156" i="3"/>
  <c r="BE174" i="3"/>
  <c r="F174" i="3" s="1"/>
  <c r="L200" i="3"/>
  <c r="K200" i="3"/>
  <c r="AR200" i="3"/>
  <c r="I200" i="3" s="1"/>
  <c r="J200" i="3"/>
  <c r="M200" i="3"/>
  <c r="L141" i="3"/>
  <c r="K141" i="3"/>
  <c r="AR141" i="3"/>
  <c r="H141" i="3" s="1"/>
  <c r="J141" i="3"/>
  <c r="M141" i="3"/>
  <c r="M51" i="3"/>
  <c r="L51" i="3"/>
  <c r="AS51" i="3" s="1"/>
  <c r="AR51" i="3"/>
  <c r="K51" i="3"/>
  <c r="M111" i="3"/>
  <c r="L111" i="3"/>
  <c r="K111" i="3"/>
  <c r="AR111" i="3"/>
  <c r="H111" i="3" s="1"/>
  <c r="J111" i="3"/>
  <c r="AR144" i="3"/>
  <c r="M144" i="3"/>
  <c r="L144" i="3"/>
  <c r="AS144" i="3" s="1"/>
  <c r="K144" i="3"/>
  <c r="K52" i="3"/>
  <c r="AR52" i="3"/>
  <c r="H52" i="3" s="1"/>
  <c r="J52" i="3"/>
  <c r="L52" i="3"/>
  <c r="M52" i="3"/>
  <c r="L148" i="3"/>
  <c r="M148" i="3"/>
  <c r="K148" i="3"/>
  <c r="J148" i="3"/>
  <c r="AR148" i="3"/>
  <c r="I148" i="3" s="1"/>
  <c r="K274" i="3"/>
  <c r="M274" i="3"/>
  <c r="L274" i="3"/>
  <c r="J274" i="3"/>
  <c r="AR274" i="3"/>
  <c r="I274" i="3" s="1"/>
  <c r="AR163" i="3"/>
  <c r="H163" i="3" s="1"/>
  <c r="J163" i="3"/>
  <c r="M163" i="3"/>
  <c r="K163" i="3"/>
  <c r="L163" i="3"/>
  <c r="K214" i="3"/>
  <c r="M214" i="3"/>
  <c r="L214" i="3"/>
  <c r="J214" i="3"/>
  <c r="AR214" i="3"/>
  <c r="I214" i="3" s="1"/>
  <c r="M195" i="3"/>
  <c r="L195" i="3"/>
  <c r="AS195" i="3" s="1"/>
  <c r="K195" i="3"/>
  <c r="AR195" i="3"/>
  <c r="K187" i="3"/>
  <c r="L187" i="3"/>
  <c r="AR187" i="3"/>
  <c r="H187" i="3" s="1"/>
  <c r="M187" i="3"/>
  <c r="J187" i="3"/>
  <c r="K173" i="3"/>
  <c r="AR173" i="3"/>
  <c r="M173" i="3"/>
  <c r="L173" i="3"/>
  <c r="AS173" i="3" s="1"/>
  <c r="AR207" i="3"/>
  <c r="L207" i="3"/>
  <c r="AS207" i="3" s="1"/>
  <c r="K207" i="3"/>
  <c r="M207" i="3"/>
  <c r="L324" i="3"/>
  <c r="J324" i="3"/>
  <c r="K324" i="3"/>
  <c r="AR324" i="3"/>
  <c r="H324" i="3" s="1"/>
  <c r="M324" i="3"/>
  <c r="M351" i="3"/>
  <c r="AR351" i="3"/>
  <c r="L351" i="3"/>
  <c r="AS351" i="3" s="1"/>
  <c r="K351" i="3"/>
  <c r="L308" i="3"/>
  <c r="K308" i="3"/>
  <c r="J308" i="3"/>
  <c r="AR308" i="3"/>
  <c r="I308" i="3" s="1"/>
  <c r="M308" i="3"/>
  <c r="M415" i="3"/>
  <c r="L415" i="3"/>
  <c r="AS415" i="3" s="1"/>
  <c r="K415" i="3"/>
  <c r="AR415" i="3"/>
  <c r="M391" i="3"/>
  <c r="L391" i="3"/>
  <c r="K391" i="3"/>
  <c r="AR391" i="3"/>
  <c r="H391" i="3" s="1"/>
  <c r="J391" i="3"/>
  <c r="M410" i="3"/>
  <c r="L410" i="3"/>
  <c r="K410" i="3"/>
  <c r="AR410" i="3"/>
  <c r="I410" i="3" s="1"/>
  <c r="J410" i="3"/>
  <c r="K382" i="3"/>
  <c r="AR382" i="3"/>
  <c r="M382" i="3"/>
  <c r="L382" i="3"/>
  <c r="AS382" i="3" s="1"/>
  <c r="K186" i="3"/>
  <c r="M186" i="3"/>
  <c r="L186" i="3"/>
  <c r="J186" i="3"/>
  <c r="AR186" i="3"/>
  <c r="I186" i="3" s="1"/>
  <c r="BE71" i="3"/>
  <c r="F71" i="3" s="1"/>
  <c r="M21" i="3"/>
  <c r="L21" i="3"/>
  <c r="K21" i="3"/>
  <c r="AR21" i="3"/>
  <c r="H21" i="3" s="1"/>
  <c r="J21" i="3"/>
  <c r="BE9" i="3"/>
  <c r="F9" i="3" s="1"/>
  <c r="BE101" i="3"/>
  <c r="F101" i="3" s="1"/>
  <c r="BE319" i="3"/>
  <c r="F319" i="3" s="1"/>
  <c r="BE257" i="3"/>
  <c r="F257" i="3" s="1"/>
  <c r="BE296" i="3"/>
  <c r="F296" i="3" s="1"/>
  <c r="BE309" i="3"/>
  <c r="F309" i="3" s="1"/>
  <c r="AU358" i="3"/>
  <c r="AU353" i="3"/>
  <c r="BE353" i="3" s="1"/>
  <c r="F353" i="3" s="1"/>
  <c r="AU396" i="3"/>
  <c r="BE396" i="3" s="1"/>
  <c r="F396" i="3" s="1"/>
  <c r="AR127" i="3"/>
  <c r="M127" i="3"/>
  <c r="L127" i="3"/>
  <c r="AS127" i="3" s="1"/>
  <c r="K127" i="3"/>
  <c r="M98" i="3"/>
  <c r="L98" i="3"/>
  <c r="K98" i="3"/>
  <c r="AR98" i="3"/>
  <c r="I98" i="3" s="1"/>
  <c r="J98" i="3"/>
  <c r="AU43" i="3"/>
  <c r="AU26" i="3"/>
  <c r="K152" i="3"/>
  <c r="AR152" i="3"/>
  <c r="M152" i="3"/>
  <c r="L152" i="3"/>
  <c r="AS152" i="3" s="1"/>
  <c r="BC103" i="3"/>
  <c r="BE103" i="3" s="1"/>
  <c r="F103" i="3" s="1"/>
  <c r="BC86" i="3"/>
  <c r="BE86" i="3" s="1"/>
  <c r="F86" i="3" s="1"/>
  <c r="AU159" i="3"/>
  <c r="BE159" i="3" s="1"/>
  <c r="F159" i="3" s="1"/>
  <c r="BC113" i="3"/>
  <c r="BE113" i="3" s="1"/>
  <c r="F113" i="3" s="1"/>
  <c r="M69" i="3"/>
  <c r="L69" i="3"/>
  <c r="AS69" i="3" s="1"/>
  <c r="K69" i="3"/>
  <c r="AR69" i="3"/>
  <c r="BC42" i="3"/>
  <c r="BD42" i="3" s="1"/>
  <c r="E42" i="3" s="1"/>
  <c r="H63" i="3"/>
  <c r="AU13" i="3"/>
  <c r="BE13" i="3" s="1"/>
  <c r="F13" i="3" s="1"/>
  <c r="BC40" i="3"/>
  <c r="BC5" i="3"/>
  <c r="AU10" i="3"/>
  <c r="H7" i="3"/>
  <c r="AU262" i="3"/>
  <c r="AU52" i="3"/>
  <c r="BC222" i="3"/>
  <c r="BE222" i="3" s="1"/>
  <c r="F222" i="3" s="1"/>
  <c r="BC58" i="3"/>
  <c r="BD58" i="3" s="1"/>
  <c r="E58" i="3" s="1"/>
  <c r="BC65" i="3"/>
  <c r="BE65" i="3" s="1"/>
  <c r="F65" i="3" s="1"/>
  <c r="BC63" i="3"/>
  <c r="BC123" i="3"/>
  <c r="BE123" i="3" s="1"/>
  <c r="F123" i="3" s="1"/>
  <c r="BC145" i="3"/>
  <c r="BE145" i="3" s="1"/>
  <c r="F145" i="3" s="1"/>
  <c r="BC295" i="3"/>
  <c r="BE295" i="3" s="1"/>
  <c r="F295" i="3" s="1"/>
  <c r="BC50" i="3"/>
  <c r="BC100" i="3"/>
  <c r="BE100" i="3" s="1"/>
  <c r="F100" i="3" s="1"/>
  <c r="BC90" i="3"/>
  <c r="BE90" i="3" s="1"/>
  <c r="F90" i="3" s="1"/>
  <c r="BC187" i="3"/>
  <c r="BE187" i="3" s="1"/>
  <c r="F187" i="3" s="1"/>
  <c r="BC278" i="3"/>
  <c r="BE278" i="3" s="1"/>
  <c r="F278" i="3" s="1"/>
  <c r="BC292" i="3"/>
  <c r="BC259" i="3"/>
  <c r="BE259" i="3" s="1"/>
  <c r="F259" i="3" s="1"/>
  <c r="BC276" i="3"/>
  <c r="BE276" i="3" s="1"/>
  <c r="F276" i="3" s="1"/>
  <c r="BC245" i="3"/>
  <c r="BE245" i="3" s="1"/>
  <c r="F245" i="3" s="1"/>
  <c r="BC330" i="3"/>
  <c r="BE330" i="3" s="1"/>
  <c r="F330" i="3" s="1"/>
  <c r="BC300" i="3"/>
  <c r="BE300" i="3" s="1"/>
  <c r="F300" i="3" s="1"/>
  <c r="BC306" i="3"/>
  <c r="BE306" i="3" s="1"/>
  <c r="F306" i="3" s="1"/>
  <c r="BC414" i="3"/>
  <c r="BE414" i="3" s="1"/>
  <c r="F414" i="3" s="1"/>
  <c r="BC387" i="3"/>
  <c r="BE387" i="3" s="1"/>
  <c r="F387" i="3" s="1"/>
  <c r="BC423" i="3"/>
  <c r="BE423" i="3" s="1"/>
  <c r="F423" i="3" s="1"/>
  <c r="M405" i="3"/>
  <c r="L405" i="3"/>
  <c r="K405" i="3"/>
  <c r="AR405" i="3"/>
  <c r="I405" i="3" s="1"/>
  <c r="J405" i="3"/>
  <c r="L330" i="3"/>
  <c r="AS330" i="3" s="1"/>
  <c r="M330" i="3"/>
  <c r="K330" i="3"/>
  <c r="AR330" i="3"/>
  <c r="BE363" i="3"/>
  <c r="F363" i="3" s="1"/>
  <c r="K303" i="3"/>
  <c r="AR303" i="3"/>
  <c r="I303" i="3" s="1"/>
  <c r="J303" i="3"/>
  <c r="M303" i="3"/>
  <c r="L303" i="3"/>
  <c r="AR380" i="3"/>
  <c r="M380" i="3"/>
  <c r="L380" i="3"/>
  <c r="AS380" i="3" s="1"/>
  <c r="K380" i="3"/>
  <c r="BE350" i="3"/>
  <c r="F350" i="3" s="1"/>
  <c r="L309" i="3"/>
  <c r="M309" i="3"/>
  <c r="K309" i="3"/>
  <c r="AR309" i="3"/>
  <c r="H309" i="3" s="1"/>
  <c r="J309" i="3"/>
  <c r="K307" i="3"/>
  <c r="AR307" i="3"/>
  <c r="H307" i="3" s="1"/>
  <c r="J307" i="3"/>
  <c r="L307" i="3"/>
  <c r="M307" i="3"/>
  <c r="AR422" i="3"/>
  <c r="H422" i="3" s="1"/>
  <c r="J422" i="3"/>
  <c r="M422" i="3"/>
  <c r="L422" i="3"/>
  <c r="K422" i="3"/>
  <c r="K281" i="3"/>
  <c r="M281" i="3"/>
  <c r="L281" i="3"/>
  <c r="AS281" i="3" s="1"/>
  <c r="AR281" i="3"/>
  <c r="L159" i="3"/>
  <c r="AS159" i="3" s="1"/>
  <c r="K159" i="3"/>
  <c r="AR159" i="3"/>
  <c r="M159" i="3"/>
  <c r="K211" i="3"/>
  <c r="M211" i="3"/>
  <c r="L211" i="3"/>
  <c r="AS211" i="3" s="1"/>
  <c r="AR211" i="3"/>
  <c r="L192" i="3"/>
  <c r="AS192" i="3" s="1"/>
  <c r="AR192" i="3"/>
  <c r="M192" i="3"/>
  <c r="K192" i="3"/>
  <c r="M350" i="3"/>
  <c r="AR350" i="3"/>
  <c r="I350" i="3" s="1"/>
  <c r="J350" i="3"/>
  <c r="L350" i="3"/>
  <c r="K350" i="3"/>
  <c r="BE186" i="3"/>
  <c r="F186" i="3" s="1"/>
  <c r="AR276" i="3"/>
  <c r="H276" i="3" s="1"/>
  <c r="M276" i="3"/>
  <c r="L276" i="3"/>
  <c r="M171" i="3"/>
  <c r="AR171" i="3"/>
  <c r="L171" i="3"/>
  <c r="AS171" i="3" s="1"/>
  <c r="K171" i="3"/>
  <c r="M110" i="3"/>
  <c r="L110" i="3"/>
  <c r="K110" i="3"/>
  <c r="AR110" i="3"/>
  <c r="I110" i="3" s="1"/>
  <c r="J110" i="3"/>
  <c r="L72" i="3"/>
  <c r="K72" i="3"/>
  <c r="AR72" i="3"/>
  <c r="H72" i="3" s="1"/>
  <c r="J72" i="3"/>
  <c r="M72" i="3"/>
  <c r="BE34" i="3"/>
  <c r="F34" i="3" s="1"/>
  <c r="AR166" i="3"/>
  <c r="H166" i="3" s="1"/>
  <c r="J166" i="3"/>
  <c r="M166" i="3"/>
  <c r="L166" i="3"/>
  <c r="K166" i="3"/>
  <c r="AR251" i="3"/>
  <c r="M251" i="3"/>
  <c r="L251" i="3"/>
  <c r="AS251" i="3" s="1"/>
  <c r="K251" i="3"/>
  <c r="M103" i="3"/>
  <c r="L103" i="3"/>
  <c r="K103" i="3"/>
  <c r="AR103" i="3"/>
  <c r="H103" i="3" s="1"/>
  <c r="J103" i="3"/>
  <c r="AR80" i="3"/>
  <c r="I80" i="3" s="1"/>
  <c r="J80" i="3"/>
  <c r="M80" i="3"/>
  <c r="L80" i="3"/>
  <c r="K80" i="3"/>
  <c r="L48" i="3"/>
  <c r="AS48" i="3" s="1"/>
  <c r="AR48" i="3"/>
  <c r="M48" i="3"/>
  <c r="K48" i="3"/>
  <c r="K30" i="3"/>
  <c r="AR30" i="3"/>
  <c r="H30" i="3" s="1"/>
  <c r="J30" i="3"/>
  <c r="L30" i="3"/>
  <c r="M30" i="3"/>
  <c r="K12" i="3"/>
  <c r="AR12" i="3"/>
  <c r="L12" i="3"/>
  <c r="AS12" i="3" s="1"/>
  <c r="M12" i="3"/>
  <c r="K154" i="3"/>
  <c r="M154" i="3"/>
  <c r="L154" i="3"/>
  <c r="J154" i="3"/>
  <c r="AR154" i="3"/>
  <c r="H154" i="3" s="1"/>
  <c r="L345" i="3"/>
  <c r="AS345" i="3" s="1"/>
  <c r="K345" i="3"/>
  <c r="AR345" i="3"/>
  <c r="M345" i="3"/>
  <c r="AR344" i="3"/>
  <c r="M344" i="3"/>
  <c r="L344" i="3"/>
  <c r="AS344" i="3" s="1"/>
  <c r="K344" i="3"/>
  <c r="AR164" i="3"/>
  <c r="H164" i="3" s="1"/>
  <c r="J164" i="3"/>
  <c r="M164" i="3"/>
  <c r="K164" i="3"/>
  <c r="L164" i="3"/>
  <c r="L158" i="3"/>
  <c r="AS158" i="3" s="1"/>
  <c r="AR158" i="3"/>
  <c r="M158" i="3"/>
  <c r="K158" i="3"/>
  <c r="L238" i="3"/>
  <c r="J238" i="3"/>
  <c r="AR238" i="3"/>
  <c r="I238" i="3" s="1"/>
  <c r="M238" i="3"/>
  <c r="K238" i="3"/>
  <c r="M196" i="3"/>
  <c r="L196" i="3"/>
  <c r="AS196" i="3" s="1"/>
  <c r="AR196" i="3"/>
  <c r="K196" i="3"/>
  <c r="K153" i="3"/>
  <c r="M153" i="3"/>
  <c r="L153" i="3"/>
  <c r="J153" i="3"/>
  <c r="AR153" i="3"/>
  <c r="H153" i="3" s="1"/>
  <c r="K216" i="3"/>
  <c r="L216" i="3"/>
  <c r="J216" i="3"/>
  <c r="AR216" i="3"/>
  <c r="H216" i="3" s="1"/>
  <c r="M216" i="3"/>
  <c r="K282" i="3"/>
  <c r="L282" i="3"/>
  <c r="AS282" i="3" s="1"/>
  <c r="AR282" i="3"/>
  <c r="M282" i="3"/>
  <c r="M327" i="3"/>
  <c r="AR327" i="3"/>
  <c r="L327" i="3"/>
  <c r="AS327" i="3" s="1"/>
  <c r="K327" i="3"/>
  <c r="L311" i="3"/>
  <c r="K311" i="3"/>
  <c r="J311" i="3"/>
  <c r="AR311" i="3"/>
  <c r="I311" i="3" s="1"/>
  <c r="M311" i="3"/>
  <c r="L291" i="3"/>
  <c r="AR291" i="3"/>
  <c r="H291" i="3" s="1"/>
  <c r="J291" i="3"/>
  <c r="M291" i="3"/>
  <c r="K291" i="3"/>
  <c r="M392" i="3"/>
  <c r="L392" i="3"/>
  <c r="K392" i="3"/>
  <c r="AR392" i="3"/>
  <c r="H392" i="3" s="1"/>
  <c r="J392" i="3"/>
  <c r="M411" i="3"/>
  <c r="L411" i="3"/>
  <c r="K411" i="3"/>
  <c r="AR411" i="3"/>
  <c r="I411" i="3" s="1"/>
  <c r="J411" i="3"/>
  <c r="K416" i="3"/>
  <c r="AR416" i="3"/>
  <c r="M416" i="3"/>
  <c r="L416" i="3"/>
  <c r="AS416" i="3" s="1"/>
  <c r="K180" i="3"/>
  <c r="M180" i="3"/>
  <c r="L180" i="3"/>
  <c r="J180" i="3"/>
  <c r="AR180" i="3"/>
  <c r="H180" i="3" s="1"/>
  <c r="M114" i="3"/>
  <c r="L114" i="3"/>
  <c r="K114" i="3"/>
  <c r="AR114" i="3"/>
  <c r="H114" i="3" s="1"/>
  <c r="J114" i="3"/>
  <c r="M20" i="3"/>
  <c r="L20" i="3"/>
  <c r="K20" i="3"/>
  <c r="AR20" i="3"/>
  <c r="I20" i="3" s="1"/>
  <c r="J20" i="3"/>
  <c r="BE198" i="3"/>
  <c r="F198" i="3" s="1"/>
  <c r="BE116" i="3"/>
  <c r="F116" i="3" s="1"/>
  <c r="BE272" i="3"/>
  <c r="F272" i="3" s="1"/>
  <c r="BE386" i="3"/>
  <c r="F386" i="3" s="1"/>
  <c r="BE379" i="3"/>
  <c r="F379" i="3" s="1"/>
  <c r="BE397" i="3"/>
  <c r="F397" i="3" s="1"/>
  <c r="K126" i="3"/>
  <c r="AR126" i="3"/>
  <c r="M126" i="3"/>
  <c r="L126" i="3"/>
  <c r="AS126" i="3" s="1"/>
  <c r="K130" i="3"/>
  <c r="AR130" i="3"/>
  <c r="L130" i="3"/>
  <c r="AS130" i="3" s="1"/>
  <c r="M130" i="3"/>
  <c r="M37" i="3"/>
  <c r="L37" i="3"/>
  <c r="K37" i="3"/>
  <c r="J37" i="3"/>
  <c r="AR37" i="3"/>
  <c r="I37" i="3" s="1"/>
  <c r="M102" i="3"/>
  <c r="L102" i="3"/>
  <c r="K102" i="3"/>
  <c r="AR102" i="3"/>
  <c r="I102" i="3" s="1"/>
  <c r="J102" i="3"/>
  <c r="AR81" i="3"/>
  <c r="H81" i="3" s="1"/>
  <c r="J81" i="3"/>
  <c r="M81" i="3"/>
  <c r="L81" i="3"/>
  <c r="K81" i="3"/>
  <c r="K50" i="3"/>
  <c r="AR50" i="3"/>
  <c r="H50" i="3" s="1"/>
  <c r="J50" i="3"/>
  <c r="M50" i="3"/>
  <c r="L50" i="3"/>
  <c r="AU153" i="3"/>
  <c r="BE153" i="3" s="1"/>
  <c r="F153" i="3" s="1"/>
  <c r="M92" i="3"/>
  <c r="L92" i="3"/>
  <c r="AS92" i="3" s="1"/>
  <c r="K92" i="3"/>
  <c r="AR92" i="3"/>
  <c r="AU39" i="3"/>
  <c r="BE39" i="3" s="1"/>
  <c r="F39" i="3" s="1"/>
  <c r="BC35" i="3"/>
  <c r="BE35" i="3" s="1"/>
  <c r="F35" i="3" s="1"/>
  <c r="AU28" i="3"/>
  <c r="AU25" i="3"/>
  <c r="BA62" i="3"/>
  <c r="D62" i="3"/>
  <c r="BC18" i="3"/>
  <c r="AU20" i="3"/>
  <c r="BC25" i="3"/>
  <c r="BC19" i="3"/>
  <c r="BC230" i="3"/>
  <c r="BE230" i="3" s="1"/>
  <c r="F230" i="3" s="1"/>
  <c r="BC11" i="3"/>
  <c r="BC31" i="3"/>
  <c r="BE31" i="3" s="1"/>
  <c r="F31" i="3" s="1"/>
  <c r="BC105" i="3"/>
  <c r="BE105" i="3" s="1"/>
  <c r="F105" i="3" s="1"/>
  <c r="BC173" i="3"/>
  <c r="BE173" i="3" s="1"/>
  <c r="F173" i="3" s="1"/>
  <c r="BC99" i="3"/>
  <c r="BE99" i="3" s="1"/>
  <c r="F99" i="3" s="1"/>
  <c r="BC231" i="3"/>
  <c r="BE231" i="3" s="1"/>
  <c r="F231" i="3" s="1"/>
  <c r="BC124" i="3"/>
  <c r="BE124" i="3" s="1"/>
  <c r="F124" i="3" s="1"/>
  <c r="BC228" i="3"/>
  <c r="BE228" i="3" s="1"/>
  <c r="F228" i="3" s="1"/>
  <c r="BC191" i="3"/>
  <c r="BE191" i="3" s="1"/>
  <c r="F191" i="3" s="1"/>
  <c r="BC256" i="3"/>
  <c r="BE256" i="3" s="1"/>
  <c r="F256" i="3" s="1"/>
  <c r="BC298" i="3"/>
  <c r="BE298" i="3" s="1"/>
  <c r="F298" i="3" s="1"/>
  <c r="BC301" i="3"/>
  <c r="BE301" i="3" s="1"/>
  <c r="F301" i="3" s="1"/>
  <c r="BC307" i="3"/>
  <c r="BE307" i="3" s="1"/>
  <c r="F307" i="3" s="1"/>
  <c r="BE8" i="3" l="1"/>
  <c r="F8" i="3" s="1"/>
  <c r="AS6" i="3"/>
  <c r="D6" i="3" s="1"/>
  <c r="H41" i="3"/>
  <c r="BE48" i="3"/>
  <c r="F48" i="3" s="1"/>
  <c r="BE358" i="3"/>
  <c r="F358" i="3" s="1"/>
  <c r="D27" i="3"/>
  <c r="BE66" i="3"/>
  <c r="F66" i="3" s="1"/>
  <c r="BE60" i="3"/>
  <c r="F60" i="3" s="1"/>
  <c r="AS63" i="3"/>
  <c r="I163" i="3"/>
  <c r="I40" i="3"/>
  <c r="AS40" i="3" s="1"/>
  <c r="BD40" i="3" s="1"/>
  <c r="E40" i="3" s="1"/>
  <c r="H57" i="3"/>
  <c r="BE226" i="3"/>
  <c r="F226" i="3" s="1"/>
  <c r="BE190" i="3"/>
  <c r="F190" i="3" s="1"/>
  <c r="BE138" i="3"/>
  <c r="F138" i="3" s="1"/>
  <c r="I39" i="3"/>
  <c r="AS39" i="3" s="1"/>
  <c r="BD39" i="3" s="1"/>
  <c r="E39" i="3" s="1"/>
  <c r="BD143" i="3"/>
  <c r="E143" i="3" s="1"/>
  <c r="BE133" i="3"/>
  <c r="F133" i="3" s="1"/>
  <c r="BE4" i="3"/>
  <c r="F4" i="3" s="1"/>
  <c r="BE3" i="3"/>
  <c r="F3" i="3" s="1"/>
  <c r="BE40" i="3"/>
  <c r="F40" i="3" s="1"/>
  <c r="D4" i="3"/>
  <c r="BE199" i="3"/>
  <c r="F199" i="3" s="1"/>
  <c r="BE218" i="3"/>
  <c r="F218" i="3" s="1"/>
  <c r="BE91" i="3"/>
  <c r="F91" i="3" s="1"/>
  <c r="H6" i="3"/>
  <c r="BE33" i="3"/>
  <c r="F33" i="3" s="1"/>
  <c r="BE21" i="3"/>
  <c r="F21" i="3" s="1"/>
  <c r="BE27" i="3"/>
  <c r="F27" i="3" s="1"/>
  <c r="D58" i="3"/>
  <c r="AS60" i="3"/>
  <c r="BE361" i="3"/>
  <c r="F361" i="3" s="1"/>
  <c r="AS32" i="3"/>
  <c r="BA32" i="3" s="1"/>
  <c r="H244" i="3"/>
  <c r="BE180" i="3"/>
  <c r="F180" i="3" s="1"/>
  <c r="BE152" i="3"/>
  <c r="F152" i="3" s="1"/>
  <c r="BE67" i="3"/>
  <c r="F67" i="3" s="1"/>
  <c r="BD64" i="3"/>
  <c r="E64" i="3" s="1"/>
  <c r="BE401" i="3"/>
  <c r="F401" i="3" s="1"/>
  <c r="D64" i="3"/>
  <c r="D143" i="3"/>
  <c r="I404" i="3"/>
  <c r="BE92" i="3"/>
  <c r="F92" i="3" s="1"/>
  <c r="I114" i="3"/>
  <c r="H161" i="3"/>
  <c r="I72" i="3"/>
  <c r="AS72" i="3" s="1"/>
  <c r="I97" i="3"/>
  <c r="D11" i="3"/>
  <c r="BE268" i="3"/>
  <c r="F268" i="3" s="1"/>
  <c r="BE32" i="3"/>
  <c r="F32" i="3" s="1"/>
  <c r="BD11" i="3"/>
  <c r="E11" i="3" s="1"/>
  <c r="BA6" i="3"/>
  <c r="AS44" i="3"/>
  <c r="AS7" i="3"/>
  <c r="BD7" i="3" s="1"/>
  <c r="E7" i="3" s="1"/>
  <c r="H346" i="3"/>
  <c r="BD9" i="3"/>
  <c r="E9" i="3" s="1"/>
  <c r="D9" i="3"/>
  <c r="H65" i="3"/>
  <c r="H157" i="3"/>
  <c r="BD61" i="3"/>
  <c r="E61" i="3" s="1"/>
  <c r="BE356" i="3"/>
  <c r="F356" i="3" s="1"/>
  <c r="AS87" i="3"/>
  <c r="H182" i="3"/>
  <c r="AS269" i="3"/>
  <c r="BA269" i="3" s="1"/>
  <c r="I403" i="3"/>
  <c r="BD6" i="3"/>
  <c r="E6" i="3" s="1"/>
  <c r="BE181" i="3"/>
  <c r="F181" i="3" s="1"/>
  <c r="BA66" i="3"/>
  <c r="AS118" i="3"/>
  <c r="AS395" i="3"/>
  <c r="D395" i="3" s="1"/>
  <c r="H356" i="3"/>
  <c r="BE114" i="3"/>
  <c r="F114" i="3" s="1"/>
  <c r="I45" i="3"/>
  <c r="I133" i="3"/>
  <c r="AS133" i="3" s="1"/>
  <c r="H18" i="3"/>
  <c r="H274" i="3"/>
  <c r="I378" i="3"/>
  <c r="BE393" i="3"/>
  <c r="F393" i="3" s="1"/>
  <c r="I430" i="3"/>
  <c r="AS430" i="3" s="1"/>
  <c r="I272" i="3"/>
  <c r="AS272" i="3" s="1"/>
  <c r="AS243" i="3"/>
  <c r="BA56" i="3"/>
  <c r="AS112" i="3"/>
  <c r="BD112" i="3" s="1"/>
  <c r="E112" i="3" s="1"/>
  <c r="H317" i="3"/>
  <c r="H294" i="3"/>
  <c r="BE79" i="3"/>
  <c r="F79" i="3" s="1"/>
  <c r="BA63" i="3"/>
  <c r="AS38" i="3"/>
  <c r="D38" i="3" s="1"/>
  <c r="AS41" i="3"/>
  <c r="BD41" i="3" s="1"/>
  <c r="E41" i="3" s="1"/>
  <c r="BD62" i="3"/>
  <c r="E62" i="3" s="1"/>
  <c r="BE24" i="3"/>
  <c r="F24" i="3" s="1"/>
  <c r="BE23" i="3"/>
  <c r="F23" i="3" s="1"/>
  <c r="H119" i="3"/>
  <c r="I320" i="3"/>
  <c r="AS320" i="3" s="1"/>
  <c r="BD320" i="3" s="1"/>
  <c r="E320" i="3" s="1"/>
  <c r="BE209" i="3"/>
  <c r="F209" i="3" s="1"/>
  <c r="BE6" i="3"/>
  <c r="F6" i="3" s="1"/>
  <c r="AS385" i="3"/>
  <c r="BD385" i="3" s="1"/>
  <c r="E385" i="3" s="1"/>
  <c r="H322" i="3"/>
  <c r="BE136" i="3"/>
  <c r="F136" i="3" s="1"/>
  <c r="H183" i="3"/>
  <c r="AS26" i="3"/>
  <c r="D26" i="3" s="1"/>
  <c r="BE132" i="3"/>
  <c r="F132" i="3" s="1"/>
  <c r="I297" i="3"/>
  <c r="AS297" i="3" s="1"/>
  <c r="BA35" i="3"/>
  <c r="BE94" i="3"/>
  <c r="F94" i="3" s="1"/>
  <c r="AS163" i="3"/>
  <c r="D163" i="3" s="1"/>
  <c r="BE84" i="3"/>
  <c r="F84" i="3" s="1"/>
  <c r="I2" i="3"/>
  <c r="H32" i="3"/>
  <c r="D56" i="3"/>
  <c r="D28" i="3"/>
  <c r="H20" i="3"/>
  <c r="H214" i="3"/>
  <c r="H289" i="3"/>
  <c r="AS277" i="3"/>
  <c r="BD277" i="3" s="1"/>
  <c r="E277" i="3" s="1"/>
  <c r="I54" i="3"/>
  <c r="D66" i="3"/>
  <c r="H78" i="3"/>
  <c r="BE225" i="3"/>
  <c r="F225" i="3" s="1"/>
  <c r="H101" i="3"/>
  <c r="AS5" i="3"/>
  <c r="BA5" i="3" s="1"/>
  <c r="I81" i="3"/>
  <c r="H110" i="3"/>
  <c r="AS122" i="3"/>
  <c r="H409" i="3"/>
  <c r="H387" i="3"/>
  <c r="BE17" i="3"/>
  <c r="F17" i="3" s="1"/>
  <c r="AS223" i="3"/>
  <c r="BD223" i="3" s="1"/>
  <c r="E223" i="3" s="1"/>
  <c r="I132" i="3"/>
  <c r="H413" i="3"/>
  <c r="BE129" i="3"/>
  <c r="F129" i="3" s="1"/>
  <c r="AS362" i="3"/>
  <c r="BA65" i="3"/>
  <c r="D65" i="3"/>
  <c r="AS310" i="3"/>
  <c r="BA310" i="3" s="1"/>
  <c r="AS431" i="3"/>
  <c r="D431" i="3" s="1"/>
  <c r="BA85" i="3"/>
  <c r="I154" i="3"/>
  <c r="H286" i="3"/>
  <c r="H115" i="3"/>
  <c r="AS206" i="3"/>
  <c r="BD206" i="3" s="1"/>
  <c r="E206" i="3" s="1"/>
  <c r="BD85" i="3"/>
  <c r="E85" i="3" s="1"/>
  <c r="H37" i="3"/>
  <c r="I291" i="3"/>
  <c r="AS291" i="3" s="1"/>
  <c r="BD291" i="3" s="1"/>
  <c r="E291" i="3" s="1"/>
  <c r="BE43" i="3"/>
  <c r="F43" i="3" s="1"/>
  <c r="AS241" i="3"/>
  <c r="H300" i="3"/>
  <c r="I113" i="3"/>
  <c r="AS113" i="3" s="1"/>
  <c r="I352" i="3"/>
  <c r="AS352" i="3" s="1"/>
  <c r="D352" i="3" s="1"/>
  <c r="H249" i="3"/>
  <c r="H243" i="3"/>
  <c r="H219" i="3"/>
  <c r="D85" i="3"/>
  <c r="H426" i="3"/>
  <c r="I358" i="3"/>
  <c r="AS358" i="3" s="1"/>
  <c r="BD358" i="3" s="1"/>
  <c r="E358" i="3" s="1"/>
  <c r="BE359" i="3"/>
  <c r="F359" i="3" s="1"/>
  <c r="I59" i="3"/>
  <c r="H34" i="3"/>
  <c r="I34" i="3"/>
  <c r="AS34" i="3" s="1"/>
  <c r="I392" i="3"/>
  <c r="AS392" i="3" s="1"/>
  <c r="D392" i="3" s="1"/>
  <c r="H350" i="3"/>
  <c r="AS98" i="3"/>
  <c r="AS117" i="3"/>
  <c r="D117" i="3" s="1"/>
  <c r="I79" i="3"/>
  <c r="AS79" i="3" s="1"/>
  <c r="H185" i="3"/>
  <c r="I250" i="3"/>
  <c r="AS250" i="3" s="1"/>
  <c r="AS160" i="3"/>
  <c r="D160" i="3" s="1"/>
  <c r="I95" i="3"/>
  <c r="AS95" i="3" s="1"/>
  <c r="D95" i="3" s="1"/>
  <c r="AS373" i="3"/>
  <c r="BD373" i="3" s="1"/>
  <c r="E373" i="3" s="1"/>
  <c r="I370" i="3"/>
  <c r="AS370" i="3" s="1"/>
  <c r="AS390" i="3"/>
  <c r="D390" i="3" s="1"/>
  <c r="AS371" i="3"/>
  <c r="BD371" i="3" s="1"/>
  <c r="E371" i="3" s="1"/>
  <c r="I212" i="3"/>
  <c r="AS212" i="3" s="1"/>
  <c r="H205" i="3"/>
  <c r="I287" i="3"/>
  <c r="AS287" i="3" s="1"/>
  <c r="BA287" i="3" s="1"/>
  <c r="AS128" i="3"/>
  <c r="BD128" i="3" s="1"/>
  <c r="E128" i="3" s="1"/>
  <c r="I302" i="3"/>
  <c r="AS302" i="3" s="1"/>
  <c r="D302" i="3" s="1"/>
  <c r="I384" i="3"/>
  <c r="BD33" i="3"/>
  <c r="E33" i="3" s="1"/>
  <c r="H10" i="3"/>
  <c r="H385" i="3"/>
  <c r="I240" i="3"/>
  <c r="AS240" i="3" s="1"/>
  <c r="H246" i="3"/>
  <c r="H83" i="3"/>
  <c r="AS405" i="3"/>
  <c r="D405" i="3" s="1"/>
  <c r="H349" i="3"/>
  <c r="I229" i="3"/>
  <c r="AS229" i="3" s="1"/>
  <c r="AS262" i="3"/>
  <c r="AS418" i="3"/>
  <c r="BA418" i="3" s="1"/>
  <c r="H169" i="3"/>
  <c r="AS121" i="3"/>
  <c r="AS377" i="3"/>
  <c r="D377" i="3" s="1"/>
  <c r="H396" i="3"/>
  <c r="I50" i="3"/>
  <c r="AS50" i="3" s="1"/>
  <c r="I103" i="3"/>
  <c r="AS103" i="3" s="1"/>
  <c r="BE52" i="3"/>
  <c r="F52" i="3" s="1"/>
  <c r="H98" i="3"/>
  <c r="I21" i="3"/>
  <c r="AS21" i="3" s="1"/>
  <c r="D21" i="3" s="1"/>
  <c r="H410" i="3"/>
  <c r="AS308" i="3"/>
  <c r="BD308" i="3" s="1"/>
  <c r="E308" i="3" s="1"/>
  <c r="I52" i="3"/>
  <c r="AS52" i="3" s="1"/>
  <c r="H357" i="3"/>
  <c r="AS104" i="3"/>
  <c r="D104" i="3" s="1"/>
  <c r="I142" i="3"/>
  <c r="AS142" i="3" s="1"/>
  <c r="BD142" i="3" s="1"/>
  <c r="E142" i="3" s="1"/>
  <c r="AS74" i="3"/>
  <c r="BD74" i="3" s="1"/>
  <c r="E74" i="3" s="1"/>
  <c r="H398" i="3"/>
  <c r="H175" i="3"/>
  <c r="H314" i="3"/>
  <c r="AS94" i="3"/>
  <c r="BD94" i="3" s="1"/>
  <c r="E94" i="3" s="1"/>
  <c r="I347" i="3"/>
  <c r="AS347" i="3" s="1"/>
  <c r="H363" i="3"/>
  <c r="BE112" i="3"/>
  <c r="F112" i="3" s="1"/>
  <c r="H411" i="3"/>
  <c r="I216" i="3"/>
  <c r="AS216" i="3" s="1"/>
  <c r="I309" i="3"/>
  <c r="AS309" i="3" s="1"/>
  <c r="D309" i="3" s="1"/>
  <c r="I364" i="3"/>
  <c r="AS364" i="3" s="1"/>
  <c r="I108" i="3"/>
  <c r="I170" i="3"/>
  <c r="AS170" i="3" s="1"/>
  <c r="I53" i="3"/>
  <c r="AS53" i="3" s="1"/>
  <c r="D53" i="3" s="1"/>
  <c r="I181" i="3"/>
  <c r="H305" i="3"/>
  <c r="AS280" i="3"/>
  <c r="AS183" i="3"/>
  <c r="BA183" i="3" s="1"/>
  <c r="H373" i="3"/>
  <c r="BE355" i="3"/>
  <c r="F355" i="3" s="1"/>
  <c r="H5" i="3"/>
  <c r="I153" i="3"/>
  <c r="AS153" i="3" s="1"/>
  <c r="BD153" i="3" s="1"/>
  <c r="E153" i="3" s="1"/>
  <c r="I164" i="3"/>
  <c r="AS164" i="3" s="1"/>
  <c r="AS215" i="3"/>
  <c r="BD215" i="3" s="1"/>
  <c r="E215" i="3" s="1"/>
  <c r="I278" i="3"/>
  <c r="AS278" i="3" s="1"/>
  <c r="I140" i="3"/>
  <c r="AS140" i="3" s="1"/>
  <c r="BD140" i="3" s="1"/>
  <c r="E140" i="3" s="1"/>
  <c r="H326" i="3"/>
  <c r="H19" i="3"/>
  <c r="AS265" i="3"/>
  <c r="D265" i="3" s="1"/>
  <c r="I8" i="3"/>
  <c r="AS8" i="3" s="1"/>
  <c r="H431" i="3"/>
  <c r="H371" i="3"/>
  <c r="BE292" i="3"/>
  <c r="F292" i="3" s="1"/>
  <c r="BE15" i="3"/>
  <c r="F15" i="3" s="1"/>
  <c r="AS319" i="3"/>
  <c r="BA319" i="3" s="1"/>
  <c r="H236" i="3"/>
  <c r="BE25" i="3"/>
  <c r="F25" i="3" s="1"/>
  <c r="AS311" i="3"/>
  <c r="BD311" i="3" s="1"/>
  <c r="E311" i="3" s="1"/>
  <c r="I276" i="3"/>
  <c r="AS276" i="3" s="1"/>
  <c r="BD276" i="3" s="1"/>
  <c r="E276" i="3" s="1"/>
  <c r="BD63" i="3"/>
  <c r="E63" i="3" s="1"/>
  <c r="AS286" i="3"/>
  <c r="D286" i="3" s="1"/>
  <c r="BE72" i="3"/>
  <c r="F72" i="3" s="1"/>
  <c r="H399" i="3"/>
  <c r="AS313" i="3"/>
  <c r="BA313" i="3" s="1"/>
  <c r="I342" i="3"/>
  <c r="AS342" i="3" s="1"/>
  <c r="H120" i="3"/>
  <c r="AS293" i="3"/>
  <c r="BD293" i="3" s="1"/>
  <c r="E293" i="3" s="1"/>
  <c r="H139" i="3"/>
  <c r="H96" i="3"/>
  <c r="AS427" i="3"/>
  <c r="BD427" i="3" s="1"/>
  <c r="E427" i="3" s="1"/>
  <c r="H116" i="3"/>
  <c r="I16" i="3"/>
  <c r="AS428" i="3"/>
  <c r="D428" i="3" s="1"/>
  <c r="D63" i="3"/>
  <c r="H355" i="3"/>
  <c r="H80" i="3"/>
  <c r="I307" i="3"/>
  <c r="AS307" i="3" s="1"/>
  <c r="AS73" i="3"/>
  <c r="BD73" i="3" s="1"/>
  <c r="E73" i="3" s="1"/>
  <c r="I248" i="3"/>
  <c r="AS248" i="3" s="1"/>
  <c r="I88" i="3"/>
  <c r="AS88" i="3" s="1"/>
  <c r="AS404" i="3"/>
  <c r="D404" i="3" s="1"/>
  <c r="H102" i="3"/>
  <c r="I180" i="3"/>
  <c r="AS180" i="3" s="1"/>
  <c r="BD180" i="3" s="1"/>
  <c r="E180" i="3" s="1"/>
  <c r="AS350" i="3"/>
  <c r="D350" i="3" s="1"/>
  <c r="I422" i="3"/>
  <c r="AS422" i="3" s="1"/>
  <c r="D422" i="3" s="1"/>
  <c r="AS410" i="3"/>
  <c r="D410" i="3" s="1"/>
  <c r="I141" i="3"/>
  <c r="AS141" i="3" s="1"/>
  <c r="BD141" i="3" s="1"/>
  <c r="E141" i="3" s="1"/>
  <c r="I270" i="3"/>
  <c r="AS270" i="3" s="1"/>
  <c r="BD270" i="3" s="1"/>
  <c r="E270" i="3" s="1"/>
  <c r="AS18" i="3"/>
  <c r="BA18" i="3" s="1"/>
  <c r="AS409" i="3"/>
  <c r="D409" i="3" s="1"/>
  <c r="H162" i="3"/>
  <c r="H118" i="3"/>
  <c r="I168" i="3"/>
  <c r="I271" i="3"/>
  <c r="AS271" i="3" s="1"/>
  <c r="BD271" i="3" s="1"/>
  <c r="E271" i="3" s="1"/>
  <c r="H284" i="3"/>
  <c r="H313" i="3"/>
  <c r="AS10" i="3"/>
  <c r="BD10" i="3" s="1"/>
  <c r="E10" i="3" s="1"/>
  <c r="H262" i="3"/>
  <c r="AS387" i="3"/>
  <c r="H74" i="3"/>
  <c r="AS139" i="3"/>
  <c r="BA139" i="3" s="1"/>
  <c r="I17" i="3"/>
  <c r="AS17" i="3" s="1"/>
  <c r="D17" i="3" s="1"/>
  <c r="H319" i="3"/>
  <c r="AS149" i="3"/>
  <c r="BA149" i="3" s="1"/>
  <c r="AS96" i="3"/>
  <c r="BD96" i="3" s="1"/>
  <c r="E96" i="3" s="1"/>
  <c r="I372" i="3"/>
  <c r="AS372" i="3" s="1"/>
  <c r="BD372" i="3" s="1"/>
  <c r="E372" i="3" s="1"/>
  <c r="H353" i="3"/>
  <c r="I151" i="3"/>
  <c r="AS151" i="3" s="1"/>
  <c r="BD151" i="3" s="1"/>
  <c r="E151" i="3" s="1"/>
  <c r="I247" i="3"/>
  <c r="AS247" i="3" s="1"/>
  <c r="AS375" i="3"/>
  <c r="BD375" i="3" s="1"/>
  <c r="E375" i="3" s="1"/>
  <c r="AS59" i="3"/>
  <c r="BD59" i="3" s="1"/>
  <c r="E59" i="3" s="1"/>
  <c r="AS303" i="3"/>
  <c r="BA303" i="3" s="1"/>
  <c r="AS148" i="3"/>
  <c r="D148" i="3" s="1"/>
  <c r="I179" i="3"/>
  <c r="AS179" i="3" s="1"/>
  <c r="BD179" i="3" s="1"/>
  <c r="E179" i="3" s="1"/>
  <c r="I177" i="3"/>
  <c r="AS177" i="3" s="1"/>
  <c r="AS54" i="3"/>
  <c r="BD54" i="3" s="1"/>
  <c r="E54" i="3" s="1"/>
  <c r="I217" i="3"/>
  <c r="AS217" i="3" s="1"/>
  <c r="BD217" i="3" s="1"/>
  <c r="E217" i="3" s="1"/>
  <c r="AS326" i="3"/>
  <c r="D326" i="3" s="1"/>
  <c r="I237" i="3"/>
  <c r="AS237" i="3" s="1"/>
  <c r="D237" i="3" s="1"/>
  <c r="AS285" i="3"/>
  <c r="BD285" i="3" s="1"/>
  <c r="E285" i="3" s="1"/>
  <c r="AS306" i="3"/>
  <c r="BD306" i="3" s="1"/>
  <c r="E306" i="3" s="1"/>
  <c r="I242" i="3"/>
  <c r="AS242" i="3" s="1"/>
  <c r="D242" i="3" s="1"/>
  <c r="AS176" i="3"/>
  <c r="BA176" i="3" s="1"/>
  <c r="I228" i="3"/>
  <c r="AS228" i="3" s="1"/>
  <c r="BA228" i="3" s="1"/>
  <c r="H238" i="3"/>
  <c r="BE16" i="3"/>
  <c r="F16" i="3" s="1"/>
  <c r="AS154" i="3"/>
  <c r="BD154" i="3" s="1"/>
  <c r="E154" i="3" s="1"/>
  <c r="BE262" i="3"/>
  <c r="F262" i="3" s="1"/>
  <c r="I111" i="3"/>
  <c r="AS111" i="3" s="1"/>
  <c r="D111" i="3" s="1"/>
  <c r="BE80" i="3"/>
  <c r="F80" i="3" s="1"/>
  <c r="I13" i="3"/>
  <c r="AS13" i="3" s="1"/>
  <c r="BA13" i="3" s="1"/>
  <c r="AS224" i="3"/>
  <c r="D224" i="3" s="1"/>
  <c r="AS316" i="3"/>
  <c r="D316" i="3" s="1"/>
  <c r="AS300" i="3"/>
  <c r="BD300" i="3" s="1"/>
  <c r="E300" i="3" s="1"/>
  <c r="H128" i="3"/>
  <c r="AS349" i="3"/>
  <c r="D349" i="3" s="1"/>
  <c r="AS119" i="3"/>
  <c r="BD119" i="3" s="1"/>
  <c r="E119" i="3" s="1"/>
  <c r="AS305" i="3"/>
  <c r="BD305" i="3" s="1"/>
  <c r="E305" i="3" s="1"/>
  <c r="AS185" i="3"/>
  <c r="D185" i="3" s="1"/>
  <c r="AS78" i="3"/>
  <c r="BA78" i="3" s="1"/>
  <c r="I239" i="3"/>
  <c r="AS239" i="3" s="1"/>
  <c r="BA239" i="3" s="1"/>
  <c r="H82" i="3"/>
  <c r="AS325" i="3"/>
  <c r="D325" i="3" s="1"/>
  <c r="I93" i="3"/>
  <c r="AS93" i="3" s="1"/>
  <c r="D93" i="3" s="1"/>
  <c r="I15" i="3"/>
  <c r="AS15" i="3" s="1"/>
  <c r="BA15" i="3" s="1"/>
  <c r="I414" i="3"/>
  <c r="AS414" i="3" s="1"/>
  <c r="BA414" i="3" s="1"/>
  <c r="H165" i="3"/>
  <c r="AS413" i="3"/>
  <c r="D413" i="3" s="1"/>
  <c r="AS246" i="3"/>
  <c r="D246" i="3" s="1"/>
  <c r="H149" i="3"/>
  <c r="I321" i="3"/>
  <c r="AS321" i="3" s="1"/>
  <c r="BD321" i="3" s="1"/>
  <c r="E321" i="3" s="1"/>
  <c r="H269" i="3"/>
  <c r="AS374" i="3"/>
  <c r="BD374" i="3" s="1"/>
  <c r="E374" i="3" s="1"/>
  <c r="H94" i="3"/>
  <c r="I123" i="3"/>
  <c r="AS123" i="3" s="1"/>
  <c r="BA123" i="3" s="1"/>
  <c r="I412" i="3"/>
  <c r="AS412" i="3" s="1"/>
  <c r="D412" i="3" s="1"/>
  <c r="AS363" i="3"/>
  <c r="BA363" i="3" s="1"/>
  <c r="H362" i="3"/>
  <c r="AS411" i="3"/>
  <c r="BA411" i="3" s="1"/>
  <c r="AS80" i="3"/>
  <c r="BA80" i="3" s="1"/>
  <c r="AS274" i="3"/>
  <c r="BD274" i="3" s="1"/>
  <c r="E274" i="3" s="1"/>
  <c r="I406" i="3"/>
  <c r="AS406" i="3" s="1"/>
  <c r="D406" i="3" s="1"/>
  <c r="AS357" i="3"/>
  <c r="BD357" i="3" s="1"/>
  <c r="E357" i="3" s="1"/>
  <c r="H117" i="3"/>
  <c r="H122" i="3"/>
  <c r="AS162" i="3"/>
  <c r="D162" i="3" s="1"/>
  <c r="AS279" i="3"/>
  <c r="BD279" i="3" s="1"/>
  <c r="E279" i="3" s="1"/>
  <c r="H395" i="3"/>
  <c r="I275" i="3"/>
  <c r="AS275" i="3" s="1"/>
  <c r="I394" i="3"/>
  <c r="AS394" i="3" s="1"/>
  <c r="D394" i="3" s="1"/>
  <c r="H318" i="3"/>
  <c r="AS115" i="3"/>
  <c r="BD115" i="3" s="1"/>
  <c r="E115" i="3" s="1"/>
  <c r="AS174" i="3"/>
  <c r="D174" i="3" s="1"/>
  <c r="H121" i="3"/>
  <c r="H377" i="3"/>
  <c r="AS353" i="3"/>
  <c r="D353" i="3" s="1"/>
  <c r="H427" i="3"/>
  <c r="H393" i="3"/>
  <c r="AS102" i="3"/>
  <c r="BD102" i="3" s="1"/>
  <c r="E102" i="3" s="1"/>
  <c r="AS81" i="3"/>
  <c r="BA81" i="3" s="1"/>
  <c r="H303" i="3"/>
  <c r="AS186" i="3"/>
  <c r="BD186" i="3" s="1"/>
  <c r="E186" i="3" s="1"/>
  <c r="I187" i="3"/>
  <c r="AS187" i="3" s="1"/>
  <c r="BD187" i="3" s="1"/>
  <c r="E187" i="3" s="1"/>
  <c r="AS289" i="3"/>
  <c r="BD289" i="3" s="1"/>
  <c r="E289" i="3" s="1"/>
  <c r="I359" i="3"/>
  <c r="AS359" i="3" s="1"/>
  <c r="BD359" i="3" s="1"/>
  <c r="E359" i="3" s="1"/>
  <c r="AS213" i="3"/>
  <c r="BD213" i="3" s="1"/>
  <c r="E213" i="3" s="1"/>
  <c r="I188" i="3"/>
  <c r="AS188" i="3" s="1"/>
  <c r="AS218" i="3"/>
  <c r="BD218" i="3" s="1"/>
  <c r="E218" i="3" s="1"/>
  <c r="AS131" i="3"/>
  <c r="BA131" i="3" s="1"/>
  <c r="AS245" i="3"/>
  <c r="BA245" i="3" s="1"/>
  <c r="H241" i="3"/>
  <c r="AS109" i="3"/>
  <c r="BA109" i="3" s="1"/>
  <c r="AS43" i="3"/>
  <c r="D43" i="3" s="1"/>
  <c r="AS82" i="3"/>
  <c r="D82" i="3" s="1"/>
  <c r="AS398" i="3"/>
  <c r="D398" i="3" s="1"/>
  <c r="BE82" i="3"/>
  <c r="F82" i="3" s="1"/>
  <c r="AS16" i="3"/>
  <c r="BD16" i="3" s="1"/>
  <c r="E16" i="3" s="1"/>
  <c r="AS426" i="3"/>
  <c r="BA426" i="3" s="1"/>
  <c r="I86" i="3"/>
  <c r="AS86" i="3" s="1"/>
  <c r="AS97" i="3"/>
  <c r="BD97" i="3" s="1"/>
  <c r="E97" i="3" s="1"/>
  <c r="AS284" i="3"/>
  <c r="D284" i="3" s="1"/>
  <c r="AS378" i="3"/>
  <c r="BD378" i="3" s="1"/>
  <c r="E378" i="3" s="1"/>
  <c r="AS403" i="3"/>
  <c r="D403" i="3" s="1"/>
  <c r="H89" i="3"/>
  <c r="H25" i="3"/>
  <c r="H421" i="3"/>
  <c r="H390" i="3"/>
  <c r="H375" i="3"/>
  <c r="I30" i="3"/>
  <c r="AS30" i="3" s="1"/>
  <c r="BA30" i="3" s="1"/>
  <c r="AS110" i="3"/>
  <c r="D110" i="3" s="1"/>
  <c r="AS200" i="3"/>
  <c r="BA200" i="3" s="1"/>
  <c r="AS108" i="3"/>
  <c r="BD108" i="3" s="1"/>
  <c r="E108" i="3" s="1"/>
  <c r="AS205" i="3"/>
  <c r="D205" i="3" s="1"/>
  <c r="H73" i="3"/>
  <c r="H112" i="3"/>
  <c r="AS161" i="3"/>
  <c r="BA161" i="3" s="1"/>
  <c r="I231" i="3"/>
  <c r="AS175" i="3"/>
  <c r="BD175" i="3" s="1"/>
  <c r="E175" i="3" s="1"/>
  <c r="I220" i="3"/>
  <c r="AS220" i="3" s="1"/>
  <c r="AS227" i="3"/>
  <c r="D227" i="3" s="1"/>
  <c r="I301" i="3"/>
  <c r="AS301" i="3" s="1"/>
  <c r="BA301" i="3" s="1"/>
  <c r="AS361" i="3"/>
  <c r="BD361" i="3" s="1"/>
  <c r="E361" i="3" s="1"/>
  <c r="AS101" i="3"/>
  <c r="D101" i="3" s="1"/>
  <c r="H138" i="3"/>
  <c r="H428" i="3"/>
  <c r="D274" i="3"/>
  <c r="BA115" i="3"/>
  <c r="BA413" i="3"/>
  <c r="D186" i="3"/>
  <c r="D311" i="3"/>
  <c r="BA104" i="3"/>
  <c r="D122" i="3"/>
  <c r="BD122" i="3"/>
  <c r="E122" i="3" s="1"/>
  <c r="BA122" i="3"/>
  <c r="BD241" i="3"/>
  <c r="E241" i="3" s="1"/>
  <c r="BA241" i="3"/>
  <c r="D241" i="3"/>
  <c r="D121" i="3"/>
  <c r="BD121" i="3"/>
  <c r="E121" i="3" s="1"/>
  <c r="BA121" i="3"/>
  <c r="D427" i="3"/>
  <c r="BD18" i="3"/>
  <c r="E18" i="3" s="1"/>
  <c r="BD387" i="3"/>
  <c r="E387" i="3" s="1"/>
  <c r="BA387" i="3"/>
  <c r="D387" i="3"/>
  <c r="BD139" i="3"/>
  <c r="E139" i="3" s="1"/>
  <c r="BD303" i="3"/>
  <c r="E303" i="3" s="1"/>
  <c r="BA405" i="3"/>
  <c r="D306" i="3"/>
  <c r="D385" i="3"/>
  <c r="D118" i="3"/>
  <c r="BD118" i="3"/>
  <c r="E118" i="3" s="1"/>
  <c r="BA118" i="3"/>
  <c r="BD280" i="3"/>
  <c r="E280" i="3" s="1"/>
  <c r="BA280" i="3"/>
  <c r="D280" i="3"/>
  <c r="BD262" i="3"/>
  <c r="E262" i="3" s="1"/>
  <c r="BA262" i="3"/>
  <c r="D262" i="3"/>
  <c r="BD319" i="3"/>
  <c r="E319" i="3" s="1"/>
  <c r="D206" i="3"/>
  <c r="D180" i="3"/>
  <c r="BD92" i="3"/>
  <c r="E92" i="3" s="1"/>
  <c r="BA92" i="3"/>
  <c r="D92" i="3"/>
  <c r="BD130" i="3"/>
  <c r="E130" i="3" s="1"/>
  <c r="BA130" i="3"/>
  <c r="D130" i="3"/>
  <c r="BA158" i="3"/>
  <c r="D158" i="3"/>
  <c r="BD158" i="3"/>
  <c r="E158" i="3" s="1"/>
  <c r="BD12" i="3"/>
  <c r="E12" i="3" s="1"/>
  <c r="BA12" i="3"/>
  <c r="D12" i="3"/>
  <c r="AS238" i="3"/>
  <c r="BA344" i="3"/>
  <c r="D344" i="3"/>
  <c r="BD344" i="3"/>
  <c r="E344" i="3" s="1"/>
  <c r="I166" i="3"/>
  <c r="AS166" i="3" s="1"/>
  <c r="BA171" i="3"/>
  <c r="D171" i="3"/>
  <c r="BD171" i="3"/>
  <c r="E171" i="3" s="1"/>
  <c r="BD281" i="3"/>
  <c r="E281" i="3" s="1"/>
  <c r="D281" i="3"/>
  <c r="BA281" i="3"/>
  <c r="BA163" i="3"/>
  <c r="BA348" i="3"/>
  <c r="D348" i="3"/>
  <c r="BD348" i="3"/>
  <c r="E348" i="3" s="1"/>
  <c r="H218" i="3"/>
  <c r="BA268" i="3"/>
  <c r="D268" i="3"/>
  <c r="BD268" i="3"/>
  <c r="E268" i="3" s="1"/>
  <c r="BE42" i="3"/>
  <c r="F42" i="3" s="1"/>
  <c r="BD295" i="3"/>
  <c r="E295" i="3" s="1"/>
  <c r="BA295" i="3"/>
  <c r="D295" i="3"/>
  <c r="I136" i="3"/>
  <c r="AS136" i="3" s="1"/>
  <c r="BE63" i="3"/>
  <c r="F63" i="3" s="1"/>
  <c r="BA125" i="3"/>
  <c r="BD125" i="3"/>
  <c r="E125" i="3" s="1"/>
  <c r="D125" i="3"/>
  <c r="BD334" i="3"/>
  <c r="E334" i="3" s="1"/>
  <c r="BA334" i="3"/>
  <c r="D334" i="3"/>
  <c r="BD257" i="3"/>
  <c r="E257" i="3" s="1"/>
  <c r="D257" i="3"/>
  <c r="BA257" i="3"/>
  <c r="AS182" i="3"/>
  <c r="H293" i="3"/>
  <c r="BD202" i="3"/>
  <c r="E202" i="3" s="1"/>
  <c r="D202" i="3"/>
  <c r="BA202" i="3"/>
  <c r="H306" i="3"/>
  <c r="BE11" i="3"/>
  <c r="F11" i="3" s="1"/>
  <c r="BD99" i="3"/>
  <c r="E99" i="3" s="1"/>
  <c r="BA99" i="3"/>
  <c r="D99" i="3"/>
  <c r="BE59" i="3"/>
  <c r="F59" i="3" s="1"/>
  <c r="AS322" i="3"/>
  <c r="AS45" i="3"/>
  <c r="BD263" i="3"/>
  <c r="E263" i="3" s="1"/>
  <c r="D263" i="3"/>
  <c r="BA263" i="3"/>
  <c r="BD155" i="3"/>
  <c r="E155" i="3" s="1"/>
  <c r="BA155" i="3"/>
  <c r="D155" i="3"/>
  <c r="BA146" i="3"/>
  <c r="D146" i="3"/>
  <c r="BD146" i="3"/>
  <c r="E146" i="3" s="1"/>
  <c r="I397" i="3"/>
  <c r="AS397" i="3" s="1"/>
  <c r="H176" i="3"/>
  <c r="I76" i="3"/>
  <c r="AS76" i="3" s="1"/>
  <c r="I419" i="3"/>
  <c r="AS419" i="3" s="1"/>
  <c r="BA28" i="3"/>
  <c r="BA26" i="3"/>
  <c r="BD254" i="3"/>
  <c r="E254" i="3" s="1"/>
  <c r="D254" i="3"/>
  <c r="BA254" i="3"/>
  <c r="AS219" i="3"/>
  <c r="AS178" i="3"/>
  <c r="AS365" i="3"/>
  <c r="I304" i="3"/>
  <c r="AS304" i="3" s="1"/>
  <c r="F110" i="4"/>
  <c r="G188" i="4"/>
  <c r="F295" i="4"/>
  <c r="G8" i="4"/>
  <c r="F8" i="4"/>
  <c r="G19" i="4"/>
  <c r="F178" i="4"/>
  <c r="G178" i="4"/>
  <c r="G261" i="4"/>
  <c r="BD50" i="3"/>
  <c r="E50" i="3" s="1"/>
  <c r="BA50" i="3"/>
  <c r="D50" i="3"/>
  <c r="BD211" i="3"/>
  <c r="E211" i="3" s="1"/>
  <c r="D211" i="3"/>
  <c r="BA211" i="3"/>
  <c r="AS37" i="3"/>
  <c r="BD152" i="3"/>
  <c r="E152" i="3" s="1"/>
  <c r="D152" i="3"/>
  <c r="BA152" i="3"/>
  <c r="I391" i="3"/>
  <c r="AS391" i="3" s="1"/>
  <c r="BA415" i="3"/>
  <c r="D415" i="3"/>
  <c r="BD415" i="3"/>
  <c r="E415" i="3" s="1"/>
  <c r="I324" i="3"/>
  <c r="AS324" i="3" s="1"/>
  <c r="BD173" i="3"/>
  <c r="E173" i="3" s="1"/>
  <c r="BA173" i="3"/>
  <c r="D173" i="3"/>
  <c r="AS214" i="3"/>
  <c r="I312" i="3"/>
  <c r="AS312" i="3" s="1"/>
  <c r="I264" i="3"/>
  <c r="AS264" i="3" s="1"/>
  <c r="AS346" i="3"/>
  <c r="H213" i="3"/>
  <c r="I296" i="3"/>
  <c r="AS296" i="3" s="1"/>
  <c r="I167" i="3"/>
  <c r="AS167" i="3" s="1"/>
  <c r="BE20" i="3"/>
  <c r="F20" i="3" s="1"/>
  <c r="BA11" i="3"/>
  <c r="BA282" i="3"/>
  <c r="D282" i="3"/>
  <c r="BD282" i="3"/>
  <c r="E282" i="3" s="1"/>
  <c r="BD330" i="3"/>
  <c r="E330" i="3" s="1"/>
  <c r="BA330" i="3"/>
  <c r="D330" i="3"/>
  <c r="BE10" i="3"/>
  <c r="F10" i="3" s="1"/>
  <c r="H148" i="3"/>
  <c r="BA77" i="3"/>
  <c r="D77" i="3"/>
  <c r="BD77" i="3"/>
  <c r="E77" i="3" s="1"/>
  <c r="BD408" i="3"/>
  <c r="E408" i="3" s="1"/>
  <c r="BA408" i="3"/>
  <c r="D408" i="3"/>
  <c r="H316" i="3"/>
  <c r="D44" i="3"/>
  <c r="BD44" i="3"/>
  <c r="E44" i="3" s="1"/>
  <c r="BA44" i="3"/>
  <c r="H279" i="3"/>
  <c r="BA222" i="3"/>
  <c r="D222" i="3"/>
  <c r="BD222" i="3"/>
  <c r="E222" i="3" s="1"/>
  <c r="BD360" i="3"/>
  <c r="E360" i="3" s="1"/>
  <c r="BA360" i="3"/>
  <c r="D360" i="3"/>
  <c r="BD201" i="3"/>
  <c r="E201" i="3" s="1"/>
  <c r="BA201" i="3"/>
  <c r="D201" i="3"/>
  <c r="BA261" i="3"/>
  <c r="BD261" i="3"/>
  <c r="E261" i="3" s="1"/>
  <c r="D261" i="3"/>
  <c r="BD55" i="3"/>
  <c r="E55" i="3" s="1"/>
  <c r="BD66" i="3"/>
  <c r="E66" i="3" s="1"/>
  <c r="BA60" i="3"/>
  <c r="D60" i="3"/>
  <c r="BD60" i="3"/>
  <c r="E60" i="3" s="1"/>
  <c r="BD147" i="3"/>
  <c r="E147" i="3" s="1"/>
  <c r="BA147" i="3"/>
  <c r="D147" i="3"/>
  <c r="H43" i="3"/>
  <c r="BA225" i="3"/>
  <c r="D225" i="3"/>
  <c r="BD225" i="3"/>
  <c r="E225" i="3" s="1"/>
  <c r="H285" i="3"/>
  <c r="I323" i="3"/>
  <c r="AS323" i="3" s="1"/>
  <c r="H325" i="3"/>
  <c r="BE19" i="3"/>
  <c r="F19" i="3" s="1"/>
  <c r="H310" i="3"/>
  <c r="BD233" i="3"/>
  <c r="E233" i="3" s="1"/>
  <c r="BA233" i="3"/>
  <c r="D233" i="3"/>
  <c r="D150" i="3"/>
  <c r="BD150" i="3"/>
  <c r="E150" i="3" s="1"/>
  <c r="BA150" i="3"/>
  <c r="I189" i="3"/>
  <c r="AS189" i="3" s="1"/>
  <c r="BA273" i="3"/>
  <c r="D273" i="3"/>
  <c r="BD273" i="3"/>
  <c r="E273" i="3" s="1"/>
  <c r="BD191" i="3"/>
  <c r="E191" i="3" s="1"/>
  <c r="D191" i="3"/>
  <c r="BA191" i="3"/>
  <c r="D338" i="3"/>
  <c r="BD338" i="3"/>
  <c r="E338" i="3" s="1"/>
  <c r="BA338" i="3"/>
  <c r="AS83" i="3"/>
  <c r="BA433" i="3"/>
  <c r="D433" i="3"/>
  <c r="BD433" i="3"/>
  <c r="E433" i="3" s="1"/>
  <c r="BA137" i="3"/>
  <c r="D137" i="3"/>
  <c r="BD137" i="3"/>
  <c r="E137" i="3" s="1"/>
  <c r="I70" i="3"/>
  <c r="AS70" i="3" s="1"/>
  <c r="AS138" i="3"/>
  <c r="BD260" i="3"/>
  <c r="E260" i="3" s="1"/>
  <c r="D260" i="3"/>
  <c r="BA260" i="3"/>
  <c r="AS157" i="3"/>
  <c r="BD255" i="3"/>
  <c r="E255" i="3" s="1"/>
  <c r="D255" i="3"/>
  <c r="BA255" i="3"/>
  <c r="F219" i="4"/>
  <c r="F4" i="4"/>
  <c r="G4" i="4"/>
  <c r="F256" i="4"/>
  <c r="G256" i="4"/>
  <c r="G138" i="4"/>
  <c r="G118" i="4"/>
  <c r="F118" i="4"/>
  <c r="F106" i="4"/>
  <c r="G106" i="4"/>
  <c r="F155" i="4"/>
  <c r="G155" i="4"/>
  <c r="G103" i="4"/>
  <c r="G226" i="4"/>
  <c r="F226" i="4"/>
  <c r="G211" i="4"/>
  <c r="G91" i="4"/>
  <c r="F91" i="4"/>
  <c r="BD35" i="3"/>
  <c r="E35" i="3" s="1"/>
  <c r="AS355" i="3"/>
  <c r="BD65" i="3"/>
  <c r="E65" i="3" s="1"/>
  <c r="BA195" i="3"/>
  <c r="BD195" i="3"/>
  <c r="E195" i="3" s="1"/>
  <c r="D195" i="3"/>
  <c r="BA381" i="3"/>
  <c r="D381" i="3"/>
  <c r="BD381" i="3"/>
  <c r="E381" i="3" s="1"/>
  <c r="H405" i="3"/>
  <c r="BA179" i="3"/>
  <c r="BA226" i="3"/>
  <c r="D226" i="3"/>
  <c r="BD226" i="3"/>
  <c r="E226" i="3" s="1"/>
  <c r="BD100" i="3"/>
  <c r="E100" i="3" s="1"/>
  <c r="BA100" i="3"/>
  <c r="D100" i="3"/>
  <c r="H277" i="3"/>
  <c r="BD36" i="3"/>
  <c r="E36" i="3" s="1"/>
  <c r="BA36" i="3"/>
  <c r="D36" i="3"/>
  <c r="BA302" i="3"/>
  <c r="BE18" i="3"/>
  <c r="F18" i="3" s="1"/>
  <c r="BD235" i="3"/>
  <c r="E235" i="3" s="1"/>
  <c r="D235" i="3"/>
  <c r="BA235" i="3"/>
  <c r="BA328" i="3"/>
  <c r="D328" i="3"/>
  <c r="BD328" i="3"/>
  <c r="E328" i="3" s="1"/>
  <c r="BA332" i="3"/>
  <c r="BD332" i="3"/>
  <c r="E332" i="3" s="1"/>
  <c r="D332" i="3"/>
  <c r="BA321" i="3"/>
  <c r="BA172" i="3"/>
  <c r="D172" i="3"/>
  <c r="BD172" i="3"/>
  <c r="E172" i="3" s="1"/>
  <c r="F234" i="4"/>
  <c r="G234" i="4"/>
  <c r="G233" i="4"/>
  <c r="F233" i="4"/>
  <c r="G95" i="4"/>
  <c r="F95" i="4"/>
  <c r="G218" i="4"/>
  <c r="F218" i="4"/>
  <c r="BA429" i="3"/>
  <c r="D429" i="3"/>
  <c r="BD429" i="3"/>
  <c r="E429" i="3" s="1"/>
  <c r="G29" i="4"/>
  <c r="F29" i="4"/>
  <c r="F45" i="4"/>
  <c r="G45" i="4"/>
  <c r="G58" i="4"/>
  <c r="F58" i="4"/>
  <c r="G108" i="4"/>
  <c r="F108" i="4"/>
  <c r="G255" i="4"/>
  <c r="F255" i="4"/>
  <c r="G154" i="4"/>
  <c r="F154" i="4"/>
  <c r="BD126" i="3"/>
  <c r="E126" i="3" s="1"/>
  <c r="BA126" i="3"/>
  <c r="D126" i="3"/>
  <c r="BD69" i="3"/>
  <c r="E69" i="3" s="1"/>
  <c r="BA69" i="3"/>
  <c r="D69" i="3"/>
  <c r="BD49" i="3"/>
  <c r="E49" i="3" s="1"/>
  <c r="D49" i="3"/>
  <c r="BA49" i="3"/>
  <c r="AS317" i="3"/>
  <c r="BD416" i="3"/>
  <c r="E416" i="3" s="1"/>
  <c r="BA416" i="3"/>
  <c r="D416" i="3"/>
  <c r="BA196" i="3"/>
  <c r="D196" i="3"/>
  <c r="BD196" i="3"/>
  <c r="E196" i="3" s="1"/>
  <c r="BA380" i="3"/>
  <c r="D380" i="3"/>
  <c r="BD380" i="3"/>
  <c r="E380" i="3" s="1"/>
  <c r="BD51" i="3"/>
  <c r="E51" i="3" s="1"/>
  <c r="BA51" i="3"/>
  <c r="D51" i="3"/>
  <c r="D232" i="3"/>
  <c r="BA232" i="3"/>
  <c r="BD232" i="3"/>
  <c r="E232" i="3" s="1"/>
  <c r="H104" i="3"/>
  <c r="H131" i="3"/>
  <c r="H245" i="3"/>
  <c r="H215" i="3"/>
  <c r="BD341" i="3"/>
  <c r="E341" i="3" s="1"/>
  <c r="BA341" i="3"/>
  <c r="D341" i="3"/>
  <c r="AS181" i="3"/>
  <c r="BD221" i="3"/>
  <c r="E221" i="3" s="1"/>
  <c r="BA221" i="3"/>
  <c r="D221" i="3"/>
  <c r="BD379" i="3"/>
  <c r="E379" i="3" s="1"/>
  <c r="D379" i="3"/>
  <c r="BA379" i="3"/>
  <c r="BA33" i="3"/>
  <c r="BE36" i="3"/>
  <c r="F36" i="3" s="1"/>
  <c r="BD67" i="3"/>
  <c r="E67" i="3" s="1"/>
  <c r="BA67" i="3"/>
  <c r="D67" i="3"/>
  <c r="H160" i="3"/>
  <c r="AS244" i="3"/>
  <c r="AS318" i="3"/>
  <c r="BE50" i="3"/>
  <c r="F50" i="3" s="1"/>
  <c r="BD4" i="3"/>
  <c r="E4" i="3" s="1"/>
  <c r="BA29" i="3"/>
  <c r="D29" i="3"/>
  <c r="BD29" i="3"/>
  <c r="E29" i="3" s="1"/>
  <c r="BA91" i="3"/>
  <c r="D91" i="3"/>
  <c r="BD91" i="3"/>
  <c r="E91" i="3" s="1"/>
  <c r="H418" i="3"/>
  <c r="AS249" i="3"/>
  <c r="H265" i="3"/>
  <c r="BD329" i="3"/>
  <c r="E329" i="3" s="1"/>
  <c r="BA329" i="3"/>
  <c r="D329" i="3"/>
  <c r="BD336" i="3"/>
  <c r="E336" i="3" s="1"/>
  <c r="BA336" i="3"/>
  <c r="D336" i="3"/>
  <c r="BE144" i="3"/>
  <c r="F144" i="3" s="1"/>
  <c r="BE64" i="3"/>
  <c r="F64" i="3" s="1"/>
  <c r="BA299" i="3"/>
  <c r="D299" i="3"/>
  <c r="BD299" i="3"/>
  <c r="E299" i="3" s="1"/>
  <c r="BA75" i="3"/>
  <c r="D75" i="3"/>
  <c r="BD75" i="3"/>
  <c r="E75" i="3" s="1"/>
  <c r="AS314" i="3"/>
  <c r="H227" i="3"/>
  <c r="H374" i="3"/>
  <c r="H361" i="3"/>
  <c r="I184" i="3"/>
  <c r="AS184" i="3" s="1"/>
  <c r="AS236" i="3"/>
  <c r="H206" i="3"/>
  <c r="G127" i="4"/>
  <c r="F190" i="4"/>
  <c r="H366" i="3"/>
  <c r="I366" i="3"/>
  <c r="AS366" i="3" s="1"/>
  <c r="G289" i="4"/>
  <c r="G164" i="4"/>
  <c r="F164" i="4"/>
  <c r="F225" i="4"/>
  <c r="G225" i="4"/>
  <c r="G242" i="4"/>
  <c r="G163" i="4"/>
  <c r="G25" i="4"/>
  <c r="F25" i="4"/>
  <c r="F109" i="4"/>
  <c r="G109" i="4"/>
  <c r="F292" i="4"/>
  <c r="F152" i="4"/>
  <c r="G152" i="4"/>
  <c r="G167" i="4"/>
  <c r="F167" i="4"/>
  <c r="BD159" i="3"/>
  <c r="E159" i="3" s="1"/>
  <c r="BA159" i="3"/>
  <c r="D159" i="3"/>
  <c r="H186" i="3"/>
  <c r="H308" i="3"/>
  <c r="D351" i="3"/>
  <c r="BD351" i="3"/>
  <c r="E351" i="3" s="1"/>
  <c r="BA351" i="3"/>
  <c r="D108" i="3"/>
  <c r="BD210" i="3"/>
  <c r="E210" i="3" s="1"/>
  <c r="BA210" i="3"/>
  <c r="D210" i="3"/>
  <c r="D204" i="3"/>
  <c r="BA204" i="3"/>
  <c r="BD204" i="3"/>
  <c r="E204" i="3" s="1"/>
  <c r="BA57" i="3"/>
  <c r="D57" i="3"/>
  <c r="BD57" i="3"/>
  <c r="E57" i="3" s="1"/>
  <c r="BD424" i="3"/>
  <c r="E424" i="3" s="1"/>
  <c r="BA424" i="3"/>
  <c r="D424" i="3"/>
  <c r="BD239" i="3"/>
  <c r="E239" i="3" s="1"/>
  <c r="H311" i="3"/>
  <c r="BD327" i="3"/>
  <c r="E327" i="3" s="1"/>
  <c r="BA327" i="3"/>
  <c r="D327" i="3"/>
  <c r="BA48" i="3"/>
  <c r="D48" i="3"/>
  <c r="BD48" i="3"/>
  <c r="E48" i="3" s="1"/>
  <c r="BD251" i="3"/>
  <c r="E251" i="3" s="1"/>
  <c r="D251" i="3"/>
  <c r="BA251" i="3"/>
  <c r="BE26" i="3"/>
  <c r="F26" i="3" s="1"/>
  <c r="BD26" i="3"/>
  <c r="E26" i="3" s="1"/>
  <c r="BD382" i="3"/>
  <c r="E382" i="3" s="1"/>
  <c r="BA382" i="3"/>
  <c r="D382" i="3"/>
  <c r="H200" i="3"/>
  <c r="BE58" i="3"/>
  <c r="F58" i="3" s="1"/>
  <c r="BD234" i="3"/>
  <c r="E234" i="3" s="1"/>
  <c r="BA234" i="3"/>
  <c r="D234" i="3"/>
  <c r="BD106" i="3"/>
  <c r="E106" i="3" s="1"/>
  <c r="BA106" i="3"/>
  <c r="D106" i="3"/>
  <c r="BD124" i="3"/>
  <c r="E124" i="3" s="1"/>
  <c r="D124" i="3"/>
  <c r="BA124" i="3"/>
  <c r="BA209" i="3"/>
  <c r="D209" i="3"/>
  <c r="BD209" i="3"/>
  <c r="E209" i="3" s="1"/>
  <c r="AS168" i="3"/>
  <c r="BD145" i="3"/>
  <c r="E145" i="3" s="1"/>
  <c r="BA145" i="3"/>
  <c r="D145" i="3"/>
  <c r="BD194" i="3"/>
  <c r="E194" i="3" s="1"/>
  <c r="D194" i="3"/>
  <c r="BA194" i="3"/>
  <c r="BD203" i="3"/>
  <c r="E203" i="3" s="1"/>
  <c r="D203" i="3"/>
  <c r="BA203" i="3"/>
  <c r="BE12" i="3"/>
  <c r="F12" i="3" s="1"/>
  <c r="D33" i="3"/>
  <c r="BE44" i="3"/>
  <c r="F44" i="3" s="1"/>
  <c r="H109" i="3"/>
  <c r="BA340" i="3"/>
  <c r="D340" i="3"/>
  <c r="BD340" i="3"/>
  <c r="E340" i="3" s="1"/>
  <c r="H280" i="3"/>
  <c r="BE147" i="3"/>
  <c r="F147" i="3" s="1"/>
  <c r="H174" i="3"/>
  <c r="D252" i="3"/>
  <c r="BD252" i="3"/>
  <c r="E252" i="3" s="1"/>
  <c r="BA252" i="3"/>
  <c r="AS169" i="3"/>
  <c r="BD134" i="3"/>
  <c r="E134" i="3" s="1"/>
  <c r="D134" i="3"/>
  <c r="BA134" i="3"/>
  <c r="BE29" i="3"/>
  <c r="F29" i="3" s="1"/>
  <c r="AS165" i="3"/>
  <c r="BA105" i="3"/>
  <c r="D105" i="3"/>
  <c r="BD105" i="3"/>
  <c r="E105" i="3" s="1"/>
  <c r="I423" i="3"/>
  <c r="AS423" i="3" s="1"/>
  <c r="AS396" i="3"/>
  <c r="BA425" i="3"/>
  <c r="D425" i="3"/>
  <c r="BD425" i="3"/>
  <c r="E425" i="3" s="1"/>
  <c r="BD47" i="3"/>
  <c r="E47" i="3" s="1"/>
  <c r="BA47" i="3"/>
  <c r="D47" i="3"/>
  <c r="BD417" i="3"/>
  <c r="E417" i="3" s="1"/>
  <c r="BA417" i="3"/>
  <c r="D417" i="3"/>
  <c r="F78" i="4"/>
  <c r="G78" i="4"/>
  <c r="F158" i="4"/>
  <c r="G158" i="4"/>
  <c r="AS393" i="3"/>
  <c r="F86" i="4"/>
  <c r="G86" i="4"/>
  <c r="F71" i="4"/>
  <c r="G71" i="4"/>
  <c r="G15" i="4"/>
  <c r="F15" i="4"/>
  <c r="G151" i="4"/>
  <c r="F151" i="4"/>
  <c r="G20" i="4"/>
  <c r="F20" i="4"/>
  <c r="D81" i="3"/>
  <c r="BD81" i="3"/>
  <c r="E81" i="3" s="1"/>
  <c r="D199" i="3"/>
  <c r="BA199" i="3"/>
  <c r="BD199" i="3"/>
  <c r="E199" i="3" s="1"/>
  <c r="BA31" i="3"/>
  <c r="BD31" i="3"/>
  <c r="E31" i="3" s="1"/>
  <c r="D31" i="3"/>
  <c r="D271" i="3"/>
  <c r="AS231" i="3"/>
  <c r="BD401" i="3"/>
  <c r="E401" i="3" s="1"/>
  <c r="D401" i="3"/>
  <c r="BA401" i="3"/>
  <c r="BE5" i="3"/>
  <c r="F5" i="3" s="1"/>
  <c r="BA46" i="3"/>
  <c r="D46" i="3"/>
  <c r="BD46" i="3"/>
  <c r="E46" i="3" s="1"/>
  <c r="D378" i="3"/>
  <c r="BA242" i="3"/>
  <c r="BA259" i="3"/>
  <c r="D259" i="3"/>
  <c r="BD259" i="3"/>
  <c r="E259" i="3" s="1"/>
  <c r="BD193" i="3"/>
  <c r="E193" i="3" s="1"/>
  <c r="BA193" i="3"/>
  <c r="D193" i="3"/>
  <c r="BD288" i="3"/>
  <c r="E288" i="3" s="1"/>
  <c r="BA288" i="3"/>
  <c r="D288" i="3"/>
  <c r="BA343" i="3"/>
  <c r="D343" i="3"/>
  <c r="BD343" i="3"/>
  <c r="E343" i="3" s="1"/>
  <c r="BD243" i="3"/>
  <c r="E243" i="3" s="1"/>
  <c r="BA243" i="3"/>
  <c r="D243" i="3"/>
  <c r="BD129" i="3"/>
  <c r="E129" i="3" s="1"/>
  <c r="BA129" i="3"/>
  <c r="D129" i="3"/>
  <c r="D372" i="3"/>
  <c r="D347" i="3"/>
  <c r="BD347" i="3"/>
  <c r="E347" i="3" s="1"/>
  <c r="BA347" i="3"/>
  <c r="BD370" i="3"/>
  <c r="E370" i="3" s="1"/>
  <c r="BA370" i="3"/>
  <c r="D370" i="3"/>
  <c r="G161" i="4"/>
  <c r="F161" i="4"/>
  <c r="I376" i="3"/>
  <c r="AS376" i="3" s="1"/>
  <c r="H376" i="3"/>
  <c r="F141" i="4"/>
  <c r="G280" i="4"/>
  <c r="G239" i="4"/>
  <c r="G47" i="4"/>
  <c r="F47" i="4"/>
  <c r="F147" i="4"/>
  <c r="G147" i="4"/>
  <c r="D30" i="3"/>
  <c r="BD298" i="3"/>
  <c r="E298" i="3" s="1"/>
  <c r="BA298" i="3"/>
  <c r="D298" i="3"/>
  <c r="BA53" i="3"/>
  <c r="BD14" i="3"/>
  <c r="E14" i="3" s="1"/>
  <c r="BA14" i="3"/>
  <c r="D14" i="3"/>
  <c r="AS20" i="3"/>
  <c r="AS114" i="3"/>
  <c r="BD345" i="3"/>
  <c r="E345" i="3" s="1"/>
  <c r="BA345" i="3"/>
  <c r="D345" i="3"/>
  <c r="BD127" i="3"/>
  <c r="E127" i="3" s="1"/>
  <c r="BA127" i="3"/>
  <c r="D127" i="3"/>
  <c r="BD207" i="3"/>
  <c r="E207" i="3" s="1"/>
  <c r="D207" i="3"/>
  <c r="BA207" i="3"/>
  <c r="BA144" i="3"/>
  <c r="D144" i="3"/>
  <c r="BD144" i="3"/>
  <c r="E144" i="3" s="1"/>
  <c r="D156" i="3"/>
  <c r="BD156" i="3"/>
  <c r="E156" i="3" s="1"/>
  <c r="BA156" i="3"/>
  <c r="BD71" i="3"/>
  <c r="E71" i="3" s="1"/>
  <c r="BA71" i="3"/>
  <c r="D71" i="3"/>
  <c r="H224" i="3"/>
  <c r="BD432" i="3"/>
  <c r="E432" i="3" s="1"/>
  <c r="D432" i="3"/>
  <c r="BA432" i="3"/>
  <c r="BA331" i="3"/>
  <c r="D331" i="3"/>
  <c r="BD331" i="3"/>
  <c r="E331" i="3" s="1"/>
  <c r="AS2" i="3"/>
  <c r="D208" i="3"/>
  <c r="BD208" i="3"/>
  <c r="E208" i="3" s="1"/>
  <c r="BA208" i="3"/>
  <c r="BA253" i="3"/>
  <c r="D253" i="3"/>
  <c r="BD253" i="3"/>
  <c r="E253" i="3" s="1"/>
  <c r="BE2" i="3"/>
  <c r="F2" i="3" s="1"/>
  <c r="BD230" i="3"/>
  <c r="E230" i="3" s="1"/>
  <c r="BA230" i="3"/>
  <c r="D230" i="3"/>
  <c r="BA420" i="3"/>
  <c r="D420" i="3"/>
  <c r="BD420" i="3"/>
  <c r="E420" i="3" s="1"/>
  <c r="D258" i="3"/>
  <c r="BD258" i="3"/>
  <c r="E258" i="3" s="1"/>
  <c r="BA258" i="3"/>
  <c r="BE22" i="3"/>
  <c r="F22" i="3" s="1"/>
  <c r="BA68" i="3"/>
  <c r="D68" i="3"/>
  <c r="BD68" i="3"/>
  <c r="E68" i="3" s="1"/>
  <c r="AS116" i="3"/>
  <c r="BA339" i="3"/>
  <c r="D339" i="3"/>
  <c r="BD339" i="3"/>
  <c r="E339" i="3" s="1"/>
  <c r="H178" i="3"/>
  <c r="AS89" i="3"/>
  <c r="AS25" i="3"/>
  <c r="BA22" i="3"/>
  <c r="D22" i="3"/>
  <c r="BD22" i="3"/>
  <c r="E22" i="3" s="1"/>
  <c r="H365" i="3"/>
  <c r="I368" i="3"/>
  <c r="AS368" i="3" s="1"/>
  <c r="I290" i="3"/>
  <c r="AS290" i="3" s="1"/>
  <c r="G137" i="4"/>
  <c r="F258" i="4"/>
  <c r="F273" i="4"/>
  <c r="G273" i="4"/>
  <c r="G93" i="4"/>
  <c r="G198" i="4"/>
  <c r="F198" i="4"/>
  <c r="F189" i="4"/>
  <c r="F195" i="4"/>
  <c r="G195" i="4"/>
  <c r="G75" i="4"/>
  <c r="G128" i="4"/>
  <c r="F128" i="4"/>
  <c r="F114" i="4"/>
  <c r="G114" i="4"/>
  <c r="G268" i="4"/>
  <c r="G240" i="4"/>
  <c r="G68" i="4"/>
  <c r="F68" i="4"/>
  <c r="D192" i="3"/>
  <c r="BD192" i="3"/>
  <c r="E192" i="3" s="1"/>
  <c r="BA192" i="3"/>
  <c r="BE28" i="3"/>
  <c r="F28" i="3" s="1"/>
  <c r="BD28" i="3"/>
  <c r="E28" i="3" s="1"/>
  <c r="D98" i="3"/>
  <c r="BD98" i="3"/>
  <c r="E98" i="3" s="1"/>
  <c r="BA98" i="3"/>
  <c r="BD197" i="3"/>
  <c r="E197" i="3" s="1"/>
  <c r="D197" i="3"/>
  <c r="BA197" i="3"/>
  <c r="BD107" i="3"/>
  <c r="E107" i="3" s="1"/>
  <c r="D107" i="3"/>
  <c r="BA107" i="3"/>
  <c r="D97" i="3"/>
  <c r="BA190" i="3"/>
  <c r="BD190" i="3"/>
  <c r="E190" i="3" s="1"/>
  <c r="D190" i="3"/>
  <c r="BD283" i="3"/>
  <c r="E283" i="3" s="1"/>
  <c r="BA283" i="3"/>
  <c r="D283" i="3"/>
  <c r="BA256" i="3"/>
  <c r="BD256" i="3"/>
  <c r="E256" i="3" s="1"/>
  <c r="D256" i="3"/>
  <c r="D3" i="3"/>
  <c r="BD3" i="3"/>
  <c r="E3" i="3" s="1"/>
  <c r="BA3" i="3"/>
  <c r="BE41" i="3"/>
  <c r="F41" i="3" s="1"/>
  <c r="BD400" i="3"/>
  <c r="E400" i="3" s="1"/>
  <c r="BA400" i="3"/>
  <c r="D400" i="3"/>
  <c r="BA266" i="3"/>
  <c r="D266" i="3"/>
  <c r="BD266" i="3"/>
  <c r="E266" i="3" s="1"/>
  <c r="BA198" i="3"/>
  <c r="BD198" i="3"/>
  <c r="E198" i="3" s="1"/>
  <c r="D198" i="3"/>
  <c r="AS294" i="3"/>
  <c r="AS384" i="3"/>
  <c r="BA90" i="3"/>
  <c r="D90" i="3"/>
  <c r="BD90" i="3"/>
  <c r="E90" i="3" s="1"/>
  <c r="AS399" i="3"/>
  <c r="AS120" i="3"/>
  <c r="BD84" i="3"/>
  <c r="E84" i="3" s="1"/>
  <c r="BA84" i="3"/>
  <c r="D84" i="3"/>
  <c r="BD267" i="3"/>
  <c r="E267" i="3" s="1"/>
  <c r="BA267" i="3"/>
  <c r="D267" i="3"/>
  <c r="AS19" i="3"/>
  <c r="BD333" i="3"/>
  <c r="E333" i="3" s="1"/>
  <c r="BA333" i="3"/>
  <c r="D333" i="3"/>
  <c r="AS132" i="3"/>
  <c r="BE7" i="3"/>
  <c r="F7" i="3" s="1"/>
  <c r="BA94" i="3"/>
  <c r="BD135" i="3"/>
  <c r="E135" i="3" s="1"/>
  <c r="BA135" i="3"/>
  <c r="D135" i="3"/>
  <c r="I315" i="3"/>
  <c r="AS315" i="3" s="1"/>
  <c r="BD386" i="3"/>
  <c r="E386" i="3" s="1"/>
  <c r="BA386" i="3"/>
  <c r="D386" i="3"/>
  <c r="AS421" i="3"/>
  <c r="BA402" i="3"/>
  <c r="D402" i="3"/>
  <c r="BD402" i="3"/>
  <c r="E402" i="3" s="1"/>
  <c r="BD354" i="3"/>
  <c r="E354" i="3" s="1"/>
  <c r="BA354" i="3"/>
  <c r="D354" i="3"/>
  <c r="AS356" i="3"/>
  <c r="F97" i="4"/>
  <c r="G97" i="4"/>
  <c r="I369" i="3"/>
  <c r="AS369" i="3" s="1"/>
  <c r="H369" i="3"/>
  <c r="BA390" i="3"/>
  <c r="F101" i="4"/>
  <c r="G101" i="4"/>
  <c r="F301" i="4"/>
  <c r="G301" i="4"/>
  <c r="F21" i="4"/>
  <c r="G21" i="4"/>
  <c r="H367" i="3"/>
  <c r="I367" i="3"/>
  <c r="AS367" i="3" s="1"/>
  <c r="G117" i="4"/>
  <c r="F117" i="4"/>
  <c r="F125" i="4"/>
  <c r="G125" i="4"/>
  <c r="BD383" i="3"/>
  <c r="E383" i="3" s="1"/>
  <c r="BA383" i="3"/>
  <c r="D383" i="3"/>
  <c r="BA335" i="3"/>
  <c r="D335" i="3"/>
  <c r="BD335" i="3"/>
  <c r="E335" i="3" s="1"/>
  <c r="G252" i="4"/>
  <c r="BA292" i="3"/>
  <c r="BD292" i="3"/>
  <c r="E292" i="3" s="1"/>
  <c r="D292" i="3"/>
  <c r="G222" i="4"/>
  <c r="G99" i="4"/>
  <c r="G245" i="4"/>
  <c r="G202" i="4"/>
  <c r="G177" i="4"/>
  <c r="BA407" i="3"/>
  <c r="D407" i="3"/>
  <c r="BD407" i="3"/>
  <c r="E407" i="3" s="1"/>
  <c r="D337" i="3"/>
  <c r="BA337" i="3"/>
  <c r="BD337" i="3"/>
  <c r="E337" i="3" s="1"/>
  <c r="F43" i="4"/>
  <c r="G107" i="4"/>
  <c r="G72" i="4"/>
  <c r="F283" i="4"/>
  <c r="F133" i="4"/>
  <c r="BD362" i="3"/>
  <c r="E362" i="3" s="1"/>
  <c r="BA362" i="3"/>
  <c r="D362" i="3"/>
  <c r="G288" i="4"/>
  <c r="F250" i="4"/>
  <c r="F174" i="4"/>
  <c r="BA371" i="3"/>
  <c r="D371" i="3"/>
  <c r="G243" i="4"/>
  <c r="F285" i="4"/>
  <c r="F270" i="4"/>
  <c r="F294" i="4"/>
  <c r="F28" i="4"/>
  <c r="F100" i="4"/>
  <c r="F149" i="4"/>
  <c r="F221" i="4"/>
  <c r="BA389" i="3"/>
  <c r="D389" i="3"/>
  <c r="BD389" i="3"/>
  <c r="E389" i="3" s="1"/>
  <c r="F63" i="4"/>
  <c r="F70" i="4"/>
  <c r="G224" i="4"/>
  <c r="F156" i="4"/>
  <c r="F123" i="4"/>
  <c r="F74" i="4"/>
  <c r="BD388" i="3"/>
  <c r="E388" i="3" s="1"/>
  <c r="D388" i="3"/>
  <c r="BA388" i="3"/>
  <c r="BA237" i="3" l="1"/>
  <c r="BA154" i="3"/>
  <c r="BD411" i="3"/>
  <c r="E411" i="3" s="1"/>
  <c r="D39" i="3"/>
  <c r="D154" i="3"/>
  <c r="D411" i="3"/>
  <c r="D321" i="3"/>
  <c r="D319" i="3"/>
  <c r="BD15" i="3"/>
  <c r="E15" i="3" s="1"/>
  <c r="D245" i="3"/>
  <c r="BA72" i="3"/>
  <c r="D72" i="3"/>
  <c r="BD72" i="3"/>
  <c r="E72" i="3" s="1"/>
  <c r="BA395" i="3"/>
  <c r="D7" i="3"/>
  <c r="BD395" i="3"/>
  <c r="E395" i="3" s="1"/>
  <c r="BA7" i="3"/>
  <c r="BA21" i="3"/>
  <c r="BD21" i="3"/>
  <c r="E21" i="3" s="1"/>
  <c r="D215" i="3"/>
  <c r="BA305" i="3"/>
  <c r="BA215" i="3"/>
  <c r="BA271" i="3"/>
  <c r="D239" i="3"/>
  <c r="BD431" i="3"/>
  <c r="E431" i="3" s="1"/>
  <c r="BD410" i="3"/>
  <c r="E410" i="3" s="1"/>
  <c r="BA180" i="3"/>
  <c r="BA39" i="3"/>
  <c r="D128" i="3"/>
  <c r="BA286" i="3"/>
  <c r="D269" i="3"/>
  <c r="BD38" i="3"/>
  <c r="E38" i="3" s="1"/>
  <c r="BA151" i="3"/>
  <c r="BA102" i="3"/>
  <c r="BA359" i="3"/>
  <c r="D102" i="3"/>
  <c r="BD80" i="3"/>
  <c r="E80" i="3" s="1"/>
  <c r="BA117" i="3"/>
  <c r="D277" i="3"/>
  <c r="D112" i="3"/>
  <c r="BD117" i="3"/>
  <c r="E117" i="3" s="1"/>
  <c r="BD301" i="3"/>
  <c r="E301" i="3" s="1"/>
  <c r="BA277" i="3"/>
  <c r="BD390" i="3"/>
  <c r="E390" i="3" s="1"/>
  <c r="BD30" i="3"/>
  <c r="E30" i="3" s="1"/>
  <c r="D300" i="3"/>
  <c r="BD174" i="3"/>
  <c r="E174" i="3" s="1"/>
  <c r="BA316" i="3"/>
  <c r="D374" i="3"/>
  <c r="BD316" i="3"/>
  <c r="E316" i="3" s="1"/>
  <c r="BD414" i="3"/>
  <c r="E414" i="3" s="1"/>
  <c r="D15" i="3"/>
  <c r="D179" i="3"/>
  <c r="D285" i="3"/>
  <c r="BD363" i="3"/>
  <c r="E363" i="3" s="1"/>
  <c r="D80" i="3"/>
  <c r="D32" i="3"/>
  <c r="BA404" i="3"/>
  <c r="BD418" i="3"/>
  <c r="E418" i="3" s="1"/>
  <c r="BA285" i="3"/>
  <c r="BA96" i="3"/>
  <c r="BD32" i="3"/>
  <c r="E32" i="3" s="1"/>
  <c r="D40" i="3"/>
  <c r="BA40" i="3"/>
  <c r="BD353" i="3"/>
  <c r="E353" i="3" s="1"/>
  <c r="BD148" i="3"/>
  <c r="E148" i="3" s="1"/>
  <c r="BA374" i="3"/>
  <c r="D363" i="3"/>
  <c r="BD163" i="3"/>
  <c r="E163" i="3" s="1"/>
  <c r="BA378" i="3"/>
  <c r="BD162" i="3"/>
  <c r="E162" i="3" s="1"/>
  <c r="BA223" i="3"/>
  <c r="BD111" i="3"/>
  <c r="E111" i="3" s="1"/>
  <c r="BA306" i="3"/>
  <c r="D223" i="3"/>
  <c r="D161" i="3"/>
  <c r="BA431" i="3"/>
  <c r="BD246" i="3"/>
  <c r="E246" i="3" s="1"/>
  <c r="BA377" i="3"/>
  <c r="BA119" i="3"/>
  <c r="D301" i="3"/>
  <c r="BA246" i="3"/>
  <c r="BA300" i="3"/>
  <c r="D119" i="3"/>
  <c r="D364" i="3"/>
  <c r="BD364" i="3"/>
  <c r="E364" i="3" s="1"/>
  <c r="BA364" i="3"/>
  <c r="BD405" i="3"/>
  <c r="E405" i="3" s="1"/>
  <c r="D151" i="3"/>
  <c r="D94" i="3"/>
  <c r="BD422" i="3"/>
  <c r="E422" i="3" s="1"/>
  <c r="D414" i="3"/>
  <c r="BA54" i="3"/>
  <c r="BD5" i="3"/>
  <c r="E5" i="3" s="1"/>
  <c r="BA73" i="3"/>
  <c r="BA373" i="3"/>
  <c r="D308" i="3"/>
  <c r="BA353" i="3"/>
  <c r="D73" i="3"/>
  <c r="D373" i="3"/>
  <c r="D5" i="3"/>
  <c r="BA308" i="3"/>
  <c r="D213" i="3"/>
  <c r="BA422" i="3"/>
  <c r="BD176" i="3"/>
  <c r="E176" i="3" s="1"/>
  <c r="D54" i="3"/>
  <c r="BA392" i="3"/>
  <c r="D176" i="3"/>
  <c r="D96" i="3"/>
  <c r="BA410" i="3"/>
  <c r="BA186" i="3"/>
  <c r="D115" i="3"/>
  <c r="BA274" i="3"/>
  <c r="BD302" i="3"/>
  <c r="E302" i="3" s="1"/>
  <c r="BA128" i="3"/>
  <c r="BD392" i="3"/>
  <c r="E392" i="3" s="1"/>
  <c r="BA112" i="3"/>
  <c r="D139" i="3"/>
  <c r="BA427" i="3"/>
  <c r="D358" i="3"/>
  <c r="BD242" i="3"/>
  <c r="E242" i="3" s="1"/>
  <c r="D359" i="3"/>
  <c r="D183" i="3"/>
  <c r="D305" i="3"/>
  <c r="BD212" i="3"/>
  <c r="E212" i="3" s="1"/>
  <c r="BA212" i="3"/>
  <c r="D212" i="3"/>
  <c r="BA272" i="3"/>
  <c r="BD272" i="3"/>
  <c r="E272" i="3" s="1"/>
  <c r="D272" i="3"/>
  <c r="BD88" i="3"/>
  <c r="E88" i="3" s="1"/>
  <c r="D88" i="3"/>
  <c r="BA88" i="3"/>
  <c r="BD103" i="3"/>
  <c r="E103" i="3" s="1"/>
  <c r="D103" i="3"/>
  <c r="D250" i="3"/>
  <c r="BA250" i="3"/>
  <c r="BD250" i="3"/>
  <c r="E250" i="3" s="1"/>
  <c r="BA17" i="3"/>
  <c r="BD104" i="3"/>
  <c r="E104" i="3" s="1"/>
  <c r="BD398" i="3"/>
  <c r="E398" i="3" s="1"/>
  <c r="BD87" i="3"/>
  <c r="E87" i="3" s="1"/>
  <c r="BA87" i="3"/>
  <c r="D87" i="3"/>
  <c r="BD13" i="3"/>
  <c r="E13" i="3" s="1"/>
  <c r="BD17" i="3"/>
  <c r="E17" i="3" s="1"/>
  <c r="BD123" i="3"/>
  <c r="E123" i="3" s="1"/>
  <c r="D200" i="3"/>
  <c r="D320" i="3"/>
  <c r="D418" i="3"/>
  <c r="BA217" i="3"/>
  <c r="D270" i="3"/>
  <c r="BA265" i="3"/>
  <c r="BA428" i="3"/>
  <c r="BD313" i="3"/>
  <c r="E313" i="3" s="1"/>
  <c r="D131" i="3"/>
  <c r="BA38" i="3"/>
  <c r="D141" i="3"/>
  <c r="D16" i="3"/>
  <c r="BA95" i="3"/>
  <c r="D142" i="3"/>
  <c r="D375" i="3"/>
  <c r="D217" i="3"/>
  <c r="BA270" i="3"/>
  <c r="BA291" i="3"/>
  <c r="BD265" i="3"/>
  <c r="E265" i="3" s="1"/>
  <c r="BD428" i="3"/>
  <c r="E428" i="3" s="1"/>
  <c r="D313" i="3"/>
  <c r="BD131" i="3"/>
  <c r="E131" i="3" s="1"/>
  <c r="BD269" i="3"/>
  <c r="E269" i="3" s="1"/>
  <c r="BA141" i="3"/>
  <c r="BD95" i="3"/>
  <c r="E95" i="3" s="1"/>
  <c r="BA142" i="3"/>
  <c r="BA375" i="3"/>
  <c r="D291" i="3"/>
  <c r="BA206" i="3"/>
  <c r="BD426" i="3"/>
  <c r="E426" i="3" s="1"/>
  <c r="BA349" i="3"/>
  <c r="BD53" i="3"/>
  <c r="E53" i="3" s="1"/>
  <c r="D228" i="3"/>
  <c r="BD93" i="3"/>
  <c r="E93" i="3" s="1"/>
  <c r="BA8" i="3"/>
  <c r="BD8" i="3"/>
  <c r="E8" i="3" s="1"/>
  <c r="D8" i="3"/>
  <c r="BA430" i="3"/>
  <c r="D430" i="3"/>
  <c r="BD430" i="3"/>
  <c r="E430" i="3" s="1"/>
  <c r="BD404" i="3"/>
  <c r="E404" i="3" s="1"/>
  <c r="D140" i="3"/>
  <c r="D123" i="3"/>
  <c r="D13" i="3"/>
  <c r="D18" i="3"/>
  <c r="BD200" i="3"/>
  <c r="E200" i="3" s="1"/>
  <c r="BA311" i="3"/>
  <c r="BA140" i="3"/>
  <c r="D287" i="3"/>
  <c r="D74" i="3"/>
  <c r="BD287" i="3"/>
  <c r="E287" i="3" s="1"/>
  <c r="BA74" i="3"/>
  <c r="D10" i="3"/>
  <c r="BA406" i="3"/>
  <c r="BD326" i="3"/>
  <c r="E326" i="3" s="1"/>
  <c r="BA10" i="3"/>
  <c r="BD310" i="3"/>
  <c r="E310" i="3" s="1"/>
  <c r="D41" i="3"/>
  <c r="BD406" i="3"/>
  <c r="E406" i="3" s="1"/>
  <c r="BA326" i="3"/>
  <c r="BA160" i="3"/>
  <c r="D310" i="3"/>
  <c r="BA394" i="3"/>
  <c r="BA41" i="3"/>
  <c r="BD394" i="3"/>
  <c r="E394" i="3" s="1"/>
  <c r="BD160" i="3"/>
  <c r="E160" i="3" s="1"/>
  <c r="BA385" i="3"/>
  <c r="D303" i="3"/>
  <c r="BD409" i="3"/>
  <c r="E409" i="3" s="1"/>
  <c r="BA185" i="3"/>
  <c r="BA101" i="3"/>
  <c r="BD185" i="3"/>
  <c r="E185" i="3" s="1"/>
  <c r="BA398" i="3"/>
  <c r="BD82" i="3"/>
  <c r="E82" i="3" s="1"/>
  <c r="BD101" i="3"/>
  <c r="E101" i="3" s="1"/>
  <c r="D175" i="3"/>
  <c r="BA162" i="3"/>
  <c r="BA357" i="3"/>
  <c r="D426" i="3"/>
  <c r="BD79" i="3"/>
  <c r="E79" i="3" s="1"/>
  <c r="D79" i="3"/>
  <c r="BA79" i="3"/>
  <c r="D113" i="3"/>
  <c r="BD113" i="3"/>
  <c r="E113" i="3" s="1"/>
  <c r="BA113" i="3"/>
  <c r="D229" i="3"/>
  <c r="BA229" i="3"/>
  <c r="BA307" i="3"/>
  <c r="D307" i="3"/>
  <c r="BD240" i="3"/>
  <c r="E240" i="3" s="1"/>
  <c r="BA240" i="3"/>
  <c r="D240" i="3"/>
  <c r="BD183" i="3"/>
  <c r="E183" i="3" s="1"/>
  <c r="BA148" i="3"/>
  <c r="BA205" i="3"/>
  <c r="BD413" i="3"/>
  <c r="E413" i="3" s="1"/>
  <c r="BA358" i="3"/>
  <c r="BD286" i="3"/>
  <c r="E286" i="3" s="1"/>
  <c r="BA372" i="3"/>
  <c r="BA97" i="3"/>
  <c r="BA108" i="3"/>
  <c r="BA224" i="3"/>
  <c r="BD284" i="3"/>
  <c r="E284" i="3" s="1"/>
  <c r="BA43" i="3"/>
  <c r="D289" i="3"/>
  <c r="BA325" i="3"/>
  <c r="BA103" i="3"/>
  <c r="BA403" i="3"/>
  <c r="BA412" i="3"/>
  <c r="BD403" i="3"/>
  <c r="E403" i="3" s="1"/>
  <c r="BD161" i="3"/>
  <c r="E161" i="3" s="1"/>
  <c r="BD78" i="3"/>
  <c r="E78" i="3" s="1"/>
  <c r="BD224" i="3"/>
  <c r="E224" i="3" s="1"/>
  <c r="BD43" i="3"/>
  <c r="E43" i="3" s="1"/>
  <c r="BA289" i="3"/>
  <c r="BD325" i="3"/>
  <c r="E325" i="3" s="1"/>
  <c r="BD412" i="3"/>
  <c r="E412" i="3" s="1"/>
  <c r="BA352" i="3"/>
  <c r="D78" i="3"/>
  <c r="BD350" i="3"/>
  <c r="E350" i="3" s="1"/>
  <c r="BD352" i="3"/>
  <c r="E352" i="3" s="1"/>
  <c r="BA350" i="3"/>
  <c r="D34" i="3"/>
  <c r="BD34" i="3"/>
  <c r="E34" i="3" s="1"/>
  <c r="BA34" i="3"/>
  <c r="BA16" i="3"/>
  <c r="BD237" i="3"/>
  <c r="E237" i="3" s="1"/>
  <c r="D357" i="3"/>
  <c r="BA175" i="3"/>
  <c r="D342" i="3"/>
  <c r="BD342" i="3"/>
  <c r="E342" i="3" s="1"/>
  <c r="BA342" i="3"/>
  <c r="BD216" i="3"/>
  <c r="E216" i="3" s="1"/>
  <c r="D216" i="3"/>
  <c r="BA216" i="3"/>
  <c r="BA309" i="3"/>
  <c r="D276" i="3"/>
  <c r="BD307" i="3"/>
  <c r="E307" i="3" s="1"/>
  <c r="D293" i="3"/>
  <c r="BA82" i="3"/>
  <c r="BA320" i="3"/>
  <c r="BD309" i="3"/>
  <c r="E309" i="3" s="1"/>
  <c r="BA276" i="3"/>
  <c r="BA293" i="3"/>
  <c r="D149" i="3"/>
  <c r="D361" i="3"/>
  <c r="BD205" i="3"/>
  <c r="E205" i="3" s="1"/>
  <c r="BD377" i="3"/>
  <c r="E377" i="3" s="1"/>
  <c r="BA93" i="3"/>
  <c r="BD229" i="3"/>
  <c r="E229" i="3" s="1"/>
  <c r="D153" i="3"/>
  <c r="BD149" i="3"/>
  <c r="E149" i="3" s="1"/>
  <c r="BA361" i="3"/>
  <c r="BA218" i="3"/>
  <c r="D279" i="3"/>
  <c r="BA153" i="3"/>
  <c r="D218" i="3"/>
  <c r="BA279" i="3"/>
  <c r="BD228" i="3"/>
  <c r="E228" i="3" s="1"/>
  <c r="BD227" i="3"/>
  <c r="E227" i="3" s="1"/>
  <c r="BD109" i="3"/>
  <c r="E109" i="3" s="1"/>
  <c r="BA111" i="3"/>
  <c r="BA409" i="3"/>
  <c r="BA227" i="3"/>
  <c r="BD110" i="3"/>
  <c r="E110" i="3" s="1"/>
  <c r="BA284" i="3"/>
  <c r="D109" i="3"/>
  <c r="BA213" i="3"/>
  <c r="BD349" i="3"/>
  <c r="E349" i="3" s="1"/>
  <c r="BA59" i="3"/>
  <c r="D59" i="3"/>
  <c r="D86" i="3"/>
  <c r="BD86" i="3"/>
  <c r="E86" i="3" s="1"/>
  <c r="BA86" i="3"/>
  <c r="BD245" i="3"/>
  <c r="E245" i="3" s="1"/>
  <c r="D187" i="3"/>
  <c r="BA110" i="3"/>
  <c r="BA174" i="3"/>
  <c r="BA187" i="3"/>
  <c r="BA421" i="3"/>
  <c r="D421" i="3"/>
  <c r="BD421" i="3"/>
  <c r="E421" i="3" s="1"/>
  <c r="BA19" i="3"/>
  <c r="D19" i="3"/>
  <c r="BD19" i="3"/>
  <c r="E19" i="3" s="1"/>
  <c r="BD294" i="3"/>
  <c r="E294" i="3" s="1"/>
  <c r="D294" i="3"/>
  <c r="BA294" i="3"/>
  <c r="D169" i="3"/>
  <c r="BD169" i="3"/>
  <c r="E169" i="3" s="1"/>
  <c r="BA169" i="3"/>
  <c r="BD184" i="3"/>
  <c r="E184" i="3" s="1"/>
  <c r="BA184" i="3"/>
  <c r="D184" i="3"/>
  <c r="BA220" i="3"/>
  <c r="BD220" i="3"/>
  <c r="E220" i="3" s="1"/>
  <c r="D220" i="3"/>
  <c r="D244" i="3"/>
  <c r="BD244" i="3"/>
  <c r="E244" i="3" s="1"/>
  <c r="BA244" i="3"/>
  <c r="D164" i="3"/>
  <c r="BD164" i="3"/>
  <c r="E164" i="3" s="1"/>
  <c r="BA164" i="3"/>
  <c r="D419" i="3"/>
  <c r="BD419" i="3"/>
  <c r="E419" i="3" s="1"/>
  <c r="BA419" i="3"/>
  <c r="BD275" i="3"/>
  <c r="E275" i="3" s="1"/>
  <c r="D275" i="3"/>
  <c r="BA275" i="3"/>
  <c r="BD238" i="3"/>
  <c r="E238" i="3" s="1"/>
  <c r="BA238" i="3"/>
  <c r="D238" i="3"/>
  <c r="BD278" i="3"/>
  <c r="E278" i="3" s="1"/>
  <c r="BA278" i="3"/>
  <c r="D278" i="3"/>
  <c r="BA247" i="3"/>
  <c r="D247" i="3"/>
  <c r="BD247" i="3"/>
  <c r="E247" i="3" s="1"/>
  <c r="BD132" i="3"/>
  <c r="E132" i="3" s="1"/>
  <c r="BA132" i="3"/>
  <c r="D132" i="3"/>
  <c r="BD138" i="3"/>
  <c r="E138" i="3" s="1"/>
  <c r="BA138" i="3"/>
  <c r="D138" i="3"/>
  <c r="BA83" i="3"/>
  <c r="D83" i="3"/>
  <c r="BD83" i="3"/>
  <c r="E83" i="3" s="1"/>
  <c r="BD346" i="3"/>
  <c r="E346" i="3" s="1"/>
  <c r="D346" i="3"/>
  <c r="BA346" i="3"/>
  <c r="D312" i="3"/>
  <c r="BD312" i="3"/>
  <c r="E312" i="3" s="1"/>
  <c r="BA312" i="3"/>
  <c r="D37" i="3"/>
  <c r="BA37" i="3"/>
  <c r="BD37" i="3"/>
  <c r="E37" i="3" s="1"/>
  <c r="BA76" i="3"/>
  <c r="D76" i="3"/>
  <c r="BD76" i="3"/>
  <c r="E76" i="3" s="1"/>
  <c r="BA177" i="3"/>
  <c r="D177" i="3"/>
  <c r="BD177" i="3"/>
  <c r="E177" i="3" s="1"/>
  <c r="BD70" i="3"/>
  <c r="E70" i="3" s="1"/>
  <c r="BA70" i="3"/>
  <c r="D70" i="3"/>
  <c r="D264" i="3"/>
  <c r="BA264" i="3"/>
  <c r="BD264" i="3"/>
  <c r="E264" i="3" s="1"/>
  <c r="BD214" i="3"/>
  <c r="E214" i="3" s="1"/>
  <c r="D214" i="3"/>
  <c r="BA214" i="3"/>
  <c r="D391" i="3"/>
  <c r="BD391" i="3"/>
  <c r="E391" i="3" s="1"/>
  <c r="BA391" i="3"/>
  <c r="BD369" i="3"/>
  <c r="E369" i="3" s="1"/>
  <c r="BA369" i="3"/>
  <c r="D369" i="3"/>
  <c r="BD356" i="3"/>
  <c r="E356" i="3" s="1"/>
  <c r="BA356" i="3"/>
  <c r="D356" i="3"/>
  <c r="BA399" i="3"/>
  <c r="D399" i="3"/>
  <c r="BD399" i="3"/>
  <c r="E399" i="3" s="1"/>
  <c r="BA2" i="3"/>
  <c r="D2" i="3"/>
  <c r="BD2" i="3"/>
  <c r="E2" i="3" s="1"/>
  <c r="D165" i="3"/>
  <c r="BA165" i="3"/>
  <c r="BD165" i="3"/>
  <c r="E165" i="3" s="1"/>
  <c r="D397" i="3"/>
  <c r="BD397" i="3"/>
  <c r="E397" i="3" s="1"/>
  <c r="BA397" i="3"/>
  <c r="BD297" i="3"/>
  <c r="E297" i="3" s="1"/>
  <c r="BA297" i="3"/>
  <c r="D297" i="3"/>
  <c r="BD188" i="3"/>
  <c r="E188" i="3" s="1"/>
  <c r="BA188" i="3"/>
  <c r="D188" i="3"/>
  <c r="BD25" i="3"/>
  <c r="E25" i="3" s="1"/>
  <c r="BA25" i="3"/>
  <c r="D25" i="3"/>
  <c r="BD52" i="3"/>
  <c r="E52" i="3" s="1"/>
  <c r="BA52" i="3"/>
  <c r="D52" i="3"/>
  <c r="BD376" i="3"/>
  <c r="E376" i="3" s="1"/>
  <c r="BA376" i="3"/>
  <c r="D376" i="3"/>
  <c r="BD133" i="3"/>
  <c r="E133" i="3" s="1"/>
  <c r="BA133" i="3"/>
  <c r="D133" i="3"/>
  <c r="BA314" i="3"/>
  <c r="BD314" i="3"/>
  <c r="E314" i="3" s="1"/>
  <c r="D314" i="3"/>
  <c r="BD189" i="3"/>
  <c r="E189" i="3" s="1"/>
  <c r="BA189" i="3"/>
  <c r="D189" i="3"/>
  <c r="BD304" i="3"/>
  <c r="E304" i="3" s="1"/>
  <c r="BA304" i="3"/>
  <c r="D304" i="3"/>
  <c r="BD182" i="3"/>
  <c r="E182" i="3" s="1"/>
  <c r="BA182" i="3"/>
  <c r="D182" i="3"/>
  <c r="D166" i="3"/>
  <c r="BA166" i="3"/>
  <c r="BD166" i="3"/>
  <c r="E166" i="3" s="1"/>
  <c r="BD315" i="3"/>
  <c r="E315" i="3" s="1"/>
  <c r="BA315" i="3"/>
  <c r="D315" i="3"/>
  <c r="D89" i="3"/>
  <c r="BD89" i="3"/>
  <c r="E89" i="3" s="1"/>
  <c r="BA89" i="3"/>
  <c r="BD249" i="3"/>
  <c r="E249" i="3" s="1"/>
  <c r="BA249" i="3"/>
  <c r="D249" i="3"/>
  <c r="BD181" i="3"/>
  <c r="E181" i="3" s="1"/>
  <c r="BA181" i="3"/>
  <c r="D181" i="3"/>
  <c r="D157" i="3"/>
  <c r="BD157" i="3"/>
  <c r="E157" i="3" s="1"/>
  <c r="BA157" i="3"/>
  <c r="BD365" i="3"/>
  <c r="E365" i="3" s="1"/>
  <c r="BA365" i="3"/>
  <c r="D365" i="3"/>
  <c r="D45" i="3"/>
  <c r="BD45" i="3"/>
  <c r="E45" i="3" s="1"/>
  <c r="BA45" i="3"/>
  <c r="BD248" i="3"/>
  <c r="E248" i="3" s="1"/>
  <c r="BA248" i="3"/>
  <c r="D248" i="3"/>
  <c r="BD290" i="3"/>
  <c r="E290" i="3" s="1"/>
  <c r="BA290" i="3"/>
  <c r="D290" i="3"/>
  <c r="D114" i="3"/>
  <c r="BD114" i="3"/>
  <c r="E114" i="3" s="1"/>
  <c r="BA114" i="3"/>
  <c r="D231" i="3"/>
  <c r="BA231" i="3"/>
  <c r="BD231" i="3"/>
  <c r="E231" i="3" s="1"/>
  <c r="D396" i="3"/>
  <c r="BD396" i="3"/>
  <c r="E396" i="3" s="1"/>
  <c r="BA396" i="3"/>
  <c r="BD366" i="3"/>
  <c r="E366" i="3" s="1"/>
  <c r="BA366" i="3"/>
  <c r="D366" i="3"/>
  <c r="D323" i="3"/>
  <c r="BD323" i="3"/>
  <c r="E323" i="3" s="1"/>
  <c r="BA323" i="3"/>
  <c r="D167" i="3"/>
  <c r="BD167" i="3"/>
  <c r="E167" i="3" s="1"/>
  <c r="BA167" i="3"/>
  <c r="BA324" i="3"/>
  <c r="D324" i="3"/>
  <c r="BD324" i="3"/>
  <c r="E324" i="3" s="1"/>
  <c r="BD178" i="3"/>
  <c r="E178" i="3" s="1"/>
  <c r="BA178" i="3"/>
  <c r="D178" i="3"/>
  <c r="BD322" i="3"/>
  <c r="E322" i="3" s="1"/>
  <c r="BA322" i="3"/>
  <c r="D322" i="3"/>
  <c r="D116" i="3"/>
  <c r="BD116" i="3"/>
  <c r="E116" i="3" s="1"/>
  <c r="BA116" i="3"/>
  <c r="BA393" i="3"/>
  <c r="BD393" i="3"/>
  <c r="E393" i="3" s="1"/>
  <c r="D393" i="3"/>
  <c r="BD367" i="3"/>
  <c r="E367" i="3" s="1"/>
  <c r="BA367" i="3"/>
  <c r="D367" i="3"/>
  <c r="D120" i="3"/>
  <c r="BD120" i="3"/>
  <c r="E120" i="3" s="1"/>
  <c r="BA120" i="3"/>
  <c r="D384" i="3"/>
  <c r="BD384" i="3"/>
  <c r="E384" i="3" s="1"/>
  <c r="BA384" i="3"/>
  <c r="BD368" i="3"/>
  <c r="E368" i="3" s="1"/>
  <c r="BA368" i="3"/>
  <c r="D368" i="3"/>
  <c r="D20" i="3"/>
  <c r="BD20" i="3"/>
  <c r="E20" i="3" s="1"/>
  <c r="BA20" i="3"/>
  <c r="BA423" i="3"/>
  <c r="D423" i="3"/>
  <c r="BD423" i="3"/>
  <c r="E423" i="3" s="1"/>
  <c r="D168" i="3"/>
  <c r="BD168" i="3"/>
  <c r="E168" i="3" s="1"/>
  <c r="BA168" i="3"/>
  <c r="BA236" i="3"/>
  <c r="BD236" i="3"/>
  <c r="E236" i="3" s="1"/>
  <c r="D236" i="3"/>
  <c r="BA318" i="3"/>
  <c r="BD318" i="3"/>
  <c r="E318" i="3" s="1"/>
  <c r="D318" i="3"/>
  <c r="D170" i="3"/>
  <c r="BD170" i="3"/>
  <c r="E170" i="3" s="1"/>
  <c r="BA170" i="3"/>
  <c r="BA317" i="3"/>
  <c r="D317" i="3"/>
  <c r="BD317" i="3"/>
  <c r="E317" i="3" s="1"/>
  <c r="BA355" i="3"/>
  <c r="BD355" i="3"/>
  <c r="E355" i="3" s="1"/>
  <c r="D355" i="3"/>
  <c r="BA296" i="3"/>
  <c r="D296" i="3"/>
  <c r="BD296" i="3"/>
  <c r="E296" i="3" s="1"/>
  <c r="BA219" i="3"/>
  <c r="BD219" i="3"/>
  <c r="E219" i="3" s="1"/>
  <c r="D219" i="3"/>
  <c r="BD136" i="3"/>
  <c r="E136" i="3" s="1"/>
  <c r="BA136" i="3"/>
  <c r="D136" i="3"/>
</calcChain>
</file>

<file path=xl/sharedStrings.xml><?xml version="1.0" encoding="utf-8"?>
<sst xmlns="http://schemas.openxmlformats.org/spreadsheetml/2006/main" count="9222" uniqueCount="2273">
  <si>
    <t>Análisis del terremoto — resumen general</t>
  </si>
  <si>
    <t> </t>
  </si>
  <si>
    <t>Indicadores clave</t>
  </si>
  <si>
    <t>Departamento</t>
  </si>
  <si>
    <t>N.º de municipios</t>
  </si>
  <si>
    <t>Puntos totales</t>
  </si>
  <si>
    <t>Indice de Pobreza - 2025</t>
  </si>
  <si>
    <t>Indicador</t>
  </si>
  <si>
    <t>Cifras</t>
  </si>
  <si>
    <t>Valor</t>
  </si>
  <si>
    <t>Antioquia</t>
  </si>
  <si>
    <t>Magnitud y epicentro</t>
  </si>
  <si>
    <t>7,4 - San José del Palmar(Chocó)</t>
  </si>
  <si>
    <t>Departamentos afectados</t>
  </si>
  <si>
    <t>Atlántico</t>
  </si>
  <si>
    <t>Viviendas destruidas</t>
  </si>
  <si>
    <t>Municipios afectados</t>
  </si>
  <si>
    <t>Bogotá D.C.</t>
  </si>
  <si>
    <t>Viviendas averiadas</t>
  </si>
  <si>
    <t>Bolívar</t>
  </si>
  <si>
    <t>edificios colapsados</t>
  </si>
  <si>
    <t>Viviendas afectadas</t>
  </si>
  <si>
    <t>Boyacá</t>
  </si>
  <si>
    <t xml:space="preserve">Centros de salud </t>
  </si>
  <si>
    <t>Caldas</t>
  </si>
  <si>
    <t>vías afectadas</t>
  </si>
  <si>
    <t>Caquetá</t>
  </si>
  <si>
    <t>Centros educativos</t>
  </si>
  <si>
    <t>Cauca</t>
  </si>
  <si>
    <t>Cesar</t>
  </si>
  <si>
    <t>Fallecidos</t>
  </si>
  <si>
    <t>Chocó</t>
  </si>
  <si>
    <t>Heridos</t>
  </si>
  <si>
    <t>Córdoba</t>
  </si>
  <si>
    <t>Desaparecidos</t>
  </si>
  <si>
    <t>Cundinamarca</t>
  </si>
  <si>
    <t>Rescatados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</si>
  <si>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</si>
  <si>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</si>
  <si>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</si>
  <si>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</si>
  <si>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</si>
  <si>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</si>
  <si>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</si>
  <si>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</si>
  <si>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</si>
  <si>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</si>
  <si>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</si>
  <si>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</si>
  <si>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</si>
  <si>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Total general</t>
  </si>
  <si>
    <t>Código DIVIPOLA</t>
  </si>
  <si>
    <t>Clasificación</t>
  </si>
  <si>
    <t xml:space="preserve">Priorizacion </t>
  </si>
  <si>
    <t>Priorizacion 3 (IPM peso 0.5, escala 0-9)</t>
  </si>
  <si>
    <t>Priorizacion 4 (sin Cruce_Proyectos, escala 0-9)</t>
  </si>
  <si>
    <t>Municipio</t>
  </si>
  <si>
    <t>Colegios CPE</t>
  </si>
  <si>
    <t>CPE</t>
  </si>
  <si>
    <t>Olimpiadas Nacional</t>
  </si>
  <si>
    <t>Colegios Olimpiadas</t>
  </si>
  <si>
    <t>Minculturas</t>
  </si>
  <si>
    <t>Asociacion turistica</t>
  </si>
  <si>
    <t>Puntos</t>
  </si>
  <si>
    <t>Edificación colapsada</t>
  </si>
  <si>
    <t>Edificación con daño</t>
  </si>
  <si>
    <t>Vivienda afectada</t>
  </si>
  <si>
    <t>Hospital o centro de salud</t>
  </si>
  <si>
    <t>Escuela o colegio</t>
  </si>
  <si>
    <t>Patrimonio o templo</t>
  </si>
  <si>
    <t>Servicio público</t>
  </si>
  <si>
    <t>Vía afectada</t>
  </si>
  <si>
    <t>Deslizamiento</t>
  </si>
  <si>
    <t>Albergue o punto de atención</t>
  </si>
  <si>
    <t>Punto de ayuda o acopio</t>
  </si>
  <si>
    <t>Novedad o noticia</t>
  </si>
  <si>
    <t>Toque de queda o restricción</t>
  </si>
  <si>
    <t>Otro</t>
  </si>
  <si>
    <t>Puente</t>
  </si>
  <si>
    <t>Incendio</t>
  </si>
  <si>
    <t>Saqueo</t>
  </si>
  <si>
    <t>Robo</t>
  </si>
  <si>
    <t>PRUEBA</t>
  </si>
  <si>
    <t>Afectados Familia</t>
  </si>
  <si>
    <t>Afectados Personas</t>
  </si>
  <si>
    <t>Indice de Pobreza - 2018</t>
  </si>
  <si>
    <t>ayudas</t>
  </si>
  <si>
    <t>tipo de ayuda</t>
  </si>
  <si>
    <t>Descripción / Tipo de afectación</t>
  </si>
  <si>
    <t>Municipio (normalizado)</t>
  </si>
  <si>
    <t>Departamento (normalizado)</t>
  </si>
  <si>
    <t>¿Nombre ambiguo?</t>
  </si>
  <si>
    <t>Clave de cruce</t>
  </si>
  <si>
    <t>Cruce_Proyectos</t>
  </si>
  <si>
    <t>Total_Daños</t>
  </si>
  <si>
    <t>Daño_Norm (0-3)</t>
  </si>
  <si>
    <t>Ayuda_Norm_Inv (0-3)</t>
  </si>
  <si>
    <t>Umbrales de Daño (cuartiles)</t>
  </si>
  <si>
    <t>Ayuda_Norm_Bin (0/3)</t>
  </si>
  <si>
    <t>Priorizacion 2</t>
  </si>
  <si>
    <t>IPM_Departamento (2025)</t>
  </si>
  <si>
    <t>IPM_Norm (0-3)</t>
  </si>
  <si>
    <t>Umbrales de IPM (cuartiles)</t>
  </si>
  <si>
    <t>27745</t>
  </si>
  <si>
    <t>Afectación alta</t>
  </si>
  <si>
    <t>Sipí</t>
  </si>
  <si>
    <t>#N/D</t>
  </si>
  <si>
    <t>330</t>
  </si>
  <si>
    <t>810</t>
  </si>
  <si>
    <t>Afectaciones y zona próxima al entorno del evento.</t>
  </si>
  <si>
    <t>Q1 (25%)</t>
  </si>
  <si>
    <t>66075</t>
  </si>
  <si>
    <t>Sin clasificación oficial</t>
  </si>
  <si>
    <t>Balboa</t>
  </si>
  <si>
    <t>Declarado afectado; sin lugar con nombre propio publicado en este registro.</t>
  </si>
  <si>
    <t>Q2 (50%)</t>
  </si>
  <si>
    <t>27205</t>
  </si>
  <si>
    <t>Condoto</t>
  </si>
  <si>
    <t>2888</t>
  </si>
  <si>
    <t>Q3 (75%)</t>
  </si>
  <si>
    <t>27245</t>
  </si>
  <si>
    <t>El Carmen de Atrato</t>
  </si>
  <si>
    <t>202</t>
  </si>
  <si>
    <t>246</t>
  </si>
  <si>
    <t>27250</t>
  </si>
  <si>
    <t>El Litoral del San Juan</t>
  </si>
  <si>
    <t>525</t>
  </si>
  <si>
    <t>1837</t>
  </si>
  <si>
    <t>Umbrales de Ayuda (cuartiles)</t>
  </si>
  <si>
    <t>19318</t>
  </si>
  <si>
    <t>Guapi</t>
  </si>
  <si>
    <t>41298</t>
  </si>
  <si>
    <t>Garzón</t>
  </si>
  <si>
    <t>41396</t>
  </si>
  <si>
    <t>La Plata</t>
  </si>
  <si>
    <t>16</t>
  </si>
  <si>
    <t>39</t>
  </si>
  <si>
    <t>73124</t>
  </si>
  <si>
    <t>Cajamarca</t>
  </si>
  <si>
    <t>73678</t>
  </si>
  <si>
    <t>San Luis</t>
  </si>
  <si>
    <t>Institucion Ednoeducativa Tecnica Nasawe´sx Fi´zni</t>
  </si>
  <si>
    <t>41078</t>
  </si>
  <si>
    <t>Baraya</t>
  </si>
  <si>
    <t>41799</t>
  </si>
  <si>
    <t>Tello</t>
  </si>
  <si>
    <t>23</t>
  </si>
  <si>
    <t>58</t>
  </si>
  <si>
    <t>52835</t>
  </si>
  <si>
    <t>Tumaco</t>
  </si>
  <si>
    <t>Institucion Educativa Ana Elisa Cuenca Lara</t>
  </si>
  <si>
    <t>68081</t>
  </si>
  <si>
    <t>Barrancabermeja</t>
  </si>
  <si>
    <t>63272</t>
  </si>
  <si>
    <t>Filandia</t>
  </si>
  <si>
    <t>63401</t>
  </si>
  <si>
    <t>La Tebaida</t>
  </si>
  <si>
    <t>64</t>
  </si>
  <si>
    <t>204</t>
  </si>
  <si>
    <t>52378</t>
  </si>
  <si>
    <t>La Cruz</t>
  </si>
  <si>
    <t>27430</t>
  </si>
  <si>
    <t>Medio Baudó</t>
  </si>
  <si>
    <t>1008</t>
  </si>
  <si>
    <t>2493</t>
  </si>
  <si>
    <t>27495</t>
  </si>
  <si>
    <t>Nuquí</t>
  </si>
  <si>
    <t>54</t>
  </si>
  <si>
    <t>71</t>
  </si>
  <si>
    <t>25612</t>
  </si>
  <si>
    <t>Ricaurte</t>
  </si>
  <si>
    <t>Institucion Educativa Luis Carlos Galan</t>
  </si>
  <si>
    <t>17042</t>
  </si>
  <si>
    <t>Anserma</t>
  </si>
  <si>
    <t>2</t>
  </si>
  <si>
    <t>3</t>
  </si>
  <si>
    <t>Afectaciones estructurales y daños en infraestructura.</t>
  </si>
  <si>
    <t>17486</t>
  </si>
  <si>
    <t>Neira</t>
  </si>
  <si>
    <t>Afectaciones en infraestructura y servicios.</t>
  </si>
  <si>
    <t>05034</t>
  </si>
  <si>
    <t>Andes</t>
  </si>
  <si>
    <t>17050</t>
  </si>
  <si>
    <t>Aranzazu</t>
  </si>
  <si>
    <t>61</t>
  </si>
  <si>
    <t>146</t>
  </si>
  <si>
    <t>05364</t>
  </si>
  <si>
    <t>Jardín</t>
  </si>
  <si>
    <t>05368</t>
  </si>
  <si>
    <t>Jericó</t>
  </si>
  <si>
    <t>05390</t>
  </si>
  <si>
    <t>La Pintada</t>
  </si>
  <si>
    <t>17541</t>
  </si>
  <si>
    <t>Pensilvania</t>
  </si>
  <si>
    <t>323</t>
  </si>
  <si>
    <t>Daños y afectaciones en infraestructura.</t>
  </si>
  <si>
    <t>05631</t>
  </si>
  <si>
    <t>Sabaneta</t>
  </si>
  <si>
    <t>17653</t>
  </si>
  <si>
    <t>Salamina</t>
  </si>
  <si>
    <t>30</t>
  </si>
  <si>
    <t>81</t>
  </si>
  <si>
    <t>17662</t>
  </si>
  <si>
    <t>Samaná</t>
  </si>
  <si>
    <t>17665</t>
  </si>
  <si>
    <t>San José</t>
  </si>
  <si>
    <t>89</t>
  </si>
  <si>
    <t>05756</t>
  </si>
  <si>
    <t>Sonsón</t>
  </si>
  <si>
    <t>05789</t>
  </si>
  <si>
    <t>Támesis</t>
  </si>
  <si>
    <t>17877</t>
  </si>
  <si>
    <t>Viterbo</t>
  </si>
  <si>
    <t>27580</t>
  </si>
  <si>
    <t>Afectación muy alta</t>
  </si>
  <si>
    <t>Río Iró</t>
  </si>
  <si>
    <t>133</t>
  </si>
  <si>
    <t>489</t>
  </si>
  <si>
    <t>Zona próxima al epicentro; afectaciones graves y priorización humanitaria.</t>
  </si>
  <si>
    <t>27025</t>
  </si>
  <si>
    <t>Alto Baudó</t>
  </si>
  <si>
    <t>340</t>
  </si>
  <si>
    <t>784</t>
  </si>
  <si>
    <t>05055</t>
  </si>
  <si>
    <t>Argelia</t>
  </si>
  <si>
    <t>27160</t>
  </si>
  <si>
    <t>Cértegui</t>
  </si>
  <si>
    <t>52240</t>
  </si>
  <si>
    <t>Chachagüí</t>
  </si>
  <si>
    <t>63212</t>
  </si>
  <si>
    <t>Nombrado entre los doce «municipios afectados» del Boletín Sismo N.º 04 de la Gobernación de Nariño (DAGRD, 10-08-2026, cierre de jornada). Sin ningún lugar con nombre propio publicado.</t>
  </si>
  <si>
    <t>27135</t>
  </si>
  <si>
    <t>El Cantón del San Pablo</t>
  </si>
  <si>
    <t>4</t>
  </si>
  <si>
    <t>10</t>
  </si>
  <si>
    <t>Nombrado en la «Tabla No. 2: Municipios afectados por departamento» del Flash Update No. 003 de OCHA Colombia (11-08-2026) y en el reparto municipal del EDAN de viviendas de la UNGRD (capa 3iS/iMMAP, 12-08-2026). Sin ningún lugar con nombre propio publicado.</t>
  </si>
  <si>
    <t>19256</t>
  </si>
  <si>
    <t>El Tambo</t>
  </si>
  <si>
    <t>19473</t>
  </si>
  <si>
    <t>Morales</t>
  </si>
  <si>
    <t>25473</t>
  </si>
  <si>
    <t>Mosquera</t>
  </si>
  <si>
    <t>19548</t>
  </si>
  <si>
    <t>Piendamó</t>
  </si>
  <si>
    <t>19622</t>
  </si>
  <si>
    <t>Rosas</t>
  </si>
  <si>
    <t>Declarado afectado en el reparto municipal del EDAN de viviendas de la UNGRD (capa 3iS/iMMAP para OCHA, 12-08-2026). Sin ningún lugar con nombre propio publicado.</t>
  </si>
  <si>
    <t>54743</t>
  </si>
  <si>
    <t>Silos</t>
  </si>
  <si>
    <t>19824</t>
  </si>
  <si>
    <t>Totoró</t>
  </si>
  <si>
    <t>76001</t>
  </si>
  <si>
    <t>Afectación crítica</t>
  </si>
  <si>
    <t>Cali</t>
  </si>
  <si>
    <t>4180</t>
  </si>
  <si>
    <t>8979</t>
  </si>
  <si>
    <t>Múltiples estructuras colapsadas; hospital Universitario con colapso parcial; personas atrapadas; fallecidos y cientos de heridos.</t>
  </si>
  <si>
    <t>76126</t>
  </si>
  <si>
    <t>Calima-El Darién</t>
  </si>
  <si>
    <t>211</t>
  </si>
  <si>
    <t>493</t>
  </si>
  <si>
    <t>Colapso de pared con tres menores fallecidos; daños importantes en infraestructura.</t>
  </si>
  <si>
    <t>76122</t>
  </si>
  <si>
    <t>Caicedonia</t>
  </si>
  <si>
    <t>979</t>
  </si>
  <si>
    <t>1912</t>
  </si>
  <si>
    <t>76248</t>
  </si>
  <si>
    <t>El Cerrito</t>
  </si>
  <si>
    <t>25839</t>
  </si>
  <si>
    <t>Ubalá</t>
  </si>
  <si>
    <t>Institucion Educativa Gallardo</t>
  </si>
  <si>
    <t>76869</t>
  </si>
  <si>
    <t>Vijes</t>
  </si>
  <si>
    <t>I.E. Maria Inmaculada</t>
  </si>
  <si>
    <t>41006</t>
  </si>
  <si>
    <t>Acevedo</t>
  </si>
  <si>
    <t>41016</t>
  </si>
  <si>
    <t>Aipe</t>
  </si>
  <si>
    <t>73200</t>
  </si>
  <si>
    <t>Coello</t>
  </si>
  <si>
    <t>73236</t>
  </si>
  <si>
    <t>Dolores</t>
  </si>
  <si>
    <t>73283</t>
  </si>
  <si>
    <t>Fresno</t>
  </si>
  <si>
    <t>73504</t>
  </si>
  <si>
    <t>Ortega</t>
  </si>
  <si>
    <t>73520</t>
  </si>
  <si>
    <t>Palocabildo</t>
  </si>
  <si>
    <t>73555</t>
  </si>
  <si>
    <t>Planadas</t>
  </si>
  <si>
    <t>Institucion Educativa Tecnica Agroindustrial San Gerardo</t>
  </si>
  <si>
    <t>73585</t>
  </si>
  <si>
    <t>Purificación</t>
  </si>
  <si>
    <t>Institucion Educativa Santa Teresita</t>
  </si>
  <si>
    <t>41615</t>
  </si>
  <si>
    <t>Rivera</t>
  </si>
  <si>
    <t>Centro Etnoeducativo Pooloshi</t>
  </si>
  <si>
    <t>41676</t>
  </si>
  <si>
    <t>Santa María</t>
  </si>
  <si>
    <t>Institucion Educativa el Limonar</t>
  </si>
  <si>
    <t>7</t>
  </si>
  <si>
    <t>41807</t>
  </si>
  <si>
    <t>Timaná</t>
  </si>
  <si>
    <t>76895</t>
  </si>
  <si>
    <t>Zarzal</t>
  </si>
  <si>
    <t>1006</t>
  </si>
  <si>
    <t>2255</t>
  </si>
  <si>
    <t>Fallecidos, numerosos heridos y hospital municipal colapsado/saturado.</t>
  </si>
  <si>
    <t>25286</t>
  </si>
  <si>
    <t>Afectación media</t>
  </si>
  <si>
    <t>Funza</t>
  </si>
  <si>
    <t>Incidentes en bodegas con sustancias químicas y fuga de gas controlada.</t>
  </si>
  <si>
    <t>76020</t>
  </si>
  <si>
    <t>Alcalá</t>
  </si>
  <si>
    <t>361</t>
  </si>
  <si>
    <t>649</t>
  </si>
  <si>
    <t>76036</t>
  </si>
  <si>
    <t>Andalucía</t>
  </si>
  <si>
    <t>387</t>
  </si>
  <si>
    <t>905</t>
  </si>
  <si>
    <t>76233</t>
  </si>
  <si>
    <t>Dagua</t>
  </si>
  <si>
    <t>76863</t>
  </si>
  <si>
    <t>Versalles</t>
  </si>
  <si>
    <t>951</t>
  </si>
  <si>
    <t>2158</t>
  </si>
  <si>
    <t>76890</t>
  </si>
  <si>
    <t>Yotoco</t>
  </si>
  <si>
    <t>770</t>
  </si>
  <si>
    <t>1970</t>
  </si>
  <si>
    <t>41132</t>
  </si>
  <si>
    <t>Campoalegre</t>
  </si>
  <si>
    <t>73168</t>
  </si>
  <si>
    <t>Chaparral</t>
  </si>
  <si>
    <t>41548</t>
  </si>
  <si>
    <t>El Pital</t>
  </si>
  <si>
    <t>41244</t>
  </si>
  <si>
    <t>Elías</t>
  </si>
  <si>
    <t>1</t>
  </si>
  <si>
    <t>73268</t>
  </si>
  <si>
    <t>Espinal</t>
  </si>
  <si>
    <t>41357</t>
  </si>
  <si>
    <t>Íquira</t>
  </si>
  <si>
    <t>41524</t>
  </si>
  <si>
    <t>Palermo</t>
  </si>
  <si>
    <t>73675</t>
  </si>
  <si>
    <t>San Antonio</t>
  </si>
  <si>
    <t>41872</t>
  </si>
  <si>
    <t>Villavieja</t>
  </si>
  <si>
    <t>05154</t>
  </si>
  <si>
    <t>Caucasia</t>
  </si>
  <si>
    <t>27073</t>
  </si>
  <si>
    <t>Bagadó</t>
  </si>
  <si>
    <t>482</t>
  </si>
  <si>
    <t>1024</t>
  </si>
  <si>
    <t>52079</t>
  </si>
  <si>
    <t>Barbacoas</t>
  </si>
  <si>
    <t>05002</t>
  </si>
  <si>
    <t>Abejorral</t>
  </si>
  <si>
    <t>05145</t>
  </si>
  <si>
    <t>Caramanta</t>
  </si>
  <si>
    <t>05209</t>
  </si>
  <si>
    <t>Concordia</t>
  </si>
  <si>
    <t>05607</t>
  </si>
  <si>
    <t>El Retiro</t>
  </si>
  <si>
    <t>Declarado afectado en el reparto municipal del EDAN de viviendas de la UNGRD (capa 3iS/iMMAP para OCHA, 12-08-2026), y entre los 90 municipios afectados que enumeró la Gobernación de Antioquia (El Colombiano, 12-08-2026). Sin ningún lugar con nombre propio publicado.</t>
  </si>
  <si>
    <t>17272</t>
  </si>
  <si>
    <t>Filadelfia</t>
  </si>
  <si>
    <t>22</t>
  </si>
  <si>
    <t>46</t>
  </si>
  <si>
    <t>05282</t>
  </si>
  <si>
    <t>Fredonia</t>
  </si>
  <si>
    <t>05353</t>
  </si>
  <si>
    <t>Hispania</t>
  </si>
  <si>
    <t>05361</t>
  </si>
  <si>
    <t>Ituango</t>
  </si>
  <si>
    <t>17380</t>
  </si>
  <si>
    <t>La Dorada</t>
  </si>
  <si>
    <t>05400</t>
  </si>
  <si>
    <t>La Unión</t>
  </si>
  <si>
    <t>17446</t>
  </si>
  <si>
    <t>Marulanda</t>
  </si>
  <si>
    <t>43</t>
  </si>
  <si>
    <t>90</t>
  </si>
  <si>
    <t>Daños en viviendas e infraestructura y víctimas.</t>
  </si>
  <si>
    <t>17495</t>
  </si>
  <si>
    <t>Norcasia</t>
  </si>
  <si>
    <t>05576</t>
  </si>
  <si>
    <t>Pueblorrico</t>
  </si>
  <si>
    <t>05604</t>
  </si>
  <si>
    <t>Remedios</t>
  </si>
  <si>
    <t>17616</t>
  </si>
  <si>
    <t>266</t>
  </si>
  <si>
    <t>735</t>
  </si>
  <si>
    <t>05042</t>
  </si>
  <si>
    <t>Santa Fe de Antioquia</t>
  </si>
  <si>
    <t>17777</t>
  </si>
  <si>
    <t>Supía</t>
  </si>
  <si>
    <t>05809</t>
  </si>
  <si>
    <t>Titiribí</t>
  </si>
  <si>
    <t>05847</t>
  </si>
  <si>
    <t>Urrao</t>
  </si>
  <si>
    <t>05861</t>
  </si>
  <si>
    <t>Venecia</t>
  </si>
  <si>
    <t>17867</t>
  </si>
  <si>
    <t>Victoria</t>
  </si>
  <si>
    <t>27075</t>
  </si>
  <si>
    <t>Bahía Solano</t>
  </si>
  <si>
    <t>8</t>
  </si>
  <si>
    <t>19130</t>
  </si>
  <si>
    <t>Cajibío</t>
  </si>
  <si>
    <t>19137</t>
  </si>
  <si>
    <t>Caldono</t>
  </si>
  <si>
    <t>54172</t>
  </si>
  <si>
    <t>Chinácota</t>
  </si>
  <si>
    <t>52207</t>
  </si>
  <si>
    <t>Consacá</t>
  </si>
  <si>
    <t>70221</t>
  </si>
  <si>
    <t>Coveñas</t>
  </si>
  <si>
    <t>52224</t>
  </si>
  <si>
    <t>Cuaspud</t>
  </si>
  <si>
    <t>52254</t>
  </si>
  <si>
    <t>El Peñol</t>
  </si>
  <si>
    <t>52520</t>
  </si>
  <si>
    <t>Francisco Pizarro</t>
  </si>
  <si>
    <t>52287</t>
  </si>
  <si>
    <t>Funes</t>
  </si>
  <si>
    <t>05313</t>
  </si>
  <si>
    <t>Granada</t>
  </si>
  <si>
    <t>27413</t>
  </si>
  <si>
    <t>Lloró</t>
  </si>
  <si>
    <t>34</t>
  </si>
  <si>
    <t>52418</t>
  </si>
  <si>
    <t>Los Andes</t>
  </si>
  <si>
    <t>54418</t>
  </si>
  <si>
    <t>Lourdes</t>
  </si>
  <si>
    <t>27425</t>
  </si>
  <si>
    <t>Medio Atrato</t>
  </si>
  <si>
    <t>68</t>
  </si>
  <si>
    <t>140</t>
  </si>
  <si>
    <t>19585</t>
  </si>
  <si>
    <t>Puracé</t>
  </si>
  <si>
    <t>52678</t>
  </si>
  <si>
    <t>Samaniego</t>
  </si>
  <si>
    <t>19743</t>
  </si>
  <si>
    <t>Silvia</t>
  </si>
  <si>
    <t>19780</t>
  </si>
  <si>
    <t>Suárez</t>
  </si>
  <si>
    <t>19821</t>
  </si>
  <si>
    <t>Toribío</t>
  </si>
  <si>
    <t>76563</t>
  </si>
  <si>
    <t>Pradera</t>
  </si>
  <si>
    <t>Institucion Educativa Jose Antonio Galan</t>
  </si>
  <si>
    <t>76616</t>
  </si>
  <si>
    <t>Afectación media-alta</t>
  </si>
  <si>
    <t>Riofrío</t>
  </si>
  <si>
    <t>Institucion Etnoeducativa Integral Rural Yerica Gutierrez Fajardo</t>
  </si>
  <si>
    <t>75</t>
  </si>
  <si>
    <t>Afectaciones de infraestructura reportadas.</t>
  </si>
  <si>
    <t>25488</t>
  </si>
  <si>
    <t>Nilo</t>
  </si>
  <si>
    <t>Agrietamientos en edificaciones y colegio.</t>
  </si>
  <si>
    <t>76130</t>
  </si>
  <si>
    <t>Candelaria</t>
  </si>
  <si>
    <t>82</t>
  </si>
  <si>
    <t>203</t>
  </si>
  <si>
    <t>76250</t>
  </si>
  <si>
    <t>El Dovio</t>
  </si>
  <si>
    <t>1068</t>
  </si>
  <si>
    <t>2659</t>
  </si>
  <si>
    <t>76364</t>
  </si>
  <si>
    <t>Jamundí</t>
  </si>
  <si>
    <t>42</t>
  </si>
  <si>
    <t>76606</t>
  </si>
  <si>
    <t>Restrepo</t>
  </si>
  <si>
    <t>Institucion Educativa Tecnica Juan Xxiii</t>
  </si>
  <si>
    <t>295</t>
  </si>
  <si>
    <t>626</t>
  </si>
  <si>
    <t>76828</t>
  </si>
  <si>
    <t>Trujillo</t>
  </si>
  <si>
    <t>Institucion Educativa Villanueva</t>
  </si>
  <si>
    <t>144</t>
  </si>
  <si>
    <t>380</t>
  </si>
  <si>
    <t>76845</t>
  </si>
  <si>
    <t>Ulloa</t>
  </si>
  <si>
    <t>Institucion Educativa Totarco Dinde</t>
  </si>
  <si>
    <t>228</t>
  </si>
  <si>
    <t>399</t>
  </si>
  <si>
    <t>73067</t>
  </si>
  <si>
    <t>Ataco</t>
  </si>
  <si>
    <t>41206</t>
  </si>
  <si>
    <t>Colombia</t>
  </si>
  <si>
    <t>73411</t>
  </si>
  <si>
    <t>Líbano</t>
  </si>
  <si>
    <t>73449</t>
  </si>
  <si>
    <t>Melgar</t>
  </si>
  <si>
    <t>73483</t>
  </si>
  <si>
    <t>Natagaima</t>
  </si>
  <si>
    <t>73616</t>
  </si>
  <si>
    <t>Rioblanco</t>
  </si>
  <si>
    <t>Institucion Educativa San Juan de Tocagua</t>
  </si>
  <si>
    <t>73624</t>
  </si>
  <si>
    <t>Rovira</t>
  </si>
  <si>
    <t>Institucion Etnoeductiva Integral Rural Isabel Jusayu</t>
  </si>
  <si>
    <t>73686</t>
  </si>
  <si>
    <t>Santa Isabel</t>
  </si>
  <si>
    <t>Inst Educativa Integrado Campo Dos</t>
  </si>
  <si>
    <t>73861</t>
  </si>
  <si>
    <t>Venadillo</t>
  </si>
  <si>
    <t>Institucion Educativa Tecnica Jorge Eliecer Gaitan Ayala</t>
  </si>
  <si>
    <t>73873</t>
  </si>
  <si>
    <t>Villarrica</t>
  </si>
  <si>
    <t>I.E. Simon Bolivar</t>
  </si>
  <si>
    <t>25599</t>
  </si>
  <si>
    <t>Apulo</t>
  </si>
  <si>
    <t>Daños importantes en dos sedes educativas y viviendas.</t>
  </si>
  <si>
    <t>76275</t>
  </si>
  <si>
    <t>Florida</t>
  </si>
  <si>
    <t>Un fallecido y daños reportados.</t>
  </si>
  <si>
    <t>25718</t>
  </si>
  <si>
    <t>Sasaima</t>
  </si>
  <si>
    <t>Daños en hospital y colegio.</t>
  </si>
  <si>
    <t>25799</t>
  </si>
  <si>
    <t>Tenjo</t>
  </si>
  <si>
    <t>Daños en hospital y parque empresarial.</t>
  </si>
  <si>
    <t>25430</t>
  </si>
  <si>
    <t>Madrid</t>
  </si>
  <si>
    <t>Daños/incidente en bodega y derrame controlado.</t>
  </si>
  <si>
    <t>25572</t>
  </si>
  <si>
    <t>Puerto Salgar</t>
  </si>
  <si>
    <t>Daños en institución educativa.</t>
  </si>
  <si>
    <t>66318</t>
  </si>
  <si>
    <t>Guática</t>
  </si>
  <si>
    <t>313</t>
  </si>
  <si>
    <t>829</t>
  </si>
  <si>
    <t>66440</t>
  </si>
  <si>
    <t>Marsella</t>
  </si>
  <si>
    <t>946</t>
  </si>
  <si>
    <t>2447</t>
  </si>
  <si>
    <t>66572</t>
  </si>
  <si>
    <t>Pueblo Rico</t>
  </si>
  <si>
    <t>741</t>
  </si>
  <si>
    <t>2666</t>
  </si>
  <si>
    <t>25658</t>
  </si>
  <si>
    <t>San Francisco</t>
  </si>
  <si>
    <t>41013</t>
  </si>
  <si>
    <t>Agrado</t>
  </si>
  <si>
    <t>73055</t>
  </si>
  <si>
    <t>Armero Guayabal</t>
  </si>
  <si>
    <t>Nombrado entre los municipios que quedaron sin servicio de energía en el balance de la Secretaría de Ambiente y Gestión del Riesgo del Tolima (El Olfato, 10-08-2026). Sin ningún lugar con nombre propio publicado.</t>
  </si>
  <si>
    <t>73152</t>
  </si>
  <si>
    <t>Casabianca</t>
  </si>
  <si>
    <t>73270</t>
  </si>
  <si>
    <t>Falan</t>
  </si>
  <si>
    <t>41306</t>
  </si>
  <si>
    <t>Gigante</t>
  </si>
  <si>
    <t>41349</t>
  </si>
  <si>
    <t>Hobo</t>
  </si>
  <si>
    <t>73349</t>
  </si>
  <si>
    <t>Honda</t>
  </si>
  <si>
    <t>73408</t>
  </si>
  <si>
    <t>Lérida</t>
  </si>
  <si>
    <t>73443</t>
  </si>
  <si>
    <t>Mariquita</t>
  </si>
  <si>
    <t>73461</t>
  </si>
  <si>
    <t>Murillo</t>
  </si>
  <si>
    <t>41518</t>
  </si>
  <si>
    <t>Paicol</t>
  </si>
  <si>
    <t>73547</t>
  </si>
  <si>
    <t>Piedras</t>
  </si>
  <si>
    <t>73770</t>
  </si>
  <si>
    <t>73870</t>
  </si>
  <si>
    <t>Villahermosa</t>
  </si>
  <si>
    <t>27006</t>
  </si>
  <si>
    <t>Acandí</t>
  </si>
  <si>
    <t>84</t>
  </si>
  <si>
    <t>209</t>
  </si>
  <si>
    <t>54001</t>
  </si>
  <si>
    <t>Cúcuta</t>
  </si>
  <si>
    <t>52001</t>
  </si>
  <si>
    <t>Pasto</t>
  </si>
  <si>
    <t>Institucion Educativa General Padilla</t>
  </si>
  <si>
    <t>15176</t>
  </si>
  <si>
    <t>Chiquinquirá</t>
  </si>
  <si>
    <t>05266</t>
  </si>
  <si>
    <t>Envigado</t>
  </si>
  <si>
    <t>27001</t>
  </si>
  <si>
    <t>Quibdó</t>
  </si>
  <si>
    <t>Institucion Educativa Tecnica Bolivar</t>
  </si>
  <si>
    <t>752</t>
  </si>
  <si>
    <t>2297</t>
  </si>
  <si>
    <t>Daños estructurales, personas heridas y afectación de edificaciones y servicios.</t>
  </si>
  <si>
    <t>27077</t>
  </si>
  <si>
    <t>Bajo Baudó</t>
  </si>
  <si>
    <t>630</t>
  </si>
  <si>
    <t>54250</t>
  </si>
  <si>
    <t>El Tarra</t>
  </si>
  <si>
    <t>52356</t>
  </si>
  <si>
    <t>Ipiales</t>
  </si>
  <si>
    <t>27361</t>
  </si>
  <si>
    <t>Istmina</t>
  </si>
  <si>
    <t>495</t>
  </si>
  <si>
    <t>500</t>
  </si>
  <si>
    <t>27450</t>
  </si>
  <si>
    <t>Medio San Juan</t>
  </si>
  <si>
    <t>367</t>
  </si>
  <si>
    <t>368</t>
  </si>
  <si>
    <t>19001</t>
  </si>
  <si>
    <t>Popayán</t>
  </si>
  <si>
    <t>27810</t>
  </si>
  <si>
    <t>Unión Panamericana</t>
  </si>
  <si>
    <t>Institucion Educativa Tecnica Industrial Nuestra Señora del Rosario de Pitalito</t>
  </si>
  <si>
    <t>17442</t>
  </si>
  <si>
    <t>Marmato</t>
  </si>
  <si>
    <t>Daños y afectaciones estructurales.</t>
  </si>
  <si>
    <t>05030</t>
  </si>
  <si>
    <t>Amagá</t>
  </si>
  <si>
    <t>05044</t>
  </si>
  <si>
    <t>Anzá</t>
  </si>
  <si>
    <t>05045</t>
  </si>
  <si>
    <t>Apartadó</t>
  </si>
  <si>
    <t>05129</t>
  </si>
  <si>
    <t>05138</t>
  </si>
  <si>
    <t>Cañasgordas</t>
  </si>
  <si>
    <t>05147</t>
  </si>
  <si>
    <t>Carepa</t>
  </si>
  <si>
    <t>05101</t>
  </si>
  <si>
    <t>Ciudad Bolívar</t>
  </si>
  <si>
    <t>68209</t>
  </si>
  <si>
    <t>Confines</t>
  </si>
  <si>
    <t>68217</t>
  </si>
  <si>
    <t>Coromoro</t>
  </si>
  <si>
    <t>05234</t>
  </si>
  <si>
    <t>Dabeiba</t>
  </si>
  <si>
    <t>05318</t>
  </si>
  <si>
    <t>Guarne</t>
  </si>
  <si>
    <t>17388</t>
  </si>
  <si>
    <t>La Merced</t>
  </si>
  <si>
    <t>5</t>
  </si>
  <si>
    <t>17444</t>
  </si>
  <si>
    <t>Marquetalia</t>
  </si>
  <si>
    <t>05467</t>
  </si>
  <si>
    <t>Montebello</t>
  </si>
  <si>
    <t>05642</t>
  </si>
  <si>
    <t>Salgar</t>
  </si>
  <si>
    <t>05649</t>
  </si>
  <si>
    <t>San Carlos</t>
  </si>
  <si>
    <t>05656</t>
  </si>
  <si>
    <t>San Jerónimo</t>
  </si>
  <si>
    <t>05667</t>
  </si>
  <si>
    <t>San Rafael</t>
  </si>
  <si>
    <t>05686</t>
  </si>
  <si>
    <t>Santa Rosa de Osos</t>
  </si>
  <si>
    <t>05761</t>
  </si>
  <si>
    <t>Sopetrán</t>
  </si>
  <si>
    <t>05837</t>
  </si>
  <si>
    <t>Turbo</t>
  </si>
  <si>
    <t>Incluido entre los 90 municipios afectados que enumeró la Gobernación de Antioquia en su consolidado del 12-08-2026 (El Colombiano). Sin ningún lugar con nombre propio publicado.</t>
  </si>
  <si>
    <t>05873</t>
  </si>
  <si>
    <t>Vigía del Fuerte</t>
  </si>
  <si>
    <t>05890</t>
  </si>
  <si>
    <t>Yolombó</t>
  </si>
  <si>
    <t>05895</t>
  </si>
  <si>
    <t>Zaragoza</t>
  </si>
  <si>
    <t>27660</t>
  </si>
  <si>
    <t>San José del Palmar</t>
  </si>
  <si>
    <t>459</t>
  </si>
  <si>
    <t>1049</t>
  </si>
  <si>
    <t>Epicentro; viviendas y estructuras dañadas; vías bloqueadas por derrumbes; operación de rescate.</t>
  </si>
  <si>
    <t>27099</t>
  </si>
  <si>
    <t>Bojayá</t>
  </si>
  <si>
    <t>76100</t>
  </si>
  <si>
    <t>19110</t>
  </si>
  <si>
    <t>Buenos Aires</t>
  </si>
  <si>
    <t>19142</t>
  </si>
  <si>
    <t>Caloto</t>
  </si>
  <si>
    <t>19290</t>
  </si>
  <si>
    <t>Florencia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</si>
  <si>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</si>
  <si>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</si>
  <si>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</si>
  <si>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</si>
  <si>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</si>
  <si>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</si>
  <si>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</si>
  <si>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</si>
  <si>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</si>
  <si>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</si>
  <si>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54405</t>
  </si>
  <si>
    <t>Los Patios</t>
  </si>
  <si>
    <t>19450</t>
  </si>
  <si>
    <t>Mercaderes</t>
  </si>
  <si>
    <t>19455</t>
  </si>
  <si>
    <t>Miranda</t>
  </si>
  <si>
    <t>19513</t>
  </si>
  <si>
    <t>Padilla</t>
  </si>
  <si>
    <t>54518</t>
  </si>
  <si>
    <t>Pamplona</t>
  </si>
  <si>
    <t>19532</t>
  </si>
  <si>
    <t>Patía</t>
  </si>
  <si>
    <t>19573</t>
  </si>
  <si>
    <t>Puerto Tejada</t>
  </si>
  <si>
    <t>27600</t>
  </si>
  <si>
    <t>Río Quito</t>
  </si>
  <si>
    <t>9</t>
  </si>
  <si>
    <t>17614</t>
  </si>
  <si>
    <t>Riosucio</t>
  </si>
  <si>
    <t>50</t>
  </si>
  <si>
    <t>72</t>
  </si>
  <si>
    <t>13670</t>
  </si>
  <si>
    <t>San Pablo</t>
  </si>
  <si>
    <t>19693</t>
  </si>
  <si>
    <t>San Sebastián</t>
  </si>
  <si>
    <t>52683</t>
  </si>
  <si>
    <t>Sandoná</t>
  </si>
  <si>
    <t>19701</t>
  </si>
  <si>
    <t>Santa Rosa</t>
  </si>
  <si>
    <t>19698</t>
  </si>
  <si>
    <t>Santander de Quilichao</t>
  </si>
  <si>
    <t>19760</t>
  </si>
  <si>
    <t>Sotará</t>
  </si>
  <si>
    <t>19785</t>
  </si>
  <si>
    <t>27787</t>
  </si>
  <si>
    <t>Tadó</t>
  </si>
  <si>
    <t>1065</t>
  </si>
  <si>
    <t>19807</t>
  </si>
  <si>
    <t>Timbío</t>
  </si>
  <si>
    <t>19809</t>
  </si>
  <si>
    <t>Timbiquí</t>
  </si>
  <si>
    <t>41001</t>
  </si>
  <si>
    <t>Neiva</t>
  </si>
  <si>
    <t>41551</t>
  </si>
  <si>
    <t>Pitalito</t>
  </si>
  <si>
    <t>Institucion Educativa San Marcos</t>
  </si>
  <si>
    <t>25120</t>
  </si>
  <si>
    <t>Cabrera</t>
  </si>
  <si>
    <t>Daños en cuatro sedes educativas.</t>
  </si>
  <si>
    <t>25662</t>
  </si>
  <si>
    <t>San Juan de Rioseco</t>
  </si>
  <si>
    <t>Instituto Tecnico Agropecuario</t>
  </si>
  <si>
    <t>Agrietamientos en estación de Policía y colegio.</t>
  </si>
  <si>
    <t>73275</t>
  </si>
  <si>
    <t>Flandes</t>
  </si>
  <si>
    <t>73001</t>
  </si>
  <si>
    <t>Ibagué</t>
  </si>
  <si>
    <t>73563</t>
  </si>
  <si>
    <t>Prado</t>
  </si>
  <si>
    <t>Institucion Educativa Puerto Iris</t>
  </si>
  <si>
    <t>41801</t>
  </si>
  <si>
    <t>Teruel</t>
  </si>
  <si>
    <t>I.e.m. Marco Fidel Suárez</t>
  </si>
  <si>
    <t>25797</t>
  </si>
  <si>
    <t>Tena</t>
  </si>
  <si>
    <t>Alcaldía e iglesia con afectaciones de consideración y riesgo de colapso ante nuevas réplicas.</t>
  </si>
  <si>
    <t>66383</t>
  </si>
  <si>
    <t>La Celia</t>
  </si>
  <si>
    <t>308</t>
  </si>
  <si>
    <t>860</t>
  </si>
  <si>
    <t>Víctimas mortales y daños importantes.</t>
  </si>
  <si>
    <t>66687</t>
  </si>
  <si>
    <t>Santuario</t>
  </si>
  <si>
    <t>567</t>
  </si>
  <si>
    <t>1605</t>
  </si>
  <si>
    <t>Víctimas mortales y afectaciones estructurales.</t>
  </si>
  <si>
    <t>25841</t>
  </si>
  <si>
    <t>Ubaque</t>
  </si>
  <si>
    <t>Daños en Alcaldía, institución educativa y plaza de mercado.</t>
  </si>
  <si>
    <t>25035</t>
  </si>
  <si>
    <t>Anapoima</t>
  </si>
  <si>
    <t>Daños en dos instituciones educativas.</t>
  </si>
  <si>
    <t>52473</t>
  </si>
  <si>
    <t>Daños en bodega, cierre preventivo y fisuras.</t>
  </si>
  <si>
    <t>52612</t>
  </si>
  <si>
    <t>Agrietamientos en oficinas de servicios públicos.</t>
  </si>
  <si>
    <t>25758</t>
  </si>
  <si>
    <t>Sopó</t>
  </si>
  <si>
    <t>Fisuras en varias urbanizaciones.</t>
  </si>
  <si>
    <t>25772</t>
  </si>
  <si>
    <t>Suesca</t>
  </si>
  <si>
    <t>Daños leves en institución educativa.</t>
  </si>
  <si>
    <t>25785</t>
  </si>
  <si>
    <t>Tabio</t>
  </si>
  <si>
    <t>Afectaciones en institución educativa; inspección estructural.</t>
  </si>
  <si>
    <t>25815</t>
  </si>
  <si>
    <t>Tocaima</t>
  </si>
  <si>
    <t>Vivienda agrietada y verificaciones adicionales.</t>
  </si>
  <si>
    <t>25040</t>
  </si>
  <si>
    <t>Anolaima</t>
  </si>
  <si>
    <t>66045</t>
  </si>
  <si>
    <t>Apía</t>
  </si>
  <si>
    <t>337</t>
  </si>
  <si>
    <t>890</t>
  </si>
  <si>
    <t>19050</t>
  </si>
  <si>
    <t>21</t>
  </si>
  <si>
    <t>19075</t>
  </si>
  <si>
    <t>463</t>
  </si>
  <si>
    <t>1302</t>
  </si>
  <si>
    <t>25288</t>
  </si>
  <si>
    <t>Fúquene</t>
  </si>
  <si>
    <t>25317</t>
  </si>
  <si>
    <t>Guachetá</t>
  </si>
  <si>
    <t>25324</t>
  </si>
  <si>
    <t>Guataquí</t>
  </si>
  <si>
    <t>25438</t>
  </si>
  <si>
    <t>Medina</t>
  </si>
  <si>
    <t>76497</t>
  </si>
  <si>
    <t>Obando</t>
  </si>
  <si>
    <t>184</t>
  </si>
  <si>
    <t>25769</t>
  </si>
  <si>
    <t>Subachoque</t>
  </si>
  <si>
    <t>73024</t>
  </si>
  <si>
    <t>Alpujarra</t>
  </si>
  <si>
    <t>73026</t>
  </si>
  <si>
    <t>Alvarado</t>
  </si>
  <si>
    <t>73043</t>
  </si>
  <si>
    <t>Anzoátegui</t>
  </si>
  <si>
    <t>73226</t>
  </si>
  <si>
    <t>Cunday</t>
  </si>
  <si>
    <t>73622</t>
  </si>
  <si>
    <t>Roncesvalles</t>
  </si>
  <si>
    <t>73671</t>
  </si>
  <si>
    <t>Saldaña</t>
  </si>
  <si>
    <t>08001</t>
  </si>
  <si>
    <t>Barranquilla</t>
  </si>
  <si>
    <t>17001</t>
  </si>
  <si>
    <t>Manizales</t>
  </si>
  <si>
    <t>703</t>
  </si>
  <si>
    <t>1600</t>
  </si>
  <si>
    <t>Colapsos y daños graves en edificaciones e infraestructura; afectación de la Catedral y hospitales.</t>
  </si>
  <si>
    <t>63001</t>
  </si>
  <si>
    <t>Armenia</t>
  </si>
  <si>
    <t>INSTITUCIÓN EDUCATIVA LAS COLINAS</t>
  </si>
  <si>
    <t>78</t>
  </si>
  <si>
    <t>158</t>
  </si>
  <si>
    <t>Daños y afectaciones de infraestructura; aeropuerto cerrado para inspección.</t>
  </si>
  <si>
    <t>05380</t>
  </si>
  <si>
    <t>La Estrella</t>
  </si>
  <si>
    <t>05001</t>
  </si>
  <si>
    <t>Medellín</t>
  </si>
  <si>
    <t>63470</t>
  </si>
  <si>
    <t>Montenegro</t>
  </si>
  <si>
    <t>17513</t>
  </si>
  <si>
    <t>Pácora</t>
  </si>
  <si>
    <t>05819</t>
  </si>
  <si>
    <t>Toledo</t>
  </si>
  <si>
    <t>I.e.m. Cabrera</t>
  </si>
  <si>
    <t>17174</t>
  </si>
  <si>
    <t>Chinchiná</t>
  </si>
  <si>
    <t>161</t>
  </si>
  <si>
    <t>411</t>
  </si>
  <si>
    <t>Daños estructurales e infraestructura afectada.</t>
  </si>
  <si>
    <t>17524</t>
  </si>
  <si>
    <t>Palestina</t>
  </si>
  <si>
    <t>248</t>
  </si>
  <si>
    <t>556</t>
  </si>
  <si>
    <t>Daños en infraestructura y viviendas.</t>
  </si>
  <si>
    <t>27615</t>
  </si>
  <si>
    <t>301</t>
  </si>
  <si>
    <t>878</t>
  </si>
  <si>
    <t>17873</t>
  </si>
  <si>
    <t>Villamaría</t>
  </si>
  <si>
    <t>226</t>
  </si>
  <si>
    <t>576</t>
  </si>
  <si>
    <t>17013</t>
  </si>
  <si>
    <t>Aguadas</t>
  </si>
  <si>
    <t>05021</t>
  </si>
  <si>
    <t>Alejandría</t>
  </si>
  <si>
    <t>05031</t>
  </si>
  <si>
    <t>Amalfi</t>
  </si>
  <si>
    <t>05036</t>
  </si>
  <si>
    <t>Angelópolis</t>
  </si>
  <si>
    <t>05038</t>
  </si>
  <si>
    <t>Angostura</t>
  </si>
  <si>
    <t>76054</t>
  </si>
  <si>
    <t>05059</t>
  </si>
  <si>
    <t>05079</t>
  </si>
  <si>
    <t>Barbosa</t>
  </si>
  <si>
    <t>17088</t>
  </si>
  <si>
    <t>Belalcázar</t>
  </si>
  <si>
    <t>93</t>
  </si>
  <si>
    <t>05091</t>
  </si>
  <si>
    <t>Betania</t>
  </si>
  <si>
    <t>05093</t>
  </si>
  <si>
    <t>Betulia</t>
  </si>
  <si>
    <t>05125</t>
  </si>
  <si>
    <t>Caicedo</t>
  </si>
  <si>
    <t>63130</t>
  </si>
  <si>
    <t>Calarcá</t>
  </si>
  <si>
    <t>560</t>
  </si>
  <si>
    <t>05134</t>
  </si>
  <si>
    <t>Campamento</t>
  </si>
  <si>
    <t>05142</t>
  </si>
  <si>
    <t>Caracolí</t>
  </si>
  <si>
    <t>05150</t>
  </si>
  <si>
    <t>Carolina del Príncipe</t>
  </si>
  <si>
    <t>63190</t>
  </si>
  <si>
    <t>Circasia</t>
  </si>
  <si>
    <t>05197</t>
  </si>
  <si>
    <t>Cocorná</t>
  </si>
  <si>
    <t>05206</t>
  </si>
  <si>
    <t>Concepción</t>
  </si>
  <si>
    <t>52215</t>
  </si>
  <si>
    <t>118</t>
  </si>
  <si>
    <t>333</t>
  </si>
  <si>
    <t>05237</t>
  </si>
  <si>
    <t>Donmatías</t>
  </si>
  <si>
    <t>05240</t>
  </si>
  <si>
    <t>Ebéjico</t>
  </si>
  <si>
    <t>05250</t>
  </si>
  <si>
    <t>El Bagre</t>
  </si>
  <si>
    <t>05541</t>
  </si>
  <si>
    <t>05697</t>
  </si>
  <si>
    <t>El Santuario</t>
  </si>
  <si>
    <t>05264</t>
  </si>
  <si>
    <t>Entrerríos</t>
  </si>
  <si>
    <t>05284</t>
  </si>
  <si>
    <t>Frontino</t>
  </si>
  <si>
    <t>63302</t>
  </si>
  <si>
    <t>Génova</t>
  </si>
  <si>
    <t>05306</t>
  </si>
  <si>
    <t>Giraldo</t>
  </si>
  <si>
    <t>05308</t>
  </si>
  <si>
    <t>Girardota</t>
  </si>
  <si>
    <t>05310</t>
  </si>
  <si>
    <t>Gómez Plata</t>
  </si>
  <si>
    <t>05347</t>
  </si>
  <si>
    <t>Heliconia</t>
  </si>
  <si>
    <t>05376</t>
  </si>
  <si>
    <t>La Ceja</t>
  </si>
  <si>
    <t>05411</t>
  </si>
  <si>
    <t>Liborina</t>
  </si>
  <si>
    <t>17433</t>
  </si>
  <si>
    <t>Manzanares</t>
  </si>
  <si>
    <t>05483</t>
  </si>
  <si>
    <t>05543</t>
  </si>
  <si>
    <t>Peque</t>
  </si>
  <si>
    <t>05585</t>
  </si>
  <si>
    <t>Puerto Nare</t>
  </si>
  <si>
    <t>05591</t>
  </si>
  <si>
    <t>Puerto Triunfo</t>
  </si>
  <si>
    <t>63594</t>
  </si>
  <si>
    <t>Quimbaya</t>
  </si>
  <si>
    <t>372</t>
  </si>
  <si>
    <t>869</t>
  </si>
  <si>
    <t>05615</t>
  </si>
  <si>
    <t>Rionegro</t>
  </si>
  <si>
    <t>63690</t>
  </si>
  <si>
    <t>Salento</t>
  </si>
  <si>
    <t>05652</t>
  </si>
  <si>
    <t>05660</t>
  </si>
  <si>
    <t>05665</t>
  </si>
  <si>
    <t>San Pedro de Urabá</t>
  </si>
  <si>
    <t>05674</t>
  </si>
  <si>
    <t>San Vicente Ferrer</t>
  </si>
  <si>
    <t>Declarado afectado en el reparto municipal del EDAN de viviendas de la UNGRD (capa 3iS/iMMAP para OCHA, 12-08-2026), y entre los 90 municipios afectados que enumeró la Gobernación de Antioquia, que lo escribe «San Vicente» (El Colombiano, 12-08-2026). Sin ningún lugar con nombre propio publicado.</t>
  </si>
  <si>
    <t>05679</t>
  </si>
  <si>
    <t>Santa Bárbara</t>
  </si>
  <si>
    <t>05690</t>
  </si>
  <si>
    <t>Santo Domingo</t>
  </si>
  <si>
    <t>05792</t>
  </si>
  <si>
    <t>Tarso</t>
  </si>
  <si>
    <t>05842</t>
  </si>
  <si>
    <t>Uramita</t>
  </si>
  <si>
    <t>05854</t>
  </si>
  <si>
    <t>Valdivia</t>
  </si>
  <si>
    <t>05856</t>
  </si>
  <si>
    <t>Valparaíso</t>
  </si>
  <si>
    <t>05858</t>
  </si>
  <si>
    <t>Vegachí</t>
  </si>
  <si>
    <t>05887</t>
  </si>
  <si>
    <t>Yarumal</t>
  </si>
  <si>
    <t>27491</t>
  </si>
  <si>
    <t>Nóvita</t>
  </si>
  <si>
    <t>1180</t>
  </si>
  <si>
    <t>2724</t>
  </si>
  <si>
    <t>Cercanía al epicentro; afectaciones y priorización para atención de emergencia.</t>
  </si>
  <si>
    <t>70001</t>
  </si>
  <si>
    <t>Sincelejo</t>
  </si>
  <si>
    <t>76892</t>
  </si>
  <si>
    <t>Yumbo</t>
  </si>
  <si>
    <t>Institucion Educativa los Centauros</t>
  </si>
  <si>
    <t>213</t>
  </si>
  <si>
    <t>Tres fallecidos, incluido un menor, además de daños.</t>
  </si>
  <si>
    <t>11001</t>
  </si>
  <si>
    <t>66001</t>
  </si>
  <si>
    <t>Pereira</t>
  </si>
  <si>
    <t>Numerosos colapsos estructurales; fallecidos; daños en viviendas, hospitales y aeropuerto Matecaña.</t>
  </si>
  <si>
    <t>76109</t>
  </si>
  <si>
    <t>Buenaventura</t>
  </si>
  <si>
    <t>1988</t>
  </si>
  <si>
    <t>Fallecidos; daños importantes; afectación del muelle de Juanchaco y puentes.</t>
  </si>
  <si>
    <t>76736</t>
  </si>
  <si>
    <t>Sevilla</t>
  </si>
  <si>
    <t>Institucion Educativa Jose Eustasio Rivera</t>
  </si>
  <si>
    <t>1201</t>
  </si>
  <si>
    <t>2662</t>
  </si>
  <si>
    <t>Cinco fallecidos reportados y daños materiales importantes.</t>
  </si>
  <si>
    <t>76111</t>
  </si>
  <si>
    <t>Buga</t>
  </si>
  <si>
    <t>Tres fallecidos y afectaciones estructurales.</t>
  </si>
  <si>
    <t>76147</t>
  </si>
  <si>
    <t>Cartago</t>
  </si>
  <si>
    <t>247</t>
  </si>
  <si>
    <t>Hospital evacuado y aeropuerto afectado; daños de infraestructura.</t>
  </si>
  <si>
    <t>76243</t>
  </si>
  <si>
    <t>El Águila</t>
  </si>
  <si>
    <t>907</t>
  </si>
  <si>
    <t>1816</t>
  </si>
  <si>
    <t>Hospital afectado y necesidad de evacuación/atención de infraestructura.</t>
  </si>
  <si>
    <t>76403</t>
  </si>
  <si>
    <t>La Victoria</t>
  </si>
  <si>
    <t>138</t>
  </si>
  <si>
    <t>76834</t>
  </si>
  <si>
    <t>Tuluá</t>
  </si>
  <si>
    <t>Institucion Educativa San Joaquin</t>
  </si>
  <si>
    <t>36</t>
  </si>
  <si>
    <t>114</t>
  </si>
  <si>
    <t>76246</t>
  </si>
  <si>
    <t>El Cairo</t>
  </si>
  <si>
    <t>Afectación masiva del municipio; daños graves y hospital colapsado.</t>
  </si>
  <si>
    <t>66088</t>
  </si>
  <si>
    <t>Belén de Umbría</t>
  </si>
  <si>
    <t>993</t>
  </si>
  <si>
    <t>2553</t>
  </si>
  <si>
    <t>487 viviendas afectadas; 116 con recomendación preliminar de desalojo total; daños en infraestructura crítica.</t>
  </si>
  <si>
    <t>66170</t>
  </si>
  <si>
    <t>Dosquebradas</t>
  </si>
  <si>
    <t>1182</t>
  </si>
  <si>
    <t>3110</t>
  </si>
  <si>
    <t>Afectaciones en infraestructura y red hospitalaria.</t>
  </si>
  <si>
    <t>76400</t>
  </si>
  <si>
    <t>524</t>
  </si>
  <si>
    <t>Un fallecido y afectaciones.</t>
  </si>
  <si>
    <t>76622</t>
  </si>
  <si>
    <t>Roldanillo</t>
  </si>
  <si>
    <t>2416</t>
  </si>
  <si>
    <t>3060</t>
  </si>
  <si>
    <t>Tres fallecidos y daños estructurales.</t>
  </si>
  <si>
    <t>25095</t>
  </si>
  <si>
    <t>Bituima</t>
  </si>
  <si>
    <t>25099</t>
  </si>
  <si>
    <t>Bojacá</t>
  </si>
  <si>
    <t>19100</t>
  </si>
  <si>
    <t>220</t>
  </si>
  <si>
    <t>448</t>
  </si>
  <si>
    <t>76113</t>
  </si>
  <si>
    <t>Bugalagrande</t>
  </si>
  <si>
    <t>25181</t>
  </si>
  <si>
    <t>Choachí</t>
  </si>
  <si>
    <t>Uno de los trece municipios que nombra el consolidado de la Gobernación de Cundinamarca, que declara daños en 92 y solo enumera esos trece (El Dorado Radio 99.5 FM, 11-08-2026). Sin ningún lugar con nombre propio publicado.</t>
  </si>
  <si>
    <t>25214</t>
  </si>
  <si>
    <t>Cota</t>
  </si>
  <si>
    <t>25224</t>
  </si>
  <si>
    <t>Cucunubá</t>
  </si>
  <si>
    <t>25312</t>
  </si>
  <si>
    <t>25320</t>
  </si>
  <si>
    <t>Guaduas</t>
  </si>
  <si>
    <t>25326</t>
  </si>
  <si>
    <t>Guatavita</t>
  </si>
  <si>
    <t>76377</t>
  </si>
  <si>
    <t>La Cumbre</t>
  </si>
  <si>
    <t>1225</t>
  </si>
  <si>
    <t>2242</t>
  </si>
  <si>
    <t>25398</t>
  </si>
  <si>
    <t>La Peña</t>
  </si>
  <si>
    <t>66400</t>
  </si>
  <si>
    <t>La Virginia</t>
  </si>
  <si>
    <t>300</t>
  </si>
  <si>
    <t>897</t>
  </si>
  <si>
    <t>66456</t>
  </si>
  <si>
    <t>Mistrató</t>
  </si>
  <si>
    <t>224</t>
  </si>
  <si>
    <t>673</t>
  </si>
  <si>
    <t>25489</t>
  </si>
  <si>
    <t>Nimaima</t>
  </si>
  <si>
    <t>25491</t>
  </si>
  <si>
    <t>Nocaima</t>
  </si>
  <si>
    <t>76520</t>
  </si>
  <si>
    <t>Palmira</t>
  </si>
  <si>
    <t>25530</t>
  </si>
  <si>
    <t>Paratebueno</t>
  </si>
  <si>
    <t>25535</t>
  </si>
  <si>
    <t>Pasca</t>
  </si>
  <si>
    <t>25580</t>
  </si>
  <si>
    <t>Pulí</t>
  </si>
  <si>
    <t>76670</t>
  </si>
  <si>
    <t>San Pedro</t>
  </si>
  <si>
    <t>151</t>
  </si>
  <si>
    <t>353</t>
  </si>
  <si>
    <t>66682</t>
  </si>
  <si>
    <t>Santa Rosa de Cabal</t>
  </si>
  <si>
    <t>600</t>
  </si>
  <si>
    <t>1552</t>
  </si>
  <si>
    <t>76823</t>
  </si>
  <si>
    <t>Toro</t>
  </si>
  <si>
    <t>1402</t>
  </si>
  <si>
    <t>3246</t>
  </si>
  <si>
    <t>25862</t>
  </si>
  <si>
    <t>Vergara</t>
  </si>
  <si>
    <t>25875</t>
  </si>
  <si>
    <t>Villeta</t>
  </si>
  <si>
    <t>25898</t>
  </si>
  <si>
    <t>Zipacón</t>
  </si>
  <si>
    <t>73347</t>
  </si>
  <si>
    <t>Herveo</t>
  </si>
  <si>
    <t>05088</t>
  </si>
  <si>
    <t>Bello</t>
  </si>
  <si>
    <t>13001</t>
  </si>
  <si>
    <t>Cartagena</t>
  </si>
  <si>
    <t>63111</t>
  </si>
  <si>
    <t>Buenavista</t>
  </si>
  <si>
    <t>45</t>
  </si>
  <si>
    <t>63548</t>
  </si>
  <si>
    <t>Pijao</t>
  </si>
  <si>
    <t>25754</t>
  </si>
  <si>
    <t>Soacha</t>
  </si>
  <si>
    <t>Institucion Educativa Departamental Oreste Sindici</t>
  </si>
  <si>
    <t>Agrietamientos en edificaciones y establecimientos.</t>
  </si>
  <si>
    <t>25290</t>
  </si>
  <si>
    <t>Fusagasugá</t>
  </si>
  <si>
    <t>76041</t>
  </si>
  <si>
    <t>Ansermanuevo</t>
  </si>
  <si>
    <t>402</t>
  </si>
  <si>
    <t>821</t>
  </si>
  <si>
    <t>25126</t>
  </si>
  <si>
    <t>Cajicá</t>
  </si>
  <si>
    <t>44001</t>
  </si>
  <si>
    <t>Riohacha</t>
  </si>
  <si>
    <t>Centro Etnoeducativo Integral Rural Uchitu</t>
  </si>
  <si>
    <t>50006</t>
  </si>
  <si>
    <t>Acacías</t>
  </si>
  <si>
    <t>27050</t>
  </si>
  <si>
    <t>Atrato</t>
  </si>
  <si>
    <t>86001</t>
  </si>
  <si>
    <t>Mocoa</t>
  </si>
  <si>
    <t>23001</t>
  </si>
  <si>
    <t>Montería</t>
  </si>
  <si>
    <t>20001</t>
  </si>
  <si>
    <t>Valledupar</t>
  </si>
  <si>
    <t>50001</t>
  </si>
  <si>
    <t>Villavicencio</t>
  </si>
  <si>
    <t>05190</t>
  </si>
  <si>
    <t>Cisneros</t>
  </si>
  <si>
    <t>05212</t>
  </si>
  <si>
    <t>Copacabana</t>
  </si>
  <si>
    <t>19022</t>
  </si>
  <si>
    <t>Almaguer</t>
  </si>
  <si>
    <t>20060</t>
  </si>
  <si>
    <t>Bosconia</t>
  </si>
  <si>
    <t>19212</t>
  </si>
  <si>
    <t>Corinto</t>
  </si>
  <si>
    <t>18001</t>
  </si>
  <si>
    <t>19300</t>
  </si>
  <si>
    <t>Guachené</t>
  </si>
  <si>
    <t>20517</t>
  </si>
  <si>
    <t>Pailitas</t>
  </si>
  <si>
    <t>20750</t>
  </si>
  <si>
    <t>San Diego</t>
  </si>
  <si>
    <t>47001</t>
  </si>
  <si>
    <t>Santa Marta</t>
  </si>
  <si>
    <t>13836</t>
  </si>
  <si>
    <t>Turbaco</t>
  </si>
  <si>
    <t>25175</t>
  </si>
  <si>
    <t>Chía</t>
  </si>
  <si>
    <t>Agrietamientos en institución educativa.</t>
  </si>
  <si>
    <t>25307</t>
  </si>
  <si>
    <t>Girardot</t>
  </si>
  <si>
    <t>73352</t>
  </si>
  <si>
    <t>Icononzo</t>
  </si>
  <si>
    <t>25151</t>
  </si>
  <si>
    <t>Cáqueza</t>
  </si>
  <si>
    <t>Viviendas agrietadas y una vivienda evacuada preventivamente.</t>
  </si>
  <si>
    <t>76306</t>
  </si>
  <si>
    <t>Ginebra</t>
  </si>
  <si>
    <t>79</t>
  </si>
  <si>
    <t>66594</t>
  </si>
  <si>
    <t>Quinchía</t>
  </si>
  <si>
    <t>763</t>
  </si>
  <si>
    <t>2281</t>
  </si>
  <si>
    <t>25899</t>
  </si>
  <si>
    <t>Zipaquirá</t>
  </si>
  <si>
    <t>68001</t>
  </si>
  <si>
    <t>Bucaramanga</t>
  </si>
  <si>
    <t>68276</t>
  </si>
  <si>
    <t>Floridablanca</t>
  </si>
  <si>
    <t>15001</t>
  </si>
  <si>
    <t>Tunja</t>
  </si>
  <si>
    <t>50313</t>
  </si>
  <si>
    <t>05360</t>
  </si>
  <si>
    <t>Itagüí</t>
  </si>
  <si>
    <t>05440</t>
  </si>
  <si>
    <t>Marinilla</t>
  </si>
  <si>
    <t>05885</t>
  </si>
  <si>
    <t>Yalí</t>
  </si>
  <si>
    <t>05893</t>
  </si>
  <si>
    <t>Yondó</t>
  </si>
  <si>
    <t>25200</t>
  </si>
  <si>
    <t>Cogua</t>
  </si>
  <si>
    <t>25394</t>
  </si>
  <si>
    <t>La Palma</t>
  </si>
  <si>
    <t>25513</t>
  </si>
  <si>
    <t>Pacho</t>
  </si>
  <si>
    <t>25645</t>
  </si>
  <si>
    <t>San Antonio del Tequendama</t>
  </si>
  <si>
    <t>IE Cacique - Noanama</t>
  </si>
  <si>
    <t>25019</t>
  </si>
  <si>
    <t>Albán</t>
  </si>
  <si>
    <t>25386</t>
  </si>
  <si>
    <t>La Mesa</t>
  </si>
  <si>
    <t>25805</t>
  </si>
  <si>
    <t>Tibacuy</t>
  </si>
  <si>
    <t>25885</t>
  </si>
  <si>
    <t>Yacopí</t>
  </si>
  <si>
    <t>TOTAL</t>
  </si>
  <si>
    <t>Afectación
alta</t>
  </si>
  <si>
    <t>Afectación
media</t>
  </si>
  <si>
    <t>Afectación
crítica</t>
  </si>
  <si>
    <t>Afectación
muy alta</t>
  </si>
  <si>
    <t>Afectación
media-alta</t>
  </si>
  <si>
    <t>MUNICIPIO</t>
  </si>
  <si>
    <t>ÁREA/EMPRESA/ENTIDAD</t>
  </si>
  <si>
    <t>Fundación CLY Ambienta Serranías</t>
  </si>
  <si>
    <t>Macondo Project</t>
  </si>
  <si>
    <t>Language Oasis - Vive Suif Nuquí</t>
  </si>
  <si>
    <t>Fundación Somos Nuquí</t>
  </si>
  <si>
    <t>Changuero Tours</t>
  </si>
  <si>
    <t>Artezanías</t>
  </si>
  <si>
    <t>Rescate de Cultura</t>
  </si>
  <si>
    <t>PIPOTE</t>
  </si>
  <si>
    <t>Trago Selva Pacífico</t>
  </si>
  <si>
    <t>Villa Nueva Rio Jayabidez</t>
  </si>
  <si>
    <t>Tambacum y Casa de la Cultura</t>
  </si>
  <si>
    <t>Museo Melele</t>
  </si>
  <si>
    <t>Modistería Jenny</t>
  </si>
  <si>
    <t>Hotel Camita</t>
  </si>
  <si>
    <t>Fábrica de arepas</t>
  </si>
  <si>
    <t>Hotel Palmas del Pacífico</t>
  </si>
  <si>
    <t>Restaurante La Casa de Iris</t>
  </si>
  <si>
    <t>Posada Nativa Arcoíris</t>
  </si>
  <si>
    <t>changuero Tours</t>
  </si>
  <si>
    <t>Las Delicias</t>
  </si>
  <si>
    <t>Unguía</t>
  </si>
  <si>
    <t>Jovenes con Esperanza</t>
  </si>
  <si>
    <t>Asociacion de Emprendedores para el Desarrollo Agropecuario Sostenible de Unguia - AEDSU</t>
  </si>
  <si>
    <t>fundación ambiental territorio del futuro verde</t>
  </si>
  <si>
    <t>Brisas de Marriaga (Cabañas )</t>
  </si>
  <si>
    <t>Asociacion de pesca, agricultura  y procesos sociales -  ASOPAS</t>
  </si>
  <si>
    <t>RosVil (Artesanias)</t>
  </si>
  <si>
    <t>Asociacion Guardianes del Planeta por un Mundo Mejor - AGUPLAMUME</t>
  </si>
  <si>
    <t>Agencia de Viajes y Operadora HIDROTOURS</t>
  </si>
  <si>
    <t>Asociación Campesina Ecoturística de la Pringamosa</t>
  </si>
  <si>
    <t>Grupo Telaraña (Chaquiras y Molas)</t>
  </si>
  <si>
    <t>Arte con Alma (Dibujos y Manuealidades)</t>
  </si>
  <si>
    <t>Operadora Turistica Tapón del Darien</t>
  </si>
  <si>
    <t>Hogar Juvenil Campesino Gilga (Artesanías y Transformación de los Productos del Campo)</t>
  </si>
  <si>
    <t>Consejo Comunitario Mayor del Bajo Atrato - COCOMAUNGUIA</t>
  </si>
  <si>
    <t>Consejo Comunitario Mayor del Darien - COCOMADA</t>
  </si>
  <si>
    <t>Hotel brisas del Atrato</t>
  </si>
  <si>
    <t>Asociacion de Mujeres Afros de Unguia - ASOMUDAN - Granjas integrales</t>
  </si>
  <si>
    <t>Dubbisgalu (arte Guna Dule)</t>
  </si>
  <si>
    <t>MANOS ALFARERAS DEL DARIEN</t>
  </si>
  <si>
    <t>Panes el Fogón de la Abuela</t>
  </si>
  <si>
    <t>Academia de danza fronteras del Darién</t>
  </si>
  <si>
    <t>Senderos del Darién - turismo de bienestar y salud</t>
  </si>
  <si>
    <t>Rescatando Nuestras Raices (Escuela de Musica)</t>
  </si>
  <si>
    <t xml:space="preserve">El patacón de fredy </t>
  </si>
  <si>
    <t>Los Arrastres del Rio</t>
  </si>
  <si>
    <t xml:space="preserve">ESTABLECIMIENTO EDUCATIVO OFICIAL </t>
  </si>
  <si>
    <t>Municipios</t>
  </si>
  <si>
    <t>INSTITUCIÓN EDUCATIVA RAFAEL URIBE URIBE</t>
  </si>
  <si>
    <t>INSTITUCIÓN EDUCATIVA TULIO ARBELÁEZ</t>
  </si>
  <si>
    <t xml:space="preserve">INSTITUCIÓN EDUCATIVA DISTRITAL COLEGIO NUEVA DELHI </t>
  </si>
  <si>
    <t>INSTITUCIÓN EDUCATIVA DISTRITAL TÉCNICA EVELYN ABUCHAIBE DE DAES</t>
  </si>
  <si>
    <t>INSTITUCIÓN EDUCATIVA MUNICIPAL LIBERTAD</t>
  </si>
  <si>
    <t>INSTITUCIÓN EDUCATIVA EL CARMELO</t>
  </si>
  <si>
    <t>INSTITUTO SAN VICENTE DE PAUL</t>
  </si>
  <si>
    <t>San Gil</t>
  </si>
  <si>
    <t>INSTITUCIÓN EDUCATIVA INSTITUTO UNIVERSITARIO DE CALDAS</t>
  </si>
  <si>
    <t>INSTITUCIÓN EDUCATIVA LA CONSOLITA</t>
  </si>
  <si>
    <t>INSTITUCIÓN EDUCATIVA JOSÉ EUSTASIO RIVERA</t>
  </si>
  <si>
    <t>Puerto Carreño</t>
  </si>
  <si>
    <t>INSTITUCIÓN EDUCATIVA PATIO BONITO</t>
  </si>
  <si>
    <t>INSTITUCIÓN EDUCATIVA NUEVO NARIÑO</t>
  </si>
  <si>
    <t>Los Córdobas</t>
  </si>
  <si>
    <t>INSTITUCIÓN EDUCATIVA TÉCNICO INTEGRADO DE TRINIDAD</t>
  </si>
  <si>
    <t>Trinidad</t>
  </si>
  <si>
    <t>INSTITUTO TÉCNICO NUEVA FAMILIA</t>
  </si>
  <si>
    <t>Duitama</t>
  </si>
  <si>
    <t>INSTITUCIÓN EDUCATIVA MUNICIPAL LICEO SUR ANDINO</t>
  </si>
  <si>
    <t>CENTRO EDUCATIVO RURAL PUEBLO VIEJO</t>
  </si>
  <si>
    <t>INSTITUCIÓN EDUCATIVA MUNICIPAL TÉCNICO INDUSTRIAL</t>
  </si>
  <si>
    <t>INSTITUCIÓN ETNOEDUCATIVA SAN LUIS BELTRÁN</t>
  </si>
  <si>
    <t>María La Baja</t>
  </si>
  <si>
    <t xml:space="preserve">INSTITUCIÓN EDUCATIVA DISTRITAL COLEGIO NUEVO HORIZONTE </t>
  </si>
  <si>
    <t>INSTITUCIÓN EDUCATIVA SAN ANTONIO DE ANACONIA</t>
  </si>
  <si>
    <t>INSTITUCIÓN EDUCATIVA SILVINO RODRÍGUEZ</t>
  </si>
  <si>
    <t xml:space="preserve">INSTITUCIÓN EDUCATIVA LA FUENTE </t>
  </si>
  <si>
    <t>Los Santos</t>
  </si>
  <si>
    <t>INSTITUCIÓN EDUCATIVA TÉCNICA AGROPECUARIA Y MÍNERA DE MONTECRISTO</t>
  </si>
  <si>
    <t>Montecristo</t>
  </si>
  <si>
    <t>INSTITUCIÓN EDUCATIVA DEPARTAMENTAL LA AURORA</t>
  </si>
  <si>
    <t>La Calera</t>
  </si>
  <si>
    <t>INSTITUCIÓN EDUCATIVA LOPERENA</t>
  </si>
  <si>
    <t>INSTITUCIÓN EDUCATIVA CASCAJAL</t>
  </si>
  <si>
    <t>INSTITUCIÓN EDUCATIVA CLAUDIA MARÍA PRADA</t>
  </si>
  <si>
    <t>INSTITUCIÓN EDUCATIVA SANTA TERESA</t>
  </si>
  <si>
    <t>INSTITUCIÓN EDUCATIVA DISTRITAL COLEGIO SAN CAYETANO</t>
  </si>
  <si>
    <t>INSTITUCIÓN EDUCATIVA CONCENTRACIÓN EDUCATIVA DEL SUR DE MONTELÍBANO</t>
  </si>
  <si>
    <t>Montelíbano</t>
  </si>
  <si>
    <t>INSTITUCIÓN EDUCATIVA ATENEO</t>
  </si>
  <si>
    <t>INSTITUCIÓN EDUCATIVA INDÍGENA DEL RESGUARDO DE POBLAZÓN</t>
  </si>
  <si>
    <t>COLEGIO INTEGRADO PEDRO SANTOS</t>
  </si>
  <si>
    <t>Pinchote</t>
  </si>
  <si>
    <t>INSTITUCIÓN EDUCATIVA LA MILAGROSA</t>
  </si>
  <si>
    <t>INSTITUCIÓN EDUCATIVA BYRON GAVIRIA</t>
  </si>
  <si>
    <t>INSTITUCIÓN EDUCATIVA INTEGRADO JOAQUÍN GONZÁLEZ CAMARGO</t>
  </si>
  <si>
    <t>Sogamoso</t>
  </si>
  <si>
    <t>INSTITUCIÓN EDUCATIVA RURAL CACERÍ</t>
  </si>
  <si>
    <t>INSTITUCIÓN EDUCATIVA TÉCNICA GABRIELA MISTRAL</t>
  </si>
  <si>
    <t>El Carmen de Bolívar</t>
  </si>
  <si>
    <t>INSTITUCIÓN EDUCATIVA HERNÁN VILLA BAENA</t>
  </si>
  <si>
    <t xml:space="preserve">INSTITUCIÓN EDUCATIVA DISTRITAL COLEGIO ISMAEL PERDOMO </t>
  </si>
  <si>
    <t>INSTITUCIÓN EDUCATIVA JUAN JOSÉ NIETO</t>
  </si>
  <si>
    <t>INSTITUCIÓN EDUCATIVA GENERAL SANTANDER</t>
  </si>
  <si>
    <t>INSTITUCIÓN EDUCATIVA DIVINA PASTORA</t>
  </si>
  <si>
    <t>INSTITUCIÓN EDUCATIVA SANTA TERESITA</t>
  </si>
  <si>
    <t>INSTITUCIÓN EDUCATIVA TÉCNICA JESÚS DEL GRAN PODER</t>
  </si>
  <si>
    <t>Imués</t>
  </si>
  <si>
    <t>INSTITUCIÓN EDUCATIVA COMERCIAL DE ENVIGADO</t>
  </si>
  <si>
    <t>INSTITUCIÓN EDUCATIVA GUSTAVO ROJAS PINILLA</t>
  </si>
  <si>
    <t>INSTITUCIÓN EDUCATIVA METROPOLITANO MARÍA OCCIDENTE</t>
  </si>
  <si>
    <t>INSTITUCIÓN EDUCATIVA VILLA CAMPO</t>
  </si>
  <si>
    <t>Malambo</t>
  </si>
  <si>
    <t>INSTITUCIÓN EDUCATIVA NUESTRA SEÑORA DE FÁTIMA</t>
  </si>
  <si>
    <t>INSTITUCIÓN EDUCATIVA DISTRITAL NUESTRA SEÑORA DE LAS NIEVES</t>
  </si>
  <si>
    <t>INSTITUCIÓN EDUCATIVA JOSÉ ANTONIO GALÁN</t>
  </si>
  <si>
    <t>INSTITUCIÓN EDUCATIVA TÉCNICO DÁMASO ZAPATA</t>
  </si>
  <si>
    <t>INSTITUCIÓN EDUCATIVA JUAN DE AMPUDIA</t>
  </si>
  <si>
    <t>INSTITUCIÓN EDUCATIVA EL PARAÍSO</t>
  </si>
  <si>
    <t>INSTITUCIÓN EDUCATIVA SIGLO XXI</t>
  </si>
  <si>
    <t>Tauramena</t>
  </si>
  <si>
    <t>INSTITUCIÓN EDUCATIVA MUNICIPAL JOSÉ DE LOS SANTOS ZÚÑIGA</t>
  </si>
  <si>
    <t>Chigorodó</t>
  </si>
  <si>
    <t>INSTITUCIÓN EDUCATIVA SANTA TERESITA DE SAN PELAYO CÓRDOBA</t>
  </si>
  <si>
    <t>San Pelayo</t>
  </si>
  <si>
    <t>Institución Educativa</t>
  </si>
  <si>
    <t>Clave Municipio+Departamento</t>
  </si>
  <si>
    <t>Institucion Educativa Hector Ivan Hernandez</t>
  </si>
  <si>
    <t>IE Chugandi</t>
  </si>
  <si>
    <t>Institucion Educativa Villalosada</t>
  </si>
  <si>
    <t>Institucion Educativa Santa Lucia</t>
  </si>
  <si>
    <t>Ambalema</t>
  </si>
  <si>
    <t>Arauca</t>
  </si>
  <si>
    <t>Institucion Educativa la Reforma</t>
  </si>
  <si>
    <t>Arauquita</t>
  </si>
  <si>
    <t>Institucion Educativa Santo Angel</t>
  </si>
  <si>
    <t>Arboleda</t>
  </si>
  <si>
    <t>Centro Educativo Panama</t>
  </si>
  <si>
    <t>Institucion Educativa Agropecuario Municipal</t>
  </si>
  <si>
    <t>Institucion Educativa de Desarrollo Rural de Berruecos</t>
  </si>
  <si>
    <t>Quindio</t>
  </si>
  <si>
    <t>Institucion Educativa CASD Hermogenes Maza</t>
  </si>
  <si>
    <t>Institucion Educativa el Quebradon</t>
  </si>
  <si>
    <t>IE de Samurindo</t>
  </si>
  <si>
    <t>Baranoa</t>
  </si>
  <si>
    <t>IE San Isidro</t>
  </si>
  <si>
    <t>IE Hernando Palacios</t>
  </si>
  <si>
    <t>Institucion Educativa Tecnica Maria Inmaculada de Pital de Megua</t>
  </si>
  <si>
    <t>Barrancas</t>
  </si>
  <si>
    <t>Institucion Educativa el Diviso</t>
  </si>
  <si>
    <t>Institucion Educativa Escuela Normal Superior la Inmaculada</t>
  </si>
  <si>
    <t>Bochalema</t>
  </si>
  <si>
    <t>Colegio Pozo Cuatro</t>
  </si>
  <si>
    <t>Institucion Educativa el Cruce de Santa Rosa</t>
  </si>
  <si>
    <t>Institucion Educativa el Resguardo</t>
  </si>
  <si>
    <t>Institucion Educativa Guaure</t>
  </si>
  <si>
    <t>Guajira</t>
  </si>
  <si>
    <t>Institucion Educativa Indigena No. 3</t>
  </si>
  <si>
    <t>Buesaco</t>
  </si>
  <si>
    <t>Institucion Etnoeducativa la Gloria</t>
  </si>
  <si>
    <t>Institucion Educativa Distrital la Luz</t>
  </si>
  <si>
    <t>Institucion Educativa Distrital del Barrio Simon Bolivar</t>
  </si>
  <si>
    <t>Institucion Educativa Distrital Jose Eusebio Caro Colcaro</t>
  </si>
  <si>
    <t>Calamar</t>
  </si>
  <si>
    <t>Institucion Educativa Distrital Juan Acosta Solera</t>
  </si>
  <si>
    <t>Inst Tec Jorge Gaitan Duran</t>
  </si>
  <si>
    <t>Capital Bogotá, D.C.</t>
  </si>
  <si>
    <t>Colegio Externado Nacional Camilo Torres (ied)</t>
  </si>
  <si>
    <t>Campo de la Cruz</t>
  </si>
  <si>
    <t>I.E. Jose Maria Cordoba</t>
  </si>
  <si>
    <t>Institucion Educativa Versalles</t>
  </si>
  <si>
    <t>Colegio Nuestro Senor de la Buena Esperanza</t>
  </si>
  <si>
    <t>Colegio San Francisco de Asis</t>
  </si>
  <si>
    <t>Castilla la Nueva</t>
  </si>
  <si>
    <t>Charalá</t>
  </si>
  <si>
    <t>Santa Cecilia</t>
  </si>
  <si>
    <t>Institucion Educativa Tecnica la Marina</t>
  </si>
  <si>
    <t>Institucion Educativa Nemesio Rodriguez Escobar</t>
  </si>
  <si>
    <t>Cimitarra</t>
  </si>
  <si>
    <t>Institucion Educativa Agropecuaria Veracruz</t>
  </si>
  <si>
    <t>Institucion Educativa Tulio Enrique Tascon Chambimbal</t>
  </si>
  <si>
    <t>Institucion Educativa Rural Departamental San Nicolas</t>
  </si>
  <si>
    <t>Institucion Educativa Anaime</t>
  </si>
  <si>
    <t>Guaviare</t>
  </si>
  <si>
    <t>C.E. Indigena el Morichal Viejo</t>
  </si>
  <si>
    <t>Coyaima</t>
  </si>
  <si>
    <t>Institucion Educativa Montebello</t>
  </si>
  <si>
    <t>Institucion Educativa Bohorquez</t>
  </si>
  <si>
    <t>Cumbal</t>
  </si>
  <si>
    <t>Institucion Educativa de Carreto</t>
  </si>
  <si>
    <t>Dibulla</t>
  </si>
  <si>
    <t>Institucion Educativa Marino Rengifo Salcedo</t>
  </si>
  <si>
    <t>Intitución Educativa Maria Auxiliadora</t>
  </si>
  <si>
    <t>Centro Educativo Indigena Alto Tsocobo</t>
  </si>
  <si>
    <t>Institucion Educativa el Morro</t>
  </si>
  <si>
    <t>El Carmen</t>
  </si>
  <si>
    <t>Institucion Educativa Departamental el Trigo</t>
  </si>
  <si>
    <t>I.E. Marco Fidel Suarez</t>
  </si>
  <si>
    <t>El Charco</t>
  </si>
  <si>
    <t>Institucion Educativa Pedregal</t>
  </si>
  <si>
    <t>El Guacamayo</t>
  </si>
  <si>
    <t>Colegio Luis Alberto Acuna</t>
  </si>
  <si>
    <t>Institucion Educativa Fernando Gonzalez Mesa</t>
  </si>
  <si>
    <t>El Playón</t>
  </si>
  <si>
    <t>Institucion Educativa Santa Teresa</t>
  </si>
  <si>
    <t>El Retorno</t>
  </si>
  <si>
    <t>Institucion Educativa Departamental Mariano Santamaria</t>
  </si>
  <si>
    <t>Institucion Educativa el Pescador</t>
  </si>
  <si>
    <t>El Zulia</t>
  </si>
  <si>
    <t>Institucion Educativa Tecnica Agroecologica de Males</t>
  </si>
  <si>
    <t>Inst Educ Tapias</t>
  </si>
  <si>
    <t>Institucion Educativa Antonio Narino</t>
  </si>
  <si>
    <t>Institucion Educativa Tecnica la Vega de los Padres</t>
  </si>
  <si>
    <t>Fonseca</t>
  </si>
  <si>
    <t>Institucion Educativa Tecnica Comercial San Juan Bosco</t>
  </si>
  <si>
    <t>Inst. Educativa Monse¿or Sarmiento Peralta</t>
  </si>
  <si>
    <t>Fuente de Oro</t>
  </si>
  <si>
    <t>Institucion Educativa Oru Bajo</t>
  </si>
  <si>
    <t>I.E. Institucion Etnoeducativa U Wa Izqueta (segovia)</t>
  </si>
  <si>
    <t>Gachetá</t>
  </si>
  <si>
    <t>Institucion Educativa los Andes de Cuaical</t>
  </si>
  <si>
    <t>Centro Etnoeducativo No. 21 Aralia</t>
  </si>
  <si>
    <t>Centro Educativo de Rio Ancho</t>
  </si>
  <si>
    <t>Girón</t>
  </si>
  <si>
    <t>Institucion Educativa Playa Rica</t>
  </si>
  <si>
    <t>I.E. Tecnico Nueva Familia</t>
  </si>
  <si>
    <t>Guacarí</t>
  </si>
  <si>
    <t>Institucion Educativa Justiniano Echavarria</t>
  </si>
  <si>
    <t>Guadalupe</t>
  </si>
  <si>
    <t>Inst Agricola Risaralda</t>
  </si>
  <si>
    <t>Guamo</t>
  </si>
  <si>
    <t>Institucion Educativa Jorge Isaacs de el Placer</t>
  </si>
  <si>
    <t>Guapotá</t>
  </si>
  <si>
    <t>Institución Educativa Nuestra Señora del Carmen</t>
  </si>
  <si>
    <t>Guayabal de Síquima</t>
  </si>
  <si>
    <t>Institucion Educativa Pablo Sexto</t>
  </si>
  <si>
    <t>Guayatá</t>
  </si>
  <si>
    <t>Institucion Educativa Acerg Asociacion de Centros Educativos del Cañon del Rio Garrapatas</t>
  </si>
  <si>
    <t>Hacarí</t>
  </si>
  <si>
    <t>Institucion Educativa San Jose</t>
  </si>
  <si>
    <t>Institucion Educativa San Francisco de Asis</t>
  </si>
  <si>
    <t>Institucion Educativa Jorge Eliecer Gaitan</t>
  </si>
  <si>
    <t>Institucion Educativa Francisco de Paula Santander</t>
  </si>
  <si>
    <t>Institucion Educativa Guacamayas</t>
  </si>
  <si>
    <t>Institucion Educativa Cano Blanco Ii</t>
  </si>
  <si>
    <t>Inst Educativa Marcos Garcia Carrillo</t>
  </si>
  <si>
    <t>Juan de Acosta</t>
  </si>
  <si>
    <t>Institucion Etnoeducativa Rural Iki Bogyira Mimay.</t>
  </si>
  <si>
    <t>La Argentina</t>
  </si>
  <si>
    <t>Centro Educativo Rural el Farache</t>
  </si>
  <si>
    <t>Institucion Educativa Rural San Sebastian</t>
  </si>
  <si>
    <t>La Esperanza</t>
  </si>
  <si>
    <t>La Florida</t>
  </si>
  <si>
    <t>Institucion Educativa la Paz No 1</t>
  </si>
  <si>
    <t>La Macarena</t>
  </si>
  <si>
    <t>Centro Educativo Morario</t>
  </si>
  <si>
    <t>Institucion Etnoeducativa #11</t>
  </si>
  <si>
    <t>Institucion Educativa Zaragoza Tamarindo</t>
  </si>
  <si>
    <t>Centro Educativo Puerto Lucas Margen Derecha</t>
  </si>
  <si>
    <t>Institucion Educativa Rural Departamental Limoncitos</t>
  </si>
  <si>
    <t>Institucion Educativa Municipal Tecnico de Accion Comunal</t>
  </si>
  <si>
    <t>Linares</t>
  </si>
  <si>
    <t>Institucion Educativa Departamental Escuela Normal Superior</t>
  </si>
  <si>
    <t>Luruaco</t>
  </si>
  <si>
    <t>Institucion Educativa Nuestra Senora del Carmen</t>
  </si>
  <si>
    <t>Maicao</t>
  </si>
  <si>
    <t>Institucion Educativa Departamental Integrada de Cabrera</t>
  </si>
  <si>
    <t>Mallama</t>
  </si>
  <si>
    <t>Institucion Educativa Blanca Duran de Padilla</t>
  </si>
  <si>
    <t>Manaure</t>
  </si>
  <si>
    <t>Institucion Educativa Cauchos</t>
  </si>
  <si>
    <t>Mapiripán</t>
  </si>
  <si>
    <t>Institucion Educativa Santo Domingo</t>
  </si>
  <si>
    <t>Institucion Educativa Santa Teresa de Pachaquiaro</t>
  </si>
  <si>
    <t>Institucion Educativa Jose Ignacio Ospina</t>
  </si>
  <si>
    <t>Institucion Educativa Maria Mandiguagua</t>
  </si>
  <si>
    <t>Miraflores</t>
  </si>
  <si>
    <t>Institucion Educativa Tecnica San Jose</t>
  </si>
  <si>
    <t>Institucion Educativa Tecnica Alberto Castilla</t>
  </si>
  <si>
    <t>Mogotes</t>
  </si>
  <si>
    <t>Institucion Educativa Villas de San Ignacio</t>
  </si>
  <si>
    <t>Moniquirá</t>
  </si>
  <si>
    <t>Instituto Nacional de Promocion Social de Ubala</t>
  </si>
  <si>
    <t>Mutiscua</t>
  </si>
  <si>
    <t>I.E. Tecnica Miraflores</t>
  </si>
  <si>
    <t>Nátaga</t>
  </si>
  <si>
    <t>Col Puerto Nuevo</t>
  </si>
  <si>
    <t>Institucion Educativa Altozano</t>
  </si>
  <si>
    <t>Institucion Educativa Jose Celestino Mutis</t>
  </si>
  <si>
    <t>Institucion Educativa Maria Luz</t>
  </si>
  <si>
    <t>Nuevo Belén de Bajirá</t>
  </si>
  <si>
    <t>Institucion Educativa Tecnica Agropecuaria el Empalme</t>
  </si>
  <si>
    <t>Olaya Herrera</t>
  </si>
  <si>
    <t>Institucion Educativa el Placer</t>
  </si>
  <si>
    <t>IE. Tecnica Agropecuaria Nuestra Senora del Carmen de Espriella</t>
  </si>
  <si>
    <t>Otanche</t>
  </si>
  <si>
    <t>Institucion Educativa del Sur</t>
  </si>
  <si>
    <t>Institucion Educativa Puenes</t>
  </si>
  <si>
    <t>Institucion Educativa Sucre</t>
  </si>
  <si>
    <t>Páramo</t>
  </si>
  <si>
    <t>IE Normal Sup Ntra Sra de las Mercedes</t>
  </si>
  <si>
    <t>Piedecuesta</t>
  </si>
  <si>
    <t>Institucion Educativa Tecnica-academica y Turistica de Santa Veronica</t>
  </si>
  <si>
    <t>Policarpa</t>
  </si>
  <si>
    <t>Cent Educ Rur la Sagrada Familia</t>
  </si>
  <si>
    <t>Polonuevo</t>
  </si>
  <si>
    <t>Institucion Educativa Nuestra Señora Delcarmen</t>
  </si>
  <si>
    <t>Providencia</t>
  </si>
  <si>
    <t>Institucion Educativa San Isidro de Chichimene</t>
  </si>
  <si>
    <t>Puerto Boyacá</t>
  </si>
  <si>
    <t>Institucion Educativa Ciudad Latina</t>
  </si>
  <si>
    <t>Institucion Educativa la Cabana</t>
  </si>
  <si>
    <t>Puerto Concordia</t>
  </si>
  <si>
    <t>Institucion Educativa Gallego</t>
  </si>
  <si>
    <t>Puerto Gaitán</t>
  </si>
  <si>
    <t>Institucion Educativa Municipal Pachakuti</t>
  </si>
  <si>
    <t>Puerto Lleras</t>
  </si>
  <si>
    <t>Puerto López</t>
  </si>
  <si>
    <t>Institucion Educativa Santander</t>
  </si>
  <si>
    <t>Roberto Payán</t>
  </si>
  <si>
    <t>Institucion Educativa Técnica San Juan Bautista de la Salle</t>
  </si>
  <si>
    <t>Sabana de Torres</t>
  </si>
  <si>
    <t>Institucion Etnoeducativa Integral Rural de Nuestra Senora de Fatima de Nazareth</t>
  </si>
  <si>
    <t>Saboyá</t>
  </si>
  <si>
    <t>Institucion Educativa Indigena No. 9</t>
  </si>
  <si>
    <t>Saladoblanco</t>
  </si>
  <si>
    <t>Institucion Etnoeducativa # 20</t>
  </si>
  <si>
    <t>Samacá</t>
  </si>
  <si>
    <t>Institucion Educativa Hector Jaramillo Duque</t>
  </si>
  <si>
    <t>San Andrés</t>
  </si>
  <si>
    <t>IE Indígena Trapiche del Rio Pepe</t>
  </si>
  <si>
    <t>San Bernardo</t>
  </si>
  <si>
    <t>Institucion Educativa las Mercedes Capilla</t>
  </si>
  <si>
    <t>I.E. Tecnica Puerto Serviez</t>
  </si>
  <si>
    <t>San José del Guaviare</t>
  </si>
  <si>
    <t>Institucion Educativa las Damas</t>
  </si>
  <si>
    <t>San Lorenzo</t>
  </si>
  <si>
    <t>Institucion Educativa el Castillo</t>
  </si>
  <si>
    <t>I.E. Tecnica Samuel Ignacio Santamaria</t>
  </si>
  <si>
    <t>Santa Helena del Opón</t>
  </si>
  <si>
    <t>Institucion Educativa General Santander</t>
  </si>
  <si>
    <t>Santacruz</t>
  </si>
  <si>
    <t>Institucion Educativa Coyarco</t>
  </si>
  <si>
    <t>Santo Tomás</t>
  </si>
  <si>
    <t>Institucion Educativa Municipal Winnipeg</t>
  </si>
  <si>
    <t>Sardinata</t>
  </si>
  <si>
    <t>Institucion Educativa Santa Librada</t>
  </si>
  <si>
    <t>Soatá</t>
  </si>
  <si>
    <t>IE Cuchillo Blanco</t>
  </si>
  <si>
    <t>Socorro</t>
  </si>
  <si>
    <t>Institucion Educativa Merizalde Porvenir</t>
  </si>
  <si>
    <t>Soledad</t>
  </si>
  <si>
    <t>Institucion Educativa Julio Ernesto Andrade</t>
  </si>
  <si>
    <t>Soracá</t>
  </si>
  <si>
    <t>I.E. Tecnica Salamanca</t>
  </si>
  <si>
    <t>Suaita</t>
  </si>
  <si>
    <t>I.E. Pedregal Alto</t>
  </si>
  <si>
    <t>Suaza</t>
  </si>
  <si>
    <t>Institucion Educativa Departamental San Antonio</t>
  </si>
  <si>
    <t>Sutamarchán</t>
  </si>
  <si>
    <t>Institucion Educativa Francisco Saenz</t>
  </si>
  <si>
    <t>Tame</t>
  </si>
  <si>
    <t>Taminango</t>
  </si>
  <si>
    <t>C.E.M. Jamondino</t>
  </si>
  <si>
    <t>Tarqui</t>
  </si>
  <si>
    <t>Institución Educativa Municipal el Campanero</t>
  </si>
  <si>
    <t>Tausa</t>
  </si>
  <si>
    <t>I.e.m. la Victoria</t>
  </si>
  <si>
    <t>Teorama</t>
  </si>
  <si>
    <t>I.e.m. Aurelio Arturo Martinez</t>
  </si>
  <si>
    <t>Tibú</t>
  </si>
  <si>
    <t>I.e.m. Ciudad de Pasto</t>
  </si>
  <si>
    <t>Túquerres</t>
  </si>
  <si>
    <t>Institucion Educativa Agropecuaria de Aipe</t>
  </si>
  <si>
    <t>Institución Educativa Restrepo</t>
  </si>
  <si>
    <t>Uribia</t>
  </si>
  <si>
    <t>Institucion Educativa Alfredo Posada Correa</t>
  </si>
  <si>
    <t>Valle de San José</t>
  </si>
  <si>
    <t>Institucion Educativa Antonio Nariño</t>
  </si>
  <si>
    <t>Archipiélago San Andres</t>
  </si>
  <si>
    <t>Vichada</t>
  </si>
  <si>
    <t>Vista Hermosa</t>
  </si>
  <si>
    <t>Institucion Educativa Rural Vanguardia</t>
  </si>
  <si>
    <t>Yaguará</t>
  </si>
  <si>
    <t>Centro Educativo Bocas del Perdido</t>
  </si>
  <si>
    <t>Institucion Educativa Tecnica Camila Molano</t>
  </si>
  <si>
    <t>IE Agropecuaria Cristo Rey de Tutunendo</t>
  </si>
  <si>
    <t>IE Diocesano Pedro Grau y Arola</t>
  </si>
  <si>
    <t>Centro Educativo Diego Luis Cordoba</t>
  </si>
  <si>
    <t>Centro Educativo Rural de Restrepo</t>
  </si>
  <si>
    <t>Institucion Educativa Ricaurte</t>
  </si>
  <si>
    <t>Institucion Educativa Tecnica Francisco Jose de Caldas</t>
  </si>
  <si>
    <t>Institucion Educativa Tecnica Cualamana</t>
  </si>
  <si>
    <t>Institucion Etnoeducativa Rural San Lorenzo de Shiruria</t>
  </si>
  <si>
    <t>Centro Educativo Luis A. Brito</t>
  </si>
  <si>
    <t>Institucion Etnoeducativa Rural Nazareth</t>
  </si>
  <si>
    <t>Institucion Educativa No. 15</t>
  </si>
  <si>
    <t>Institucion Educativa el Vergel</t>
  </si>
  <si>
    <t>Institucion Educativa Nucleo Escolar el Guadual</t>
  </si>
  <si>
    <t>Roberto Payán(san José)</t>
  </si>
  <si>
    <t>Centro Educativo la Conquista</t>
  </si>
  <si>
    <t>Institucion Educativa Tecnica Francisco Julian Olaya</t>
  </si>
  <si>
    <t>Institucion Educativa Tecnica Francisco Pineda Lopez</t>
  </si>
  <si>
    <t>S.antonio de Tequendama</t>
  </si>
  <si>
    <t>Institucion Educativa Cazuca</t>
  </si>
  <si>
    <t>Institucion Educativa Nuevo Horizonte</t>
  </si>
  <si>
    <t>Institucion Educativa Veintiseis de Marzo</t>
  </si>
  <si>
    <t>I.E. Liceo Nacional Jose Joaquin Casas</t>
  </si>
  <si>
    <t>Institucion Educativa la Primavera</t>
  </si>
  <si>
    <t>I.E. Tecnica las Mercedes</t>
  </si>
  <si>
    <t>Institucion Educativa Luis Carlos Galan Sarmiento</t>
  </si>
  <si>
    <t>San Andres de Tumaco</t>
  </si>
  <si>
    <t>CE. el Coco Rio Rosario</t>
  </si>
  <si>
    <t>I.E. Llorente</t>
  </si>
  <si>
    <t>IE. General Santander</t>
  </si>
  <si>
    <t>I. E. Roberto Mario Bischoff</t>
  </si>
  <si>
    <t>CE. Chorrera Curay</t>
  </si>
  <si>
    <t>IE. Tecnica Agropecuaria Nuestra Señora del Carmen de Espriella</t>
  </si>
  <si>
    <t>CE. Corriente Grande</t>
  </si>
  <si>
    <t>CE. la Brava</t>
  </si>
  <si>
    <t>I. E. Peña Colorada</t>
  </si>
  <si>
    <t>Institucion Educativa Colegio Marta</t>
  </si>
  <si>
    <t>Institucion Educativa el Eden</t>
  </si>
  <si>
    <t>Institucion Educativa Latorre Gomez</t>
  </si>
  <si>
    <t>Institucion Educativa Antonio Narino el Unilla</t>
  </si>
  <si>
    <t>San Juan de Río Seco</t>
  </si>
  <si>
    <t>Institucion Educativa Departamental Calixto Gaitan</t>
  </si>
  <si>
    <t>Institucion Educativa Santa Martha</t>
  </si>
  <si>
    <t>Institucion Educativa Valparaiso Bajo</t>
  </si>
  <si>
    <t>Institucion Educativa Colegio Portal Campestre Norte</t>
  </si>
  <si>
    <t>Institucion Educativa Municipal Chillurco</t>
  </si>
  <si>
    <t>Santacruz(guachaves)</t>
  </si>
  <si>
    <t>Centro Educativo Santa Rosa</t>
  </si>
  <si>
    <t>Institucion Educativa Tecnica Comercial de Santo Tomas</t>
  </si>
  <si>
    <t>Institucion Educativa Rural Leon Xiii</t>
  </si>
  <si>
    <t>Institucion Educativa Municipal Inst. Tecnico Industrial</t>
  </si>
  <si>
    <t>Institucion Educativa Departamental Postprimaria Rural el Altico</t>
  </si>
  <si>
    <t>I.E. Tecnica Agropecuaria San Isidro</t>
  </si>
  <si>
    <t>Colegio Tecnico Microempresarial el Carmen</t>
  </si>
  <si>
    <t>Institucion Educativa Antonio Ramon Moreno</t>
  </si>
  <si>
    <t>Institucion Educativa Comercial Ntra Sra de las Misericordias</t>
  </si>
  <si>
    <t>Institucion Educativa Policarpa Salavarrieta</t>
  </si>
  <si>
    <t>Institucion Educativa Alberto Pumarejo</t>
  </si>
  <si>
    <t>Institucion Educativa Tecnica Industrial San Antonio de Padua</t>
  </si>
  <si>
    <t>I.E. Escuela Normal Superior la Presentacion</t>
  </si>
  <si>
    <t>Colegio Avelina Moreno</t>
  </si>
  <si>
    <t>Institucion Educativa la Ulloa</t>
  </si>
  <si>
    <t>Instituto Tecnico Nueva Familia.</t>
  </si>
  <si>
    <t>Institucion Educativa Filipinas</t>
  </si>
  <si>
    <t>Centro Educativo la Palestina</t>
  </si>
  <si>
    <t>Institucion Educativa Ecoturistica Puerto Remolino</t>
  </si>
  <si>
    <t>Institucion Educativa Municipal Criollo</t>
  </si>
  <si>
    <t>Institucion Educativa Bojaca</t>
  </si>
  <si>
    <t>Colegio Fray Manuel Alvarez</t>
  </si>
  <si>
    <t>Institucion Educativa Paulo Vi</t>
  </si>
  <si>
    <t>Institucion Educativa Colegio Integrado Francisco de Paula Santander</t>
  </si>
  <si>
    <t>Institucion Educativa Antonio Jose de Sucre</t>
  </si>
  <si>
    <t>Institucion Educativa Alto Rocio</t>
  </si>
  <si>
    <t>Centro Educativo Buenavista</t>
  </si>
  <si>
    <t>Centro Educativo Quebrada Oscura</t>
  </si>
  <si>
    <t>Institucion Educativa Departamental Monsenor Abdon Lopez</t>
  </si>
  <si>
    <t>Institucion Educativa Maria Inmaculada</t>
  </si>
  <si>
    <t>IE Bernardo Moreno</t>
  </si>
  <si>
    <t>IE Santa Maria la Nueva del Darien</t>
  </si>
  <si>
    <t>IE San Rafael el Dos</t>
  </si>
  <si>
    <t>Institucion Etnoeducativa Monte Alvernia</t>
  </si>
  <si>
    <t>Institucion Educativa Juan Jacobo Aragon</t>
  </si>
  <si>
    <t>Institucion Etnoeducativa Integral Rural de Media Luna Jawao</t>
  </si>
  <si>
    <t>Institucion Etnoeducativa Integran Rural Internado Indigena de Camino Verde</t>
  </si>
  <si>
    <t>Institucion Etnoeducativa Jose Choles</t>
  </si>
  <si>
    <t>Centro Etnoeducativo Integral Rural Anas Wakuaipa</t>
  </si>
  <si>
    <t>Institucion Educativa Rural Adolfo Antonio Mindiola Robles</t>
  </si>
  <si>
    <t>Colegio Fray Jose de las Casas Novas</t>
  </si>
  <si>
    <t>Institucion Educativa Nicanor Velasquez Ortiz</t>
  </si>
  <si>
    <t>Institucion Educativa Tecnica Simon Bolivar</t>
  </si>
  <si>
    <t>Institucion Educativa San Antonio del Ariari</t>
  </si>
  <si>
    <t>Institucion Educativa Antonio Ricaurte CASD</t>
  </si>
  <si>
    <t>I.E. las Palmas</t>
  </si>
  <si>
    <t>IE Nuestra Senora de la Macarena</t>
  </si>
  <si>
    <t>Institucion Educativa San Lorenzo</t>
  </si>
  <si>
    <t>Institucion Educativa Colegio Francisco Arango</t>
  </si>
  <si>
    <t>Institucion Educativa Agropecuario del Huila</t>
  </si>
  <si>
    <t>IE General Santander</t>
  </si>
  <si>
    <t>IE Juan Xxiii</t>
  </si>
  <si>
    <t xml:space="preserve">Fallecidos </t>
  </si>
  <si>
    <t>Noticia 1</t>
  </si>
  <si>
    <t>Noticia 2</t>
  </si>
  <si>
    <t>Total</t>
  </si>
  <si>
    <t>T_Fallecidos</t>
  </si>
  <si>
    <t>T_Heridos</t>
  </si>
  <si>
    <t>Amazonas</t>
  </si>
  <si>
    <t>Leticia</t>
  </si>
  <si>
    <t>Puerto Nariño</t>
  </si>
  <si>
    <t>El Encanto</t>
  </si>
  <si>
    <t>La Chorrera</t>
  </si>
  <si>
    <t>La Pedrera</t>
  </si>
  <si>
    <t>Mirití-Paraná</t>
  </si>
  <si>
    <t>Puerto Alegría</t>
  </si>
  <si>
    <t>Puerto Arica</t>
  </si>
  <si>
    <t>Puerto Santander</t>
  </si>
  <si>
    <t>Tarapacá</t>
  </si>
  <si>
    <t>Abriaquí</t>
  </si>
  <si>
    <t>Anorí</t>
  </si>
  <si>
    <t>Arboletes</t>
  </si>
  <si>
    <t>Armenia (Mantequilla)</t>
  </si>
  <si>
    <t>Belmira</t>
  </si>
  <si>
    <t>Briceño</t>
  </si>
  <si>
    <t>Buriticá</t>
  </si>
  <si>
    <t>Cáceres</t>
  </si>
  <si>
    <t>El Carmen de Viboral</t>
  </si>
  <si>
    <t>Guatapé</t>
  </si>
  <si>
    <t>https://m.elcolombiano.com/medellin/sismo-medellin-bomberos-ingenieros-revisan-danos-EF39786323</t>
  </si>
  <si>
    <t>Jerico</t>
  </si>
  <si>
    <t>https://laceja-antioquia.gov.co/publicaciones/1490/en-la-ceja-16-viviendas-han-reportado-afectaciones-tras-el-sismo-y-3-equipamientos-publicos-son-evaluados-por-el-comger/</t>
  </si>
  <si>
    <t>Maceo</t>
  </si>
  <si>
    <t>Murindó</t>
  </si>
  <si>
    <t>Mutatá</t>
  </si>
  <si>
    <t>Nechí</t>
  </si>
  <si>
    <t>Necoclí</t>
  </si>
  <si>
    <t>Olaya</t>
  </si>
  <si>
    <t>Peñol</t>
  </si>
  <si>
    <t>Puerto Berrío</t>
  </si>
  <si>
    <t>Retiro</t>
  </si>
  <si>
    <t>Sabanalarga</t>
  </si>
  <si>
    <t>https://caracol.com.co/2026/08/10/sismo-deja-un-muerto-y-dos-heridos-en-antioquia-364-viviendas-61-colegios-y-7-hospitales-afectados</t>
  </si>
  <si>
    <t>San Andrés de Cuerquia</t>
  </si>
  <si>
    <t>San José de la Montaña</t>
  </si>
  <si>
    <t>San Juan de Urabá</t>
  </si>
  <si>
    <t>San Pedro de los Milagros</t>
  </si>
  <si>
    <t>San Roque</t>
  </si>
  <si>
    <t>Segovia</t>
  </si>
  <si>
    <t>Terremoto en Antioquia deja un muerto y daños en 52 municipios, gobernador entrega balance | MiOriente</t>
  </si>
  <si>
    <t>Terremoto en Antioquia deja casi 700 viviendas afectadas y activa ayudas desde Medellín - Infobae</t>
  </si>
  <si>
    <t>Tarazá</t>
  </si>
  <si>
    <t>Tolombó</t>
  </si>
  <si>
    <t>Vigía del Fuente</t>
  </si>
  <si>
    <t>Cravo Norte</t>
  </si>
  <si>
    <t>Fortul</t>
  </si>
  <si>
    <t>Puerto Rondón</t>
  </si>
  <si>
    <t>Saravena</t>
  </si>
  <si>
    <t>Atlantico</t>
  </si>
  <si>
    <t>Galapa</t>
  </si>
  <si>
    <t>Manatí</t>
  </si>
  <si>
    <t>Palmar de Varela</t>
  </si>
  <si>
    <t>Piojó</t>
  </si>
  <si>
    <t>Ponedera</t>
  </si>
  <si>
    <t>Puerto Colombia</t>
  </si>
  <si>
    <t>Repelón</t>
  </si>
  <si>
    <t>Sabanagrande</t>
  </si>
  <si>
    <t>Santa Lucía</t>
  </si>
  <si>
    <t>Suan</t>
  </si>
  <si>
    <t>Tubará</t>
  </si>
  <si>
    <t>Usiacurí</t>
  </si>
  <si>
    <t>Bogotá</t>
  </si>
  <si>
    <t>Bolivar</t>
  </si>
  <si>
    <t>Achí</t>
  </si>
  <si>
    <t>Altos del Rosario</t>
  </si>
  <si>
    <t>Arenal</t>
  </si>
  <si>
    <t>Arjona</t>
  </si>
  <si>
    <t>Arroyohondo</t>
  </si>
  <si>
    <t>Barranco de Loba</t>
  </si>
  <si>
    <t>Cantagallo</t>
  </si>
  <si>
    <t>Cartagena de Indias</t>
  </si>
  <si>
    <t>Clemencia</t>
  </si>
  <si>
    <t>Córdoba (Tetón)</t>
  </si>
  <si>
    <t>El Guamo</t>
  </si>
  <si>
    <t>El Peñón</t>
  </si>
  <si>
    <t>Hatillo de Loba</t>
  </si>
  <si>
    <t>Magangué</t>
  </si>
  <si>
    <t>Mahates</t>
  </si>
  <si>
    <t>Margarita</t>
  </si>
  <si>
    <t>Mompox (Santa Cruz de)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</si>
  <si>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</si>
  <si>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</si>
  <si>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</si>
  <si>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</si>
  <si>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</si>
  <si>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</si>
  <si>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</si>
  <si>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</si>
  <si>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</si>
  <si>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José de las Palmas</t>
  </si>
  <si>
    <t>San Juan Nepomuceno</t>
  </si>
  <si>
    <t>San Martín de Loba</t>
  </si>
  <si>
    <t>Santa Catalina</t>
  </si>
  <si>
    <t>Santa Rosa del Sur</t>
  </si>
  <si>
    <t>Simití</t>
  </si>
  <si>
    <t>Soplaviento</t>
  </si>
  <si>
    <t>Talaigua Nuevo</t>
  </si>
  <si>
    <t>Tiquisio</t>
  </si>
  <si>
    <t>Turbaná</t>
  </si>
  <si>
    <t>Villanueva</t>
  </si>
  <si>
    <t>Zambrano</t>
  </si>
  <si>
    <t>Almeida</t>
  </si>
  <si>
    <t>Aquitania</t>
  </si>
  <si>
    <t>Arcabuco</t>
  </si>
  <si>
    <t>Belén</t>
  </si>
  <si>
    <t>Berbeo</t>
  </si>
  <si>
    <t>Betéitiva</t>
  </si>
  <si>
    <t>Boavita</t>
  </si>
  <si>
    <t>Busbanzá</t>
  </si>
  <si>
    <t>Campohermoso</t>
  </si>
  <si>
    <t>Cerinza</t>
  </si>
  <si>
    <t>Chinavita</t>
  </si>
  <si>
    <t>Chiscas</t>
  </si>
  <si>
    <t>Chita</t>
  </si>
  <si>
    <t>Chitaraque</t>
  </si>
  <si>
    <t>Chivatá</t>
  </si>
  <si>
    <t>Chívor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</si>
  <si>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</si>
  <si>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</si>
  <si>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</si>
  <si>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</si>
  <si>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</si>
  <si>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</si>
  <si>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</si>
  <si>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</si>
  <si>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</si>
  <si>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</si>
  <si>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</si>
  <si>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</si>
  <si>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</si>
  <si>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</si>
  <si>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</si>
  <si>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</si>
  <si>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</si>
  <si>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Güicán de la Sierra</t>
  </si>
  <si>
    <t>Iza</t>
  </si>
  <si>
    <t>Jenesano</t>
  </si>
  <si>
    <t>La Capilla</t>
  </si>
  <si>
    <t>La Uvita</t>
  </si>
  <si>
    <t>Labranzagrande</t>
  </si>
  <si>
    <t>Macanal</t>
  </si>
  <si>
    <t>Maripí</t>
  </si>
  <si>
    <t>Mongua</t>
  </si>
  <si>
    <t>Monguí</t>
  </si>
  <si>
    <t>Motavita</t>
  </si>
  <si>
    <t>Muzo</t>
  </si>
  <si>
    <t>Nobsa</t>
  </si>
  <si>
    <t>Nuevo Colón</t>
  </si>
  <si>
    <t>Oicatá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</si>
  <si>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</si>
  <si>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</si>
  <si>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</si>
  <si>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</si>
  <si>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</si>
  <si>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</si>
  <si>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</si>
  <si>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</si>
  <si>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</si>
  <si>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</si>
  <si>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Quípama</t>
  </si>
  <si>
    <t>Ramiriquí</t>
  </si>
  <si>
    <t>Ráquira</t>
  </si>
  <si>
    <t>Rondón</t>
  </si>
  <si>
    <t>Sáchica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</si>
  <si>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</si>
  <si>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</si>
  <si>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</si>
  <si>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</si>
  <si>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</si>
  <si>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</si>
  <si>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Rosa de Viterbo</t>
  </si>
  <si>
    <t>Santa Sofía</t>
  </si>
  <si>
    <t>Santana</t>
  </si>
  <si>
    <t>Sativanorte</t>
  </si>
  <si>
    <t>Sativasur</t>
  </si>
  <si>
    <t>Siachoque</t>
  </si>
  <si>
    <t>Socha</t>
  </si>
  <si>
    <t>Socotá</t>
  </si>
  <si>
    <t>Somondoco</t>
  </si>
  <si>
    <t>Sora</t>
  </si>
  <si>
    <t>Sotaquirá</t>
  </si>
  <si>
    <t>Susacón</t>
  </si>
  <si>
    <t>Sutatenza</t>
  </si>
  <si>
    <t>Tasco</t>
  </si>
  <si>
    <t>Tenza</t>
  </si>
  <si>
    <t>Tibarosa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</si>
  <si>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</si>
  <si>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</si>
  <si>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</si>
  <si>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</si>
  <si>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</si>
  <si>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</si>
  <si>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</si>
  <si>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</si>
  <si>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</si>
  <si>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</si>
  <si>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</si>
  <si>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</si>
  <si>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Villa de Leyva</t>
  </si>
  <si>
    <t>Viracachá</t>
  </si>
  <si>
    <t>Zetaquira</t>
  </si>
  <si>
    <t>https://www.lasillavacia.com/en-vivo/manizales-cinco-personas-fallecidas-112-heridas-y-142-en-albergues/</t>
  </si>
  <si>
    <t>https://www.eltiempo.com/colombia/otras-ciudades/gobernacion-de-caldas-reporta-tres-muertos-y-danos-criticos-tras-terremoto-hospitales-colapsados-y-237-pacientes-seran-trasladados-3577341</t>
  </si>
  <si>
    <t>Manzanare</t>
  </si>
  <si>
    <t>DECRETO_393_URGENCIA_MANIFIESTA_DEPARTAMENTO.pdf</t>
  </si>
  <si>
    <t>Albania</t>
  </si>
  <si>
    <t>Belén de los Andaquíes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</si>
  <si>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</si>
  <si>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</si>
  <si>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</si>
  <si>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</si>
  <si>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</si>
  <si>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</si>
  <si>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</si>
  <si>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</si>
  <si>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</si>
  <si>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</si>
  <si>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</si>
  <si>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</si>
  <si>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https://www.cauca.gov.co/Prensa/SaladePrensa/Paginas/Gobernaci%C3%B3n-del-Cauca-activa-Plan-de-Evaluaci%C3%B3n-Integral-tras-sismo-de-7-4-registrado-en-el-pa%C3%ADs.aspx</t>
  </si>
  <si>
    <t>Piamonte</t>
  </si>
  <si>
    <t>Puerto</t>
  </si>
  <si>
    <t>puracé</t>
  </si>
  <si>
    <t>Tejada</t>
  </si>
  <si>
    <t>Villa Rica</t>
  </si>
  <si>
    <t>Aguachica</t>
  </si>
  <si>
    <t>Agustín Codazzi</t>
  </si>
  <si>
    <t>Astrea</t>
  </si>
  <si>
    <t>Becerril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</si>
  <si>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</si>
  <si>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</si>
  <si>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</si>
  <si>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</si>
  <si>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</si>
  <si>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</si>
  <si>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</si>
  <si>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</si>
  <si>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</si>
  <si>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 (Robles)</t>
  </si>
  <si>
    <t>Manaure Balcón del Cesar</t>
  </si>
  <si>
    <t>Pelaya</t>
  </si>
  <si>
    <t>Pueblo Bello</t>
  </si>
  <si>
    <t>Río de Oro</t>
  </si>
  <si>
    <t>San Alberto</t>
  </si>
  <si>
    <t>San Martín</t>
  </si>
  <si>
    <t>Tamalameque</t>
  </si>
  <si>
    <t>https://accioncontraelhambre.co/wp-content/uploads/2026/08/SITREP-2.-10-AGOSTO-CHOCO.pdf</t>
  </si>
  <si>
    <t>Belén de Bajirá</t>
  </si>
  <si>
    <t>Carmen del Darién</t>
  </si>
  <si>
    <t>Juradó</t>
  </si>
  <si>
    <t>Río Iro</t>
  </si>
  <si>
    <t>Unión panamericana</t>
  </si>
  <si>
    <t>SITREP-2.-10-AGOSTO-CHOCO.pdf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</si>
  <si>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</si>
  <si>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</si>
  <si>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</si>
  <si>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</si>
  <si>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</si>
  <si>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</si>
  <si>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</si>
  <si>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</si>
  <si>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 (Santa Cruz de Lorica)</t>
  </si>
  <si>
    <t>Momil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</si>
  <si>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</si>
  <si>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</si>
  <si>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</si>
  <si>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</si>
  <si>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</si>
  <si>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</si>
  <si>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</si>
  <si>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</si>
  <si>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</si>
  <si>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</si>
  <si>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</si>
  <si>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Tierralta</t>
  </si>
  <si>
    <t>Tuchín</t>
  </si>
  <si>
    <t>Valencia</t>
  </si>
  <si>
    <t>Agua de Dios</t>
  </si>
  <si>
    <t>Sismo en Colombia este 10 de agosto: en Cundinamarca se reportan daños estructurales | EL ESPECTADOR</t>
  </si>
  <si>
    <t>Seguimos verificando afectaciones en todo Cundinamarca y en coordinación permanente con los municipios, afirmó el gobernador Jorge Rey tras sismo de magnitud 7,4</t>
  </si>
  <si>
    <t>Sismo del 10 de agosto causó afectaciones en 89 viviendas y 80 instituciones educativas de Cundinamarca</t>
  </si>
  <si>
    <t>Arbeláez</t>
  </si>
  <si>
    <t>Beltrán</t>
  </si>
  <si>
    <t>Cachipay</t>
  </si>
  <si>
    <t>Caparrapí</t>
  </si>
  <si>
    <t>Carmen de Carupa</t>
  </si>
  <si>
    <t>Chaguaní</t>
  </si>
  <si>
    <t>Chipaque</t>
  </si>
  <si>
    <t>Chocontá</t>
  </si>
  <si>
    <t>El Colegio</t>
  </si>
  <si>
    <t>El Rosal</t>
  </si>
  <si>
    <t>Facatativá</t>
  </si>
  <si>
    <t>Fómeque</t>
  </si>
  <si>
    <t>Fosca</t>
  </si>
  <si>
    <t>Gachalá</t>
  </si>
  <si>
    <t>Gachancipá</t>
  </si>
  <si>
    <t>Gama</t>
  </si>
  <si>
    <t>Guasca</t>
  </si>
  <si>
    <t>Guayabetal</t>
  </si>
  <si>
    <t>Gutiérrez</t>
  </si>
  <si>
    <t>Jerusalén</t>
  </si>
  <si>
    <t>Junín</t>
  </si>
  <si>
    <t>Lenguazaque</t>
  </si>
  <si>
    <t>Machetá</t>
  </si>
  <si>
    <t>Manta</t>
  </si>
  <si>
    <t>Nemocón</t>
  </si>
  <si>
    <t>Paime</t>
  </si>
  <si>
    <t>Pandi</t>
  </si>
  <si>
    <t>Quebradanegra</t>
  </si>
  <si>
    <t>Quetame</t>
  </si>
  <si>
    <t>Quipile</t>
  </si>
  <si>
    <t>San Cayetano</t>
  </si>
  <si>
    <t>https://www.infobae.com/colombia/2026/08/10/fuerte-temblor-de-magnitud-74-tambien-se-sintio-en-cundinamarca-suspendieron-clases-tras-reportar-danos-en-varios-municipios</t>
  </si>
  <si>
    <t>Sesquilé</t>
  </si>
  <si>
    <t>Sibaté</t>
  </si>
  <si>
    <t>Silvania</t>
  </si>
  <si>
    <t>Simijaca</t>
  </si>
  <si>
    <t>https://www.elespectador.com/colombia/cundinamarca/sismo-en-colombia-este-10-de-agosto-en-cundinamarca-se-reportan-danos-estructurales</t>
  </si>
  <si>
    <t>Supatá</t>
  </si>
  <si>
    <t>Susa</t>
  </si>
  <si>
    <t>Sutatausa</t>
  </si>
  <si>
    <t>Tibirita</t>
  </si>
  <si>
    <t>Tocancipá</t>
  </si>
  <si>
    <t>Topaipí</t>
  </si>
  <si>
    <t>https://eldoradoradio.cundinamarca.gov.co/noticias/sismo-deja-afectaciones-preliminares-en-14-municipios-de-cundinamarca</t>
  </si>
  <si>
    <t>Ubaté</t>
  </si>
  <si>
    <t>Une</t>
  </si>
  <si>
    <t>Útica</t>
  </si>
  <si>
    <t>Vianí</t>
  </si>
  <si>
    <t>Villagómez</t>
  </si>
  <si>
    <t>Villapinzón</t>
  </si>
  <si>
    <t>Viotá</t>
  </si>
  <si>
    <t>Guainía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</si>
  <si>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</si>
  <si>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</si>
  <si>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</si>
  <si>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</si>
  <si>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</si>
  <si>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</si>
  <si>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</si>
  <si>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Algeciras</t>
  </si>
  <si>
    <t>Altamira</t>
  </si>
  <si>
    <t>Isnos</t>
  </si>
  <si>
    <t>Oporapa</t>
  </si>
  <si>
    <t>Pital</t>
  </si>
  <si>
    <t>Rtesalia</t>
  </si>
  <si>
    <t>San Agustín</t>
  </si>
  <si>
    <t>Distracción</t>
  </si>
  <si>
    <t>El Molino</t>
  </si>
  <si>
    <t>Hatonuevo</t>
  </si>
  <si>
    <t>La Jagua del Pilar</t>
  </si>
  <si>
    <t>San Juan del Cesar</t>
  </si>
  <si>
    <t>Urumita</t>
  </si>
  <si>
    <t>Algarrobo</t>
  </si>
  <si>
    <t>Aracataca</t>
  </si>
  <si>
    <t>Ariguaní (El Difícil)</t>
  </si>
  <si>
    <t>Cerro de San Antonio</t>
  </si>
  <si>
    <t>Chibolo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</si>
  <si>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</si>
  <si>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</si>
  <si>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</si>
  <si>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</si>
  <si>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</si>
  <si>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</si>
  <si>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</si>
  <si>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</si>
  <si>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Fallecidos suman 288 en zonas afectadas por el terremoto 7,4 | HOY DIARIO DEL MAGDALENA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</si>
  <si>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</si>
  <si>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</si>
  <si>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</si>
  <si>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</si>
  <si>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</si>
  <si>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</si>
  <si>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</si>
  <si>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</si>
  <si>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</si>
  <si>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</si>
  <si>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</si>
  <si>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</si>
  <si>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</si>
  <si>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</si>
  <si>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Barranca de Upía</t>
  </si>
  <si>
    <t>Cabuyaro</t>
  </si>
  <si>
    <t>Cubarral</t>
  </si>
  <si>
    <t>Cumaral</t>
  </si>
  <si>
    <t>Cumaral / Restrepo (Área)</t>
  </si>
  <si>
    <t>El Calvario</t>
  </si>
  <si>
    <t>El Castillo</t>
  </si>
  <si>
    <t>El Dorado</t>
  </si>
  <si>
    <t>Lejanías</t>
  </si>
  <si>
    <t>Mesetas</t>
  </si>
  <si>
    <t>San Carlos de Guaroa</t>
  </si>
  <si>
    <t>San Juan de Arama</t>
  </si>
  <si>
    <t>San Juanito</t>
  </si>
  <si>
    <t>San Martín de los Llanos</t>
  </si>
  <si>
    <t>Uribe (La Uribe)</t>
  </si>
  <si>
    <t>Albán (San José)</t>
  </si>
  <si>
    <t>Nariño reporta afectaciones preliminares en varios municipios tras sismo - Gobernación de Nariño</t>
  </si>
  <si>
    <t>Aldana</t>
  </si>
  <si>
    <t>Ancuya</t>
  </si>
  <si>
    <t>Arboleda (Berruecos)</t>
  </si>
  <si>
    <t>Colón (Génova)</t>
  </si>
  <si>
    <t>Contadero</t>
  </si>
  <si>
    <t>Cuaspud (Carlosama)</t>
  </si>
  <si>
    <t>El Rosario</t>
  </si>
  <si>
    <t>El Tablón de Gómez</t>
  </si>
  <si>
    <t>Francisco Pizarro (Salahonda)</t>
  </si>
  <si>
    <t>Guachucal</t>
  </si>
  <si>
    <t>Guaitarilla</t>
  </si>
  <si>
    <t>Gualmatán</t>
  </si>
  <si>
    <t>Iles</t>
  </si>
  <si>
    <t>La Tola</t>
  </si>
  <si>
    <t>Los Andes (Sotomayor)</t>
  </si>
  <si>
    <t>Magüí (Payán)</t>
  </si>
  <si>
    <t>Mallama (Piedrancha)</t>
  </si>
  <si>
    <t>Olaya Herrera (Bocas de Sativa)</t>
  </si>
  <si>
    <t>Ospina</t>
  </si>
  <si>
    <t>Puerres</t>
  </si>
  <si>
    <t>Pupiales</t>
  </si>
  <si>
    <t>Roberto Payán (San José)</t>
  </si>
  <si>
    <t>San Andrés de Tumaco</t>
  </si>
  <si>
    <t>San Pedro de Cartago</t>
  </si>
  <si>
    <t>Santa Bárbara (Iscuandé)</t>
  </si>
  <si>
    <t>Santacruz (Guachavés)</t>
  </si>
  <si>
    <t>Sapuyes</t>
  </si>
  <si>
    <t>Tangua</t>
  </si>
  <si>
    <t>Yacuanquer</t>
  </si>
  <si>
    <t>Ábrego</t>
  </si>
  <si>
    <t>Arboledas</t>
  </si>
  <si>
    <t>Bucarasica</t>
  </si>
  <si>
    <t>Cáchira</t>
  </si>
  <si>
    <t>Cácota</t>
  </si>
  <si>
    <t>Chitagá</t>
  </si>
  <si>
    <t>Convención</t>
  </si>
  <si>
    <t>Cucutilla</t>
  </si>
  <si>
    <t>Durania</t>
  </si>
  <si>
    <t>Gramalote</t>
  </si>
  <si>
    <t>Herrán</t>
  </si>
  <si>
    <t>La Playa de Belén</t>
  </si>
  <si>
    <t>Labateca</t>
  </si>
  <si>
    <t>Ocaña</t>
  </si>
  <si>
    <t>Pamplonita</t>
  </si>
  <si>
    <t>Ragonvalia</t>
  </si>
  <si>
    <t>Salazar de Las Palmas</t>
  </si>
  <si>
    <t>San Calixto</t>
  </si>
  <si>
    <t>Santiago</t>
  </si>
  <si>
    <t>Villa Caro</t>
  </si>
  <si>
    <t>Villa del Rosario</t>
  </si>
  <si>
    <t>Colon</t>
  </si>
  <si>
    <t>Orito</t>
  </si>
  <si>
    <t>Puerto Asís</t>
  </si>
  <si>
    <t>Puerto Caicedo</t>
  </si>
  <si>
    <t>Puerto Guzmán</t>
  </si>
  <si>
    <t>Puerto Leguízamo</t>
  </si>
  <si>
    <t>San Miguel (La Dorada)</t>
  </si>
  <si>
    <t>Sibundoy</t>
  </si>
  <si>
    <t>Valle del Guamuez (La Hormiga)</t>
  </si>
  <si>
    <t>Villagarzón</t>
  </si>
  <si>
    <t>Nuevas cifras en el Quindío dejan 34.030 damnificados y 10.861 viviendas afectadas</t>
  </si>
  <si>
    <t>Quindío reporta más de 10.000 viviendas afectadas y 330 heridos por terremoto - Infobae</t>
  </si>
  <si>
    <t>Escalofriante radiografía de la tragedia por el terremoto: Valle, Risaralda y Chocó, los más afectados. Hay 289 muertos - Semana</t>
  </si>
  <si>
    <t>Risaralda sigue contando sus pérdidas: 107 muertos y 270 desaparecidos - Noticias 360 Digital</t>
  </si>
  <si>
    <t>132 muertos y más de 570 heridos deja el terremoto en el centro y occidente de Colombia - EL NACIONAL</t>
  </si>
  <si>
    <t>San Andrés, Providencia y Santa Catalina</t>
  </si>
  <si>
    <t>Aguada</t>
  </si>
  <si>
    <t>Aratoca</t>
  </si>
  <si>
    <t>Barichara</t>
  </si>
  <si>
    <t>California</t>
  </si>
  <si>
    <t>Capitanejo</t>
  </si>
  <si>
    <t>Carcasí</t>
  </si>
  <si>
    <t>Cepitá</t>
  </si>
  <si>
    <t>Cerrito</t>
  </si>
  <si>
    <t>Charta</t>
  </si>
  <si>
    <t>Chima</t>
  </si>
  <si>
    <t>Chipatá</t>
  </si>
  <si>
    <t>Contratación</t>
  </si>
  <si>
    <t>Curití</t>
  </si>
  <si>
    <t>El Carmen de Chucurí</t>
  </si>
  <si>
    <t>Encino</t>
  </si>
  <si>
    <t>Enciso</t>
  </si>
  <si>
    <t>Florian</t>
  </si>
  <si>
    <t>Galán</t>
  </si>
  <si>
    <t>Gámbita</t>
  </si>
  <si>
    <t>Guaca</t>
  </si>
  <si>
    <t>Guavatá</t>
  </si>
  <si>
    <t>Güepsa</t>
  </si>
  <si>
    <t>Hato</t>
  </si>
  <si>
    <t>Jesús María</t>
  </si>
  <si>
    <t>Jordán</t>
  </si>
  <si>
    <t>La Belleza</t>
  </si>
  <si>
    <t>La Paz</t>
  </si>
  <si>
    <t>Landázuri</t>
  </si>
  <si>
    <t>Lebrija</t>
  </si>
  <si>
    <t>Macaravita</t>
  </si>
  <si>
    <t>Málaga</t>
  </si>
  <si>
    <t>Matanza</t>
  </si>
  <si>
    <t>Molagavita</t>
  </si>
  <si>
    <t>Ocamonte</t>
  </si>
  <si>
    <t>Oiba</t>
  </si>
  <si>
    <t>Onzaga</t>
  </si>
  <si>
    <t>Palmar</t>
  </si>
  <si>
    <t>Palmas del Socorro</t>
  </si>
  <si>
    <t>Puente Nacional</t>
  </si>
  <si>
    <t>Puerto Parra</t>
  </si>
  <si>
    <t>Puerto Wilches</t>
  </si>
  <si>
    <t>San Benito</t>
  </si>
  <si>
    <t>San Joaquín</t>
  </si>
  <si>
    <t>San José de Miranda</t>
  </si>
  <si>
    <t>San Miguel</t>
  </si>
  <si>
    <t>San Vicente de Chucurí</t>
  </si>
  <si>
    <t>Simacota</t>
  </si>
  <si>
    <t>Suratá</t>
  </si>
  <si>
    <t>Tona</t>
  </si>
  <si>
    <t>Vélez</t>
  </si>
  <si>
    <t>Vetas</t>
  </si>
  <si>
    <t>Zapatoca</t>
  </si>
  <si>
    <t>Caimito</t>
  </si>
  <si>
    <t>Chalán</t>
  </si>
  <si>
    <t>Colosó</t>
  </si>
  <si>
    <t>Corozal</t>
  </si>
  <si>
    <t>El Roble</t>
  </si>
  <si>
    <t>Galeras</t>
  </si>
  <si>
    <t>Guaranda</t>
  </si>
  <si>
    <t>Los Palmitos</t>
  </si>
  <si>
    <t>Majagual</t>
  </si>
  <si>
    <t>Morroa</t>
  </si>
  <si>
    <t>Ovejas</t>
  </si>
  <si>
    <t>Sampués</t>
  </si>
  <si>
    <t>San Antonio de Palmito</t>
  </si>
  <si>
    <t>San Benito Abad</t>
  </si>
  <si>
    <t>San Juan de Betulia</t>
  </si>
  <si>
    <t>San Luis de Sincé</t>
  </si>
  <si>
    <t>San Marcos</t>
  </si>
  <si>
    <t>San Onofre</t>
  </si>
  <si>
    <t>Santiago de Tolú</t>
  </si>
  <si>
    <t>Tolú Viejo</t>
  </si>
  <si>
    <t>Carmen de Apicalá</t>
  </si>
  <si>
    <t>https://elcronista.co/destacadas/terremoto-7-4-deja-afectaciones-en-al-menos-27-municipios-del-tolima</t>
  </si>
  <si>
    <t>Valle de San Juan</t>
  </si>
  <si>
    <t>Valle del cauca</t>
  </si>
  <si>
    <t>https://www.infobae.com/colombia/2026/08/12/16-muertos-desconexion-vial-y-afectaciones-en-el-puerto-critica-situacion-en-buenaventura/</t>
  </si>
  <si>
    <t>https://keyt.com/latino/cnn-spanish/2026/08/13/estas-dos-ciudades-de-colombia-sufrieron-un-fuerte-impacto-del-sismo-pero-esa-no-es-la-unica-tragedia-que-enfrentan/</t>
  </si>
  <si>
    <t>Este es el listado oficial de los 306 fallecidos que hasta el día de hoy se conocen luego del terremoto</t>
  </si>
  <si>
    <t>https://www.entrenos.com.co/2026/08/10/valle-del-cauca-reporta-27-fallecidos-y-graves-danos-tras-el-sismo/</t>
  </si>
  <si>
    <t>https://occidente.co/regionales/valle-del-cauca/sismo-en-el-valle-del-cauca-victimas-municipios-afectados-balance/</t>
  </si>
  <si>
    <t>https://www.elespectador.com/colombia/mas-regiones/temblor-en-colombia-hoy-10-de-agosto-en-vivo-epicentro-y-reporte-de-afectaciones/</t>
  </si>
  <si>
    <t>https://palmira.gov.co/avances-del-pmu-permanente-de-palmira-tras-el-sismo-del-10-de-agosto/</t>
  </si>
  <si>
    <t>https://infobae-infobae-prod.web.arc-cdn.net/colombia/2026/08/11/concejal-del-valle-del-cauca-murio-durante-el-sismo-de-74-grados-le-cayo-encima-una-columna-mientras-hacia-ejercicio/</t>
  </si>
  <si>
    <t>https://elpais.com/america-colombia/2026-08-18/roldanillo-el-pueblo-magico-devastado-por-el-terremoto-este-lugar-es-ahora-un-caos.html</t>
  </si>
  <si>
    <t>Santiago de Cali</t>
  </si>
  <si>
    <t>Sismo en Valle del Cauca: balance de fallecidos, heridos y daños en Cali y municipios (2026)</t>
  </si>
  <si>
    <t>Vaupés</t>
  </si>
  <si>
    <t>Mitú</t>
  </si>
  <si>
    <t>Caruru</t>
  </si>
  <si>
    <t>Taraira</t>
  </si>
  <si>
    <t>Pacoa</t>
  </si>
  <si>
    <t>Papunaua</t>
  </si>
  <si>
    <t>Yavarate</t>
  </si>
  <si>
    <t>La Primavera</t>
  </si>
  <si>
    <t>Santa Rosalía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</si>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</sst>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6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FFFFFF"/>
      <name val="Calibri"/>
      <family val="2"/>
      <charset val="1"/>
    </font>
    <font>
      <sz val="10"/>
      <name val="Arial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sz val="10"/>
      <name val="Arial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name val="Arial"/>
      <family val="2"/>
      <charset val="1"/>
    </font>
    <font>
      <sz val="11"/>
      <color rgb="FF000000"/>
      <name val="Calibri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Trebuchet MS"/>
      <family val="2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sz val="10"/>
      <color theme="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1A365D"/>
      </patternFill>
    </fill>
    <fill>
      <patternFill patternType="solid">
        <fgColor rgb="FF5B9BD5"/>
        <bgColor rgb="FF95B3D7"/>
      </patternFill>
    </fill>
    <fill>
      <patternFill patternType="solid">
        <fgColor rgb="FFD9EAF7"/>
        <bgColor rgb="FFDBEEF4"/>
      </patternFill>
    </fill>
    <fill>
      <patternFill patternType="solid">
        <fgColor rgb="FFEAF3F8"/>
        <bgColor rgb="FFF7F9FC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D5D8DC"/>
      </patternFill>
    </fill>
    <fill>
      <patternFill patternType="solid">
        <fgColor rgb="FFE36C09"/>
        <bgColor rgb="FFFF9900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FFF2CC"/>
        <bgColor rgb="FFF9FAFB"/>
      </patternFill>
    </fill>
    <fill>
      <patternFill patternType="solid">
        <fgColor rgb="FFFFE699"/>
        <bgColor rgb="FFFFF2CC"/>
      </patternFill>
    </fill>
    <fill>
      <patternFill patternType="solid">
        <fgColor rgb="FF0070C0"/>
        <bgColor rgb="FF008080"/>
      </patternFill>
    </fill>
    <fill>
      <patternFill patternType="solid">
        <fgColor theme="4" tint="0.79979857783745845"/>
        <bgColor rgb="FFD9EAF7"/>
      </patternFill>
    </fill>
    <fill>
      <patternFill patternType="solid">
        <fgColor rgb="FF2E066B"/>
        <bgColor rgb="FF000080"/>
      </patternFill>
    </fill>
    <fill>
      <patternFill patternType="solid">
        <fgColor rgb="FFF9FAFB"/>
        <bgColor rgb="FFF7F9FC"/>
      </patternFill>
    </fill>
    <fill>
      <patternFill patternType="solid">
        <fgColor rgb="FF1A365D"/>
        <bgColor rgb="FF333333"/>
      </patternFill>
    </fill>
    <fill>
      <patternFill patternType="solid">
        <fgColor rgb="FFF7F9FC"/>
        <bgColor rgb="FFF9FAFB"/>
      </patternFill>
    </fill>
    <fill>
      <patternFill patternType="solid">
        <fgColor theme="8" tint="0.79979857783745845"/>
        <bgColor rgb="FFD9EAF7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7924741355632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0" borderId="0" xfId="0" applyFont="1"/>
    <xf numFmtId="0" fontId="3" fillId="0" borderId="0" xfId="0" applyFont="1" applyAlignment="1">
      <alignment wrapText="1"/>
    </xf>
    <xf numFmtId="0" fontId="8" fillId="4" borderId="0" xfId="0" applyFont="1" applyFill="1" applyAlignment="1">
      <alignment wrapText="1"/>
    </xf>
    <xf numFmtId="0" fontId="3" fillId="5" borderId="0" xfId="0" applyFont="1" applyFill="1"/>
    <xf numFmtId="0" fontId="7" fillId="0" borderId="1" xfId="0" applyFont="1" applyBorder="1"/>
    <xf numFmtId="3" fontId="3" fillId="0" borderId="0" xfId="0" applyNumberFormat="1" applyFont="1" applyAlignment="1">
      <alignment wrapText="1"/>
    </xf>
    <xf numFmtId="3" fontId="3" fillId="5" borderId="0" xfId="0" applyNumberFormat="1" applyFont="1" applyFill="1"/>
    <xf numFmtId="0" fontId="8" fillId="4" borderId="0" xfId="0" applyFont="1" applyFill="1"/>
    <xf numFmtId="3" fontId="8" fillId="4" borderId="0" xfId="0" applyNumberFormat="1" applyFont="1" applyFill="1"/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5" fillId="6" borderId="1" xfId="0" applyFont="1" applyFill="1" applyBorder="1"/>
    <xf numFmtId="1" fontId="16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7" borderId="1" xfId="0" applyFont="1" applyFill="1" applyBorder="1"/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18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19" fillId="8" borderId="1" xfId="0" applyFont="1" applyFill="1" applyBorder="1"/>
    <xf numFmtId="0" fontId="19" fillId="9" borderId="1" xfId="0" applyFont="1" applyFill="1" applyBorder="1"/>
    <xf numFmtId="0" fontId="7" fillId="10" borderId="1" xfId="0" applyFont="1" applyFill="1" applyBorder="1" applyAlignment="1">
      <alignment horizontal="right"/>
    </xf>
    <xf numFmtId="0" fontId="15" fillId="11" borderId="1" xfId="0" applyFont="1" applyFill="1" applyBorder="1"/>
    <xf numFmtId="0" fontId="14" fillId="0" borderId="1" xfId="0" applyFont="1" applyBorder="1"/>
    <xf numFmtId="0" fontId="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5" fillId="12" borderId="1" xfId="0" applyFont="1" applyFill="1" applyBorder="1"/>
    <xf numFmtId="0" fontId="0" fillId="10" borderId="1" xfId="0" applyFill="1" applyBorder="1"/>
    <xf numFmtId="0" fontId="14" fillId="0" borderId="4" xfId="0" applyFont="1" applyBorder="1" applyAlignment="1">
      <alignment horizontal="center"/>
    </xf>
    <xf numFmtId="0" fontId="15" fillId="7" borderId="0" xfId="0" applyFont="1" applyFill="1"/>
    <xf numFmtId="1" fontId="16" fillId="0" borderId="0" xfId="0" applyNumberFormat="1" applyFont="1" applyAlignment="1">
      <alignment horizontal="center"/>
    </xf>
    <xf numFmtId="0" fontId="7" fillId="0" borderId="0" xfId="0" applyFont="1" applyAlignment="1">
      <alignment vertical="top" wrapText="1"/>
    </xf>
    <xf numFmtId="0" fontId="20" fillId="0" borderId="1" xfId="0" applyFont="1" applyBorder="1"/>
    <xf numFmtId="0" fontId="0" fillId="0" borderId="1" xfId="0" applyBorder="1"/>
    <xf numFmtId="164" fontId="16" fillId="0" borderId="1" xfId="0" applyNumberFormat="1" applyFont="1" applyBorder="1" applyAlignment="1">
      <alignment horizontal="center"/>
    </xf>
    <xf numFmtId="0" fontId="15" fillId="6" borderId="1" xfId="0" applyFont="1" applyFill="1" applyBorder="1" applyAlignment="1">
      <alignment wrapText="1"/>
    </xf>
    <xf numFmtId="0" fontId="15" fillId="7" borderId="1" xfId="0" applyFont="1" applyFill="1" applyBorder="1" applyAlignment="1">
      <alignment wrapText="1"/>
    </xf>
    <xf numFmtId="0" fontId="19" fillId="9" borderId="1" xfId="0" applyFont="1" applyFill="1" applyBorder="1" applyAlignment="1">
      <alignment wrapText="1"/>
    </xf>
    <xf numFmtId="0" fontId="19" fillId="8" borderId="1" xfId="0" applyFont="1" applyFill="1" applyBorder="1" applyAlignment="1">
      <alignment wrapText="1"/>
    </xf>
    <xf numFmtId="0" fontId="15" fillId="11" borderId="1" xfId="0" applyFont="1" applyFill="1" applyBorder="1" applyAlignment="1">
      <alignment wrapText="1"/>
    </xf>
    <xf numFmtId="0" fontId="15" fillId="12" borderId="1" xfId="0" applyFont="1" applyFill="1" applyBorder="1" applyAlignment="1">
      <alignment wrapText="1"/>
    </xf>
    <xf numFmtId="164" fontId="16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9" fillId="0" borderId="1" xfId="0" applyFont="1" applyBorder="1"/>
    <xf numFmtId="0" fontId="15" fillId="0" borderId="1" xfId="0" applyFont="1" applyBorder="1"/>
    <xf numFmtId="0" fontId="15" fillId="0" borderId="0" xfId="0" applyFont="1"/>
    <xf numFmtId="0" fontId="21" fillId="13" borderId="3" xfId="0" applyFont="1" applyFill="1" applyBorder="1" applyAlignment="1">
      <alignment horizontal="center"/>
    </xf>
    <xf numFmtId="0" fontId="21" fillId="13" borderId="3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2" fillId="14" borderId="3" xfId="0" applyFont="1" applyFill="1" applyBorder="1" applyAlignment="1">
      <alignment horizontal="left" vertical="center" indent="1"/>
    </xf>
    <xf numFmtId="0" fontId="0" fillId="14" borderId="6" xfId="0" applyFill="1" applyBorder="1" applyAlignment="1">
      <alignment horizontal="left" vertical="center" indent="1"/>
    </xf>
    <xf numFmtId="0" fontId="0" fillId="14" borderId="3" xfId="0" applyFill="1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indent="1"/>
    </xf>
    <xf numFmtId="0" fontId="0" fillId="0" borderId="3" xfId="0" applyBorder="1" applyAlignment="1">
      <alignment horizontal="left" vertical="center" wrapText="1" indent="1"/>
    </xf>
    <xf numFmtId="0" fontId="23" fillId="15" borderId="7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left"/>
    </xf>
    <xf numFmtId="0" fontId="24" fillId="16" borderId="8" xfId="0" applyFont="1" applyFill="1" applyBorder="1" applyAlignment="1">
      <alignment horizontal="left"/>
    </xf>
    <xf numFmtId="0" fontId="25" fillId="17" borderId="9" xfId="0" applyFont="1" applyFill="1" applyBorder="1" applyAlignment="1">
      <alignment horizontal="center" vertical="center" wrapText="1"/>
    </xf>
    <xf numFmtId="0" fontId="25" fillId="17" borderId="10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19" borderId="0" xfId="0" applyFill="1" applyAlignment="1">
      <alignment vertical="center"/>
    </xf>
    <xf numFmtId="0" fontId="0" fillId="19" borderId="0" xfId="0" applyFill="1" applyAlignment="1">
      <alignment horizontal="center" vertical="center"/>
    </xf>
    <xf numFmtId="0" fontId="7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C00000"/>
      <rgbColor rgb="FF008000"/>
      <rgbColor rgb="FF2E066B"/>
      <rgbColor rgb="FF808000"/>
      <rgbColor rgb="FF800080"/>
      <rgbColor rgb="FF008080"/>
      <rgbColor rgb="FFD9D9D9"/>
      <rgbColor rgb="FF808080"/>
      <rgbColor rgb="FF5B9BD5"/>
      <rgbColor rgb="FF993366"/>
      <rgbColor rgb="FFFFF2CC"/>
      <rgbColor rgb="FFDBEEF4"/>
      <rgbColor rgb="FF660066"/>
      <rgbColor rgb="FFFF8080"/>
      <rgbColor rgb="FF0070C0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3F8"/>
      <rgbColor rgb="FFFFE699"/>
      <rgbColor rgb="FF95B3D7"/>
      <rgbColor rgb="FFF7F9FC"/>
      <rgbColor rgb="FFDCE6F2"/>
      <rgbColor rgb="FFE0E0E0"/>
      <rgbColor rgb="FF3366FF"/>
      <rgbColor rgb="FF33CCCC"/>
      <rgbColor rgb="FF99CC00"/>
      <rgbColor rgb="FFFFC000"/>
      <rgbColor rgb="FFFF9900"/>
      <rgbColor rgb="FFE36C09"/>
      <rgbColor rgb="FF666699"/>
      <rgbColor rgb="FF969696"/>
      <rgbColor rgb="FF1A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43" displayName="Tabla43" ref="A1:AK433" totalsRowShown="0">
  <autoFilter ref="A1:AK433" xr:uid="{00000000-0009-0000-0100-000002000000}"/>
  <tableColumns count="37">
    <tableColumn id="1" xr3:uid="{00000000-0010-0000-0100-000001000000}" name="Código DIVIPOLA"/>
    <tableColumn id="2" xr3:uid="{00000000-0010-0000-0100-000002000000}" name="Departamento"/>
    <tableColumn id="3" xr3:uid="{00000000-0010-0000-0100-000003000000}" name="Clasificación"/>
    <tableColumn id="4" xr3:uid="{00000000-0010-0000-0100-000004000000}" name="Priorizacion "/>
    <tableColumn id="5" xr3:uid="{00000000-0010-0000-0100-000005000000}" name="Municipio"/>
    <tableColumn id="6" xr3:uid="{00000000-0010-0000-0100-000006000000}" name="Colegios CPE"/>
    <tableColumn id="7" xr3:uid="{00000000-0010-0000-0100-000007000000}" name="CPE"/>
    <tableColumn id="8" xr3:uid="{00000000-0010-0000-0100-000008000000}" name="Olimpiadas Nacional"/>
    <tableColumn id="9" xr3:uid="{00000000-0010-0000-0100-000009000000}" name="Colegios Olimpiadas"/>
    <tableColumn id="10" xr3:uid="{00000000-0010-0000-0100-00000A000000}" name="Minculturas"/>
    <tableColumn id="11" xr3:uid="{00000000-0010-0000-0100-00000B000000}" name="Asociacion turistica"/>
    <tableColumn id="12" xr3:uid="{00000000-0010-0000-0100-00000C000000}" name="Puntos"/>
    <tableColumn id="13" xr3:uid="{00000000-0010-0000-0100-00000D000000}" name="Edificación colapsada"/>
    <tableColumn id="14" xr3:uid="{00000000-0010-0000-0100-00000E000000}" name="Edificación con daño"/>
    <tableColumn id="15" xr3:uid="{00000000-0010-0000-0100-00000F000000}" name="Vivienda afectada"/>
    <tableColumn id="16" xr3:uid="{00000000-0010-0000-0100-000010000000}" name="Hospital o centro de salud"/>
    <tableColumn id="17" xr3:uid="{00000000-0010-0000-0100-000011000000}" name="Escuela o colegio"/>
    <tableColumn id="18" xr3:uid="{00000000-0010-0000-0100-000012000000}" name="Patrimonio o templo"/>
    <tableColumn id="19" xr3:uid="{00000000-0010-0000-0100-000013000000}" name="Servicio público"/>
    <tableColumn id="20" xr3:uid="{00000000-0010-0000-0100-000014000000}" name="Vía afectada"/>
    <tableColumn id="21" xr3:uid="{00000000-0010-0000-0100-000015000000}" name="Deslizamiento"/>
    <tableColumn id="22" xr3:uid="{00000000-0010-0000-0100-000016000000}" name="Albergue o punto de atención"/>
    <tableColumn id="23" xr3:uid="{00000000-0010-0000-0100-000017000000}" name="Punto de ayuda o acopio"/>
    <tableColumn id="24" xr3:uid="{00000000-0010-0000-0100-000018000000}" name="Novedad o noticia"/>
    <tableColumn id="25" xr3:uid="{00000000-0010-0000-0100-000019000000}" name="Toque de queda o restricción"/>
    <tableColumn id="26" xr3:uid="{00000000-0010-0000-0100-00001A000000}" name="Otro"/>
    <tableColumn id="27" xr3:uid="{00000000-0010-0000-0100-00001B000000}" name="Puente"/>
    <tableColumn id="28" xr3:uid="{00000000-0010-0000-0100-00001C000000}" name="Incendio"/>
    <tableColumn id="29" xr3:uid="{00000000-0010-0000-0100-00001D000000}" name="Saqueo"/>
    <tableColumn id="30" xr3:uid="{00000000-0010-0000-0100-00001E000000}" name="Robo"/>
    <tableColumn id="31" xr3:uid="{00000000-0010-0000-0100-00001F000000}" name="PRUEBA"/>
    <tableColumn id="32" xr3:uid="{00000000-0010-0000-0100-000020000000}" name="Afectados Familia"/>
    <tableColumn id="33" xr3:uid="{00000000-0010-0000-0100-000021000000}" name="Afectados Personas"/>
    <tableColumn id="34" xr3:uid="{00000000-0010-0000-0100-000022000000}" name="Indice de Pobreza - 2018"/>
    <tableColumn id="35" xr3:uid="{00000000-0010-0000-0100-000023000000}" name="ayudas"/>
    <tableColumn id="36" xr3:uid="{00000000-0010-0000-0100-000024000000}" name="tipo de ayuda"/>
    <tableColumn id="37" xr3:uid="{00000000-0010-0000-0100-000025000000}" name="Descripción / Tipo de afectació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Noticias" displayName="Noticias" ref="A1:I1126" totalsRowShown="0">
  <autoFilter ref="A1:I1126" xr:uid="{00000000-0009-0000-0100-000001000000}"/>
  <tableColumns count="9">
    <tableColumn id="1" xr3:uid="{00000000-0010-0000-0200-000001000000}" name="Departamento"/>
    <tableColumn id="2" xr3:uid="{00000000-0010-0000-0200-000002000000}" name="Municipio"/>
    <tableColumn id="3" xr3:uid="{00000000-0010-0000-0200-000003000000}" name="Fallecidos "/>
    <tableColumn id="4" xr3:uid="{00000000-0010-0000-0200-000004000000}" name="Heridos"/>
    <tableColumn id="5" xr3:uid="{00000000-0010-0000-0200-000005000000}" name="Noticia 1"/>
    <tableColumn id="6" xr3:uid="{00000000-0010-0000-0200-000006000000}" name="Noticia 2"/>
    <tableColumn id="7" xr3:uid="{00000000-0010-0000-0200-000007000000}" name="Total"/>
    <tableColumn id="8" xr3:uid="{00000000-0010-0000-0200-000008000000}" name="T_Fallecidos"/>
    <tableColumn id="9" xr3:uid="{00000000-0010-0000-0200-000009000000}" name="T_Herid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topLeftCell="A5" zoomScaleNormal="100" workbookViewId="0">
      <selection activeCell="D4" sqref="D4"/>
    </sheetView>
  </sheetViews>
  <sheetFormatPr baseColWidth="10" defaultColWidth="8.7109375" defaultRowHeight="15" x14ac:dyDescent="0.25"/>
  <cols>
    <col min="2" max="2" width="22.85546875" customWidth="1"/>
    <col min="3" max="3" width="24.7109375" customWidth="1"/>
    <col min="4" max="4" width="20" customWidth="1"/>
    <col min="5" max="5" width="27.85546875" customWidth="1"/>
    <col min="7" max="7" width="16.140625" customWidth="1"/>
    <col min="8" max="8" width="19" customWidth="1"/>
    <col min="10" max="10" width="17.42578125" customWidth="1"/>
  </cols>
  <sheetData>
    <row r="1" spans="2:12" ht="21" customHeight="1" x14ac:dyDescent="0.35">
      <c r="B1" s="1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3"/>
      <c r="J1" s="4" t="s">
        <v>2</v>
      </c>
      <c r="K1" s="4" t="s">
        <v>1</v>
      </c>
      <c r="L1" s="3"/>
    </row>
    <row r="2" spans="2:12" ht="1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21.75" customHeight="1" x14ac:dyDescent="0.25">
      <c r="B3" s="5" t="s">
        <v>3</v>
      </c>
      <c r="C3" s="5" t="s">
        <v>4</v>
      </c>
      <c r="D3" s="5" t="s">
        <v>5</v>
      </c>
      <c r="E3" s="5" t="s">
        <v>6</v>
      </c>
      <c r="F3" s="3"/>
      <c r="G3" s="5" t="s">
        <v>7</v>
      </c>
      <c r="H3" s="5" t="s">
        <v>8</v>
      </c>
      <c r="I3" s="3"/>
      <c r="J3" s="6" t="s">
        <v>7</v>
      </c>
      <c r="K3" s="6" t="s">
        <v>9</v>
      </c>
      <c r="L3" s="3"/>
    </row>
    <row r="4" spans="2:12" ht="38.25" customHeight="1" x14ac:dyDescent="0.25">
      <c r="B4" s="7" t="s">
        <v>10</v>
      </c>
      <c r="C4" s="7">
        <v>99</v>
      </c>
      <c r="D4" s="7">
        <v>241</v>
      </c>
      <c r="E4" s="7">
        <v>9.5</v>
      </c>
      <c r="F4" s="3"/>
      <c r="G4" s="8" t="s">
        <v>11</v>
      </c>
      <c r="H4" s="8" t="s">
        <v>12</v>
      </c>
      <c r="I4" s="3"/>
      <c r="J4" s="9" t="s">
        <v>13</v>
      </c>
      <c r="K4" s="10">
        <v>25</v>
      </c>
      <c r="L4" s="3"/>
    </row>
    <row r="5" spans="2:12" ht="29.25" customHeight="1" x14ac:dyDescent="0.25">
      <c r="B5" s="11" t="s">
        <v>14</v>
      </c>
      <c r="C5" s="11">
        <v>1</v>
      </c>
      <c r="D5" s="11">
        <v>13</v>
      </c>
      <c r="E5" s="11">
        <v>8.1999999999999993</v>
      </c>
      <c r="F5" s="3"/>
      <c r="G5" s="8" t="s">
        <v>15</v>
      </c>
      <c r="H5" s="12">
        <v>26558</v>
      </c>
      <c r="I5" s="3"/>
      <c r="J5" s="9" t="s">
        <v>16</v>
      </c>
      <c r="K5" s="10">
        <v>432</v>
      </c>
      <c r="L5" s="3"/>
    </row>
    <row r="6" spans="2:12" ht="39" customHeight="1" x14ac:dyDescent="0.25">
      <c r="B6" s="11" t="s">
        <v>17</v>
      </c>
      <c r="C6" s="11">
        <v>1</v>
      </c>
      <c r="D6" s="11">
        <v>94</v>
      </c>
      <c r="E6" s="11">
        <v>2.2000000000000002</v>
      </c>
      <c r="F6" s="3"/>
      <c r="G6" s="8" t="s">
        <v>18</v>
      </c>
      <c r="H6" s="12">
        <v>127266</v>
      </c>
      <c r="I6" s="3"/>
      <c r="J6" s="9" t="s">
        <v>5</v>
      </c>
      <c r="K6" s="13">
        <v>3366</v>
      </c>
      <c r="L6" s="3"/>
    </row>
    <row r="7" spans="2:12" ht="34.5" customHeight="1" x14ac:dyDescent="0.25">
      <c r="B7" s="11" t="s">
        <v>19</v>
      </c>
      <c r="C7" s="11">
        <v>3</v>
      </c>
      <c r="D7" s="11">
        <v>14</v>
      </c>
      <c r="E7" s="11">
        <v>17</v>
      </c>
      <c r="F7" s="3"/>
      <c r="G7" s="8" t="s">
        <v>20</v>
      </c>
      <c r="H7" s="8">
        <v>197</v>
      </c>
      <c r="I7" s="3"/>
      <c r="J7" s="9" t="s">
        <v>21</v>
      </c>
      <c r="K7" s="13">
        <v>153824</v>
      </c>
      <c r="L7" s="3"/>
    </row>
    <row r="8" spans="2:12" ht="27.75" customHeight="1" x14ac:dyDescent="0.25">
      <c r="B8" s="11" t="s">
        <v>22</v>
      </c>
      <c r="C8" s="11">
        <v>2</v>
      </c>
      <c r="D8" s="11">
        <v>2</v>
      </c>
      <c r="E8" s="11">
        <v>6.4</v>
      </c>
      <c r="F8" s="3"/>
      <c r="G8" s="8" t="s">
        <v>23</v>
      </c>
      <c r="H8" s="8">
        <v>300</v>
      </c>
      <c r="I8" s="3"/>
      <c r="J8" s="3"/>
      <c r="K8" s="3"/>
      <c r="L8" s="3"/>
    </row>
    <row r="9" spans="2:12" ht="22.5" customHeight="1" x14ac:dyDescent="0.25">
      <c r="B9" s="11" t="s">
        <v>24</v>
      </c>
      <c r="C9" s="11">
        <v>27</v>
      </c>
      <c r="D9" s="11">
        <v>654</v>
      </c>
      <c r="E9" s="11">
        <v>7.9</v>
      </c>
      <c r="F9" s="3"/>
      <c r="G9" s="8" t="s">
        <v>25</v>
      </c>
      <c r="H9" s="8">
        <v>403</v>
      </c>
      <c r="I9" s="3"/>
      <c r="J9" s="3"/>
      <c r="K9" s="3"/>
      <c r="L9" s="3"/>
    </row>
    <row r="10" spans="2:12" ht="27" customHeight="1" x14ac:dyDescent="0.25">
      <c r="B10" s="11" t="s">
        <v>26</v>
      </c>
      <c r="C10" s="11">
        <v>1</v>
      </c>
      <c r="D10" s="11">
        <v>1</v>
      </c>
      <c r="E10" s="11">
        <v>15</v>
      </c>
      <c r="F10" s="3"/>
      <c r="G10" s="8" t="s">
        <v>27</v>
      </c>
      <c r="H10" s="12">
        <v>3074</v>
      </c>
      <c r="I10" s="3"/>
      <c r="J10" s="3"/>
      <c r="K10" s="3"/>
      <c r="L10" s="3"/>
    </row>
    <row r="11" spans="2:12" ht="15" customHeight="1" x14ac:dyDescent="0.25">
      <c r="B11" s="11" t="s">
        <v>28</v>
      </c>
      <c r="C11" s="11">
        <v>39</v>
      </c>
      <c r="D11" s="11">
        <v>93</v>
      </c>
      <c r="E11" s="11">
        <v>13</v>
      </c>
      <c r="F11" s="3"/>
      <c r="G11" s="8"/>
      <c r="H11" s="8"/>
      <c r="I11" s="3"/>
      <c r="J11" s="3"/>
      <c r="K11" s="3"/>
      <c r="L11" s="3"/>
    </row>
    <row r="12" spans="2:12" ht="15" customHeight="1" x14ac:dyDescent="0.25">
      <c r="B12" s="11" t="s">
        <v>29</v>
      </c>
      <c r="C12" s="11">
        <v>4</v>
      </c>
      <c r="D12" s="11">
        <v>7</v>
      </c>
      <c r="E12" s="11">
        <v>14.8</v>
      </c>
      <c r="F12" s="3"/>
      <c r="G12" s="8" t="s">
        <v>30</v>
      </c>
      <c r="H12" s="8">
        <v>304</v>
      </c>
      <c r="I12" s="3"/>
      <c r="J12" s="3"/>
      <c r="K12" s="3"/>
      <c r="L12" s="3"/>
    </row>
    <row r="13" spans="2:12" ht="15" customHeight="1" x14ac:dyDescent="0.25">
      <c r="B13" s="11" t="s">
        <v>31</v>
      </c>
      <c r="C13" s="11">
        <v>27</v>
      </c>
      <c r="D13" s="11">
        <v>227</v>
      </c>
      <c r="E13" s="11">
        <v>30.8</v>
      </c>
      <c r="F13" s="3"/>
      <c r="G13" s="8" t="s">
        <v>32</v>
      </c>
      <c r="H13" s="12">
        <v>4400</v>
      </c>
      <c r="I13" s="3"/>
      <c r="J13" s="3"/>
      <c r="K13" s="3"/>
      <c r="L13" s="3"/>
    </row>
    <row r="14" spans="2:12" ht="15" customHeight="1" x14ac:dyDescent="0.25">
      <c r="B14" s="11" t="s">
        <v>33</v>
      </c>
      <c r="C14" s="11">
        <v>1</v>
      </c>
      <c r="D14" s="11">
        <v>3</v>
      </c>
      <c r="E14" s="11">
        <v>19.8</v>
      </c>
      <c r="F14" s="3"/>
      <c r="G14" s="8" t="s">
        <v>34</v>
      </c>
      <c r="H14" s="8">
        <v>426</v>
      </c>
      <c r="I14" s="3"/>
      <c r="J14" s="3"/>
      <c r="K14" s="3"/>
      <c r="L14" s="3"/>
    </row>
    <row r="15" spans="2:12" ht="15" customHeight="1" x14ac:dyDescent="0.25">
      <c r="B15" s="11" t="s">
        <v>35</v>
      </c>
      <c r="C15" s="11">
        <v>58</v>
      </c>
      <c r="D15" s="11">
        <v>96</v>
      </c>
      <c r="E15" s="11">
        <v>4.0999999999999996</v>
      </c>
      <c r="F15" s="3"/>
      <c r="G15" s="8" t="s">
        <v>36</v>
      </c>
      <c r="H15" s="8">
        <v>357</v>
      </c>
      <c r="I15" s="3"/>
      <c r="J15" s="3"/>
      <c r="K15" s="3"/>
      <c r="L15" s="3"/>
    </row>
    <row r="16" spans="2:12" ht="15" customHeight="1" x14ac:dyDescent="0.25">
      <c r="B16" s="11" t="s">
        <v>37</v>
      </c>
      <c r="C16" s="11">
        <v>23</v>
      </c>
      <c r="D16" s="11">
        <v>71</v>
      </c>
      <c r="E16" s="11">
        <v>9.6999999999999993</v>
      </c>
      <c r="F16" s="3"/>
      <c r="G16" s="3"/>
      <c r="H16" s="3"/>
      <c r="I16" s="3"/>
      <c r="J16" s="3"/>
      <c r="K16" s="3"/>
      <c r="L16" s="3"/>
    </row>
    <row r="17" spans="2:12" ht="15" customHeight="1" x14ac:dyDescent="0.25">
      <c r="B17" s="11" t="s">
        <v>38</v>
      </c>
      <c r="C17" s="11">
        <v>1</v>
      </c>
      <c r="D17" s="11">
        <v>2</v>
      </c>
      <c r="E17" s="11">
        <v>40.1</v>
      </c>
      <c r="F17" s="3"/>
      <c r="G17" s="3"/>
      <c r="H17" s="3"/>
      <c r="I17" s="3"/>
      <c r="J17" s="3"/>
      <c r="K17" s="3"/>
      <c r="L17" s="3"/>
    </row>
    <row r="18" spans="2:12" ht="15" customHeight="1" x14ac:dyDescent="0.25">
      <c r="B18" s="11" t="s">
        <v>39</v>
      </c>
      <c r="C18" s="11">
        <v>1</v>
      </c>
      <c r="D18" s="11">
        <v>3</v>
      </c>
      <c r="E18" s="11">
        <v>17.600000000000001</v>
      </c>
      <c r="F18" s="3"/>
      <c r="G18" s="3"/>
      <c r="H18" s="3"/>
      <c r="I18" s="3"/>
      <c r="J18" s="3"/>
      <c r="K18" s="3"/>
      <c r="L18" s="3"/>
    </row>
    <row r="19" spans="2:12" ht="15" customHeight="1" x14ac:dyDescent="0.25">
      <c r="B19" s="11" t="s">
        <v>40</v>
      </c>
      <c r="C19" s="11">
        <v>3</v>
      </c>
      <c r="D19" s="11">
        <v>6</v>
      </c>
      <c r="E19" s="11">
        <v>12.3</v>
      </c>
      <c r="F19" s="3"/>
      <c r="G19" s="3"/>
      <c r="H19" s="3"/>
      <c r="I19" s="3"/>
      <c r="J19" s="3"/>
      <c r="K19" s="3"/>
      <c r="L19" s="3"/>
    </row>
    <row r="20" spans="2:12" ht="15" customHeight="1" x14ac:dyDescent="0.25">
      <c r="B20" s="11" t="s">
        <v>41</v>
      </c>
      <c r="C20" s="11">
        <v>17</v>
      </c>
      <c r="D20" s="11">
        <v>47</v>
      </c>
      <c r="E20" s="11">
        <v>13.2</v>
      </c>
      <c r="F20" s="3"/>
      <c r="G20" s="3"/>
      <c r="H20" s="3"/>
      <c r="I20" s="3"/>
      <c r="J20" s="3"/>
      <c r="K20" s="3"/>
      <c r="L20" s="3"/>
    </row>
    <row r="21" spans="2:12" ht="15" customHeight="1" x14ac:dyDescent="0.25">
      <c r="B21" s="11" t="s">
        <v>42</v>
      </c>
      <c r="C21" s="11">
        <v>7</v>
      </c>
      <c r="D21" s="11">
        <v>11</v>
      </c>
      <c r="E21" s="11">
        <v>13.3</v>
      </c>
      <c r="F21" s="3"/>
      <c r="G21" s="3"/>
      <c r="H21" s="3"/>
      <c r="I21" s="3"/>
      <c r="J21" s="3"/>
      <c r="K21" s="3"/>
      <c r="L21" s="3"/>
    </row>
    <row r="22" spans="2:12" ht="15" customHeight="1" x14ac:dyDescent="0.25">
      <c r="B22" s="11" t="s">
        <v>43</v>
      </c>
      <c r="C22" s="11">
        <v>1</v>
      </c>
      <c r="D22" s="11">
        <v>1</v>
      </c>
      <c r="E22" s="11">
        <v>13.6</v>
      </c>
      <c r="F22" s="3"/>
      <c r="G22" s="3"/>
      <c r="H22" s="3"/>
      <c r="I22" s="3"/>
      <c r="J22" s="3"/>
      <c r="K22" s="3"/>
      <c r="L22" s="3"/>
    </row>
    <row r="23" spans="2:12" ht="15" customHeight="1" x14ac:dyDescent="0.25">
      <c r="B23" s="11" t="s">
        <v>44</v>
      </c>
      <c r="C23" s="11">
        <v>12</v>
      </c>
      <c r="D23" s="11">
        <v>294</v>
      </c>
      <c r="E23" s="11">
        <v>6.7</v>
      </c>
      <c r="F23" s="3"/>
      <c r="G23" s="3"/>
      <c r="H23" s="3"/>
      <c r="I23" s="3"/>
      <c r="J23" s="3"/>
      <c r="K23" s="3"/>
      <c r="L23" s="3"/>
    </row>
    <row r="24" spans="2:12" ht="15" customHeight="1" x14ac:dyDescent="0.25">
      <c r="B24" s="11" t="s">
        <v>45</v>
      </c>
      <c r="C24" s="11">
        <v>14</v>
      </c>
      <c r="D24" s="11">
        <v>353</v>
      </c>
      <c r="E24" s="11">
        <v>4.9000000000000004</v>
      </c>
      <c r="F24" s="3"/>
      <c r="G24" s="3"/>
      <c r="H24" s="3"/>
      <c r="I24" s="3"/>
      <c r="J24" s="3"/>
      <c r="K24" s="3"/>
      <c r="L24" s="3"/>
    </row>
    <row r="25" spans="2:12" ht="15" customHeight="1" x14ac:dyDescent="0.25">
      <c r="B25" s="11" t="s">
        <v>46</v>
      </c>
      <c r="C25" s="11">
        <v>5</v>
      </c>
      <c r="D25" s="11">
        <v>32</v>
      </c>
      <c r="E25" s="11">
        <v>6.9</v>
      </c>
      <c r="F25" s="3"/>
      <c r="G25" s="3"/>
      <c r="H25" s="3"/>
      <c r="I25" s="3"/>
      <c r="J25" s="3"/>
      <c r="K25" s="3"/>
      <c r="L25" s="3"/>
    </row>
    <row r="26" spans="2:12" ht="15" customHeight="1" x14ac:dyDescent="0.25">
      <c r="B26" s="11" t="s">
        <v>47</v>
      </c>
      <c r="C26" s="11">
        <v>2</v>
      </c>
      <c r="D26" s="11">
        <v>5</v>
      </c>
      <c r="E26" s="11">
        <v>25.4</v>
      </c>
      <c r="F26" s="3"/>
      <c r="G26" s="3"/>
      <c r="H26" s="3"/>
      <c r="I26" s="3"/>
      <c r="J26" s="3"/>
      <c r="K26" s="3"/>
      <c r="L26" s="3"/>
    </row>
    <row r="27" spans="2:12" ht="15" customHeight="1" x14ac:dyDescent="0.25">
      <c r="B27" s="11" t="s">
        <v>48</v>
      </c>
      <c r="C27" s="11">
        <v>42</v>
      </c>
      <c r="D27" s="11">
        <v>129</v>
      </c>
      <c r="E27" s="11">
        <v>12.2</v>
      </c>
      <c r="F27" s="3"/>
      <c r="G27" s="3"/>
      <c r="H27" s="3"/>
      <c r="I27" s="3"/>
      <c r="J27" s="3"/>
      <c r="K27" s="3"/>
      <c r="L27" s="3"/>
    </row>
    <row r="28" spans="2:12" ht="15" customHeight="1" x14ac:dyDescent="0.25">
      <c r="B28" s="11" t="s">
        <v>49</v>
      </c>
      <c r="C28" s="11">
        <v>41</v>
      </c>
      <c r="D28" s="11">
        <v>967</v>
      </c>
      <c r="E28" s="11">
        <v>4.9000000000000004</v>
      </c>
      <c r="F28" s="3"/>
      <c r="G28" s="3"/>
      <c r="H28" s="3"/>
      <c r="I28" s="3"/>
      <c r="J28" s="3"/>
      <c r="K28" s="3"/>
      <c r="L28" s="3"/>
    </row>
    <row r="29" spans="2:12" ht="15" customHeight="1" x14ac:dyDescent="0.25">
      <c r="B29" s="14" t="s">
        <v>50</v>
      </c>
      <c r="C29" s="14">
        <v>432</v>
      </c>
      <c r="D29" s="15">
        <v>3366</v>
      </c>
      <c r="E29" s="14">
        <v>6300</v>
      </c>
      <c r="F29" s="3"/>
      <c r="G29" s="3"/>
      <c r="H29" s="3"/>
      <c r="I29" s="3"/>
      <c r="J29" s="3"/>
      <c r="K29" s="3"/>
      <c r="L29" s="3"/>
    </row>
    <row r="30" spans="2:12" ht="15" customHeight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autoFilter ref="B3:D2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462"/>
  <sheetViews>
    <sheetView tabSelected="1" zoomScale="77" zoomScaleNormal="77" workbookViewId="0">
      <pane ySplit="1" topLeftCell="A2" activePane="bottomLeft" state="frozen"/>
      <selection activeCell="AL1" sqref="AL1"/>
      <selection pane="bottomLeft" activeCell="G3" sqref="G3"/>
    </sheetView>
  </sheetViews>
  <sheetFormatPr baseColWidth="10" defaultColWidth="8.7109375" defaultRowHeight="15" outlineLevelCol="2" x14ac:dyDescent="0.25"/>
  <cols>
    <col min="1" max="1" width="12.5703125" customWidth="1"/>
    <col min="2" max="2" width="26" customWidth="1"/>
    <col min="3" max="4" width="26" hidden="1" customWidth="1"/>
    <col min="5" max="5" width="19.28515625" customWidth="1"/>
    <col min="6" max="6" width="21.85546875" customWidth="1"/>
    <col min="7" max="10" width="20" customWidth="1"/>
    <col min="11" max="11" width="16" customWidth="1"/>
    <col min="12" max="12" width="18.140625" customWidth="1"/>
    <col min="13" max="13" width="15" customWidth="1"/>
    <col min="14" max="21" width="12.7109375" customWidth="1"/>
    <col min="22" max="22" width="17.7109375" customWidth="1"/>
    <col min="23" max="30" width="12.7109375" customWidth="1"/>
    <col min="31" max="31" width="17.5703125" customWidth="1"/>
    <col min="32" max="32" width="14.140625" customWidth="1"/>
    <col min="33" max="33" width="27.7109375" customWidth="1"/>
    <col min="34" max="34" width="20.140625" customWidth="1"/>
    <col min="35" max="35" width="30.5703125" customWidth="1"/>
    <col min="36" max="36" width="15.85546875" customWidth="1"/>
    <col min="37" max="37" width="14.5703125" customWidth="1"/>
    <col min="38" max="38" width="78.5703125" customWidth="1"/>
    <col min="41" max="42" width="8.7109375" outlineLevel="2"/>
    <col min="43" max="43" width="20.5703125" customWidth="1" outlineLevel="2"/>
    <col min="44" max="44" width="8.7109375" outlineLevel="2"/>
    <col min="45" max="50" width="8.7109375" outlineLevel="1"/>
    <col min="51" max="51" width="5.7109375" customWidth="1" outlineLevel="1"/>
    <col min="52" max="53" width="14" customWidth="1"/>
    <col min="54" max="54" width="16" customWidth="1"/>
    <col min="55" max="55" width="12" customWidth="1"/>
    <col min="56" max="56" width="14" customWidth="1"/>
    <col min="57" max="57" width="16" customWidth="1"/>
    <col min="58" max="58" width="12.42578125" customWidth="1"/>
  </cols>
  <sheetData>
    <row r="1" spans="1:59" ht="46.5" customHeight="1" x14ac:dyDescent="0.25">
      <c r="A1" s="16" t="s">
        <v>51</v>
      </c>
      <c r="B1" s="17" t="s">
        <v>3</v>
      </c>
      <c r="C1" s="17" t="s">
        <v>52</v>
      </c>
      <c r="D1" s="17" t="s">
        <v>53</v>
      </c>
      <c r="E1" s="17" t="s">
        <v>54</v>
      </c>
      <c r="F1" s="17" t="s">
        <v>55</v>
      </c>
      <c r="G1" s="17" t="s">
        <v>56</v>
      </c>
      <c r="H1" s="17" t="s">
        <v>57</v>
      </c>
      <c r="I1" s="17" t="s">
        <v>58</v>
      </c>
      <c r="J1" s="17" t="s">
        <v>59</v>
      </c>
      <c r="K1" s="17" t="s">
        <v>60</v>
      </c>
      <c r="L1" s="17" t="s">
        <v>61</v>
      </c>
      <c r="M1" s="17" t="s">
        <v>62</v>
      </c>
      <c r="N1" s="17" t="s">
        <v>63</v>
      </c>
      <c r="O1" s="17" t="s">
        <v>64</v>
      </c>
      <c r="P1" s="17" t="s">
        <v>65</v>
      </c>
      <c r="Q1" s="17" t="s">
        <v>66</v>
      </c>
      <c r="R1" s="17" t="s">
        <v>67</v>
      </c>
      <c r="S1" s="17" t="s">
        <v>68</v>
      </c>
      <c r="T1" s="17" t="s">
        <v>69</v>
      </c>
      <c r="U1" s="17" t="s">
        <v>70</v>
      </c>
      <c r="V1" s="17" t="s">
        <v>71</v>
      </c>
      <c r="W1" s="17" t="s">
        <v>72</v>
      </c>
      <c r="X1" s="17" t="s">
        <v>73</v>
      </c>
      <c r="Y1" s="17" t="s">
        <v>74</v>
      </c>
      <c r="Z1" s="17" t="s">
        <v>75</v>
      </c>
      <c r="AA1" s="17" t="s">
        <v>76</v>
      </c>
      <c r="AB1" s="17" t="s">
        <v>77</v>
      </c>
      <c r="AC1" s="17" t="s">
        <v>78</v>
      </c>
      <c r="AD1" s="17" t="s">
        <v>79</v>
      </c>
      <c r="AE1" s="17" t="s">
        <v>80</v>
      </c>
      <c r="AF1" s="17" t="s">
        <v>81</v>
      </c>
      <c r="AG1" s="16" t="s">
        <v>82</v>
      </c>
      <c r="AH1" s="17" t="s">
        <v>83</v>
      </c>
      <c r="AI1" s="17" t="s">
        <v>84</v>
      </c>
      <c r="AJ1" s="17" t="s">
        <v>85</v>
      </c>
      <c r="AK1" s="17" t="s">
        <v>86</v>
      </c>
      <c r="AL1" s="17" t="s">
        <v>87</v>
      </c>
      <c r="AM1" s="17" t="s">
        <v>88</v>
      </c>
      <c r="AO1" s="18" t="s">
        <v>89</v>
      </c>
      <c r="AP1" s="18" t="s">
        <v>90</v>
      </c>
      <c r="AQ1" s="18" t="s">
        <v>91</v>
      </c>
      <c r="AR1" s="18" t="s">
        <v>92</v>
      </c>
      <c r="AS1" s="18" t="s">
        <v>93</v>
      </c>
      <c r="AT1" s="18" t="s">
        <v>94</v>
      </c>
      <c r="AU1" s="18" t="s">
        <v>95</v>
      </c>
      <c r="AV1" s="18" t="s">
        <v>96</v>
      </c>
      <c r="AX1" s="19" t="s">
        <v>97</v>
      </c>
      <c r="AZ1" s="20" t="s">
        <v>98</v>
      </c>
      <c r="BA1" s="20" t="s">
        <v>99</v>
      </c>
      <c r="BB1" s="20" t="s">
        <v>100</v>
      </c>
      <c r="BC1" s="20" t="s">
        <v>101</v>
      </c>
      <c r="BD1" s="20" t="s">
        <v>54</v>
      </c>
      <c r="BE1" s="20" t="s">
        <v>55</v>
      </c>
      <c r="BF1" s="21" t="s">
        <v>102</v>
      </c>
    </row>
    <row r="2" spans="1:59" ht="25.5" customHeight="1" x14ac:dyDescent="0.25">
      <c r="A2" s="22" t="s">
        <v>111</v>
      </c>
      <c r="B2" s="11" t="s">
        <v>28</v>
      </c>
      <c r="C2" s="34" t="s">
        <v>112</v>
      </c>
      <c r="D2" s="24">
        <f t="shared" ref="D2:D65" si="0">AS2+AU2+AV2</f>
        <v>6</v>
      </c>
      <c r="E2" s="59">
        <f t="shared" ref="E2:E65" si="1">BD2</f>
        <v>6.4285714285714279</v>
      </c>
      <c r="F2" s="59">
        <f t="shared" ref="F2:F65" si="2">BE2</f>
        <v>9</v>
      </c>
      <c r="G2" s="11" t="s">
        <v>113</v>
      </c>
      <c r="H2" s="25" t="str">
        <f>IFERROR(IF($AQ2,INDEX(cpe!$C$2:$C$307,MATCH($AR2,cpe!$F$2:$F$307,0)),INDEX(cpe!$C$2:$C$307,MATCH($AR2,cpe!$D$2:$D$307,0))),"#N/D")</f>
        <v>#N/D</v>
      </c>
      <c r="I2" s="25" t="str">
        <f>IFERROR(IF($AQ2,INDEX(cpe!$B$2:$B$307,MATCH($AR2,cpe!$F$2:$F$307,0)),INDEX(cpe!$B$2:$B$307,MATCH($AR2,cpe!$D$2:$D$307,0))),"#N/D")</f>
        <v>#N/D</v>
      </c>
      <c r="J2" s="26" t="str">
        <f>IF($AQ2,"#N/D",IFERROR(INDEX(Olimpiadas!$B$2:$B$61,MATCH($AO2,Olimpiadas!$C$2:$C$61,0)),"#N/D"))</f>
        <v>#N/D</v>
      </c>
      <c r="K2" s="26" t="str">
        <f>IF($AQ2,"#N/D",IFERROR(INDEX(Olimpiadas!$A$2:$A$61,MATCH($AO2,Olimpiadas!$C$2:$C$61,0)),"#N/D"))</f>
        <v>#N/D</v>
      </c>
      <c r="L2" s="26" t="str">
        <f>IF($AQ2,"#N/D",IFERROR(INDEX(Minculturas!$A$2:$A$48,MATCH($AO2,Minculturas!$C$2:$C$48,0)),"#N/D"))</f>
        <v>#N/D</v>
      </c>
      <c r="M2" s="26" t="str">
        <f>IF($AQ2,"#N/D",IFERROR(INDEX(Minculturas!$B$2:$B$48,MATCH($AO2,Minculturas!$C$2:$C$48,0)),"#N/D"))</f>
        <v>#N/D</v>
      </c>
      <c r="N2" s="27">
        <v>11</v>
      </c>
      <c r="O2" s="28">
        <v>0</v>
      </c>
      <c r="P2" s="28">
        <v>3</v>
      </c>
      <c r="Q2" s="28">
        <v>1</v>
      </c>
      <c r="R2" s="28">
        <v>1</v>
      </c>
      <c r="S2" s="28">
        <v>3</v>
      </c>
      <c r="T2" s="28">
        <v>1</v>
      </c>
      <c r="U2" s="28">
        <v>1</v>
      </c>
      <c r="V2" s="28">
        <v>1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7">
        <f t="shared" ref="AG2:AG65" si="3">SUM(O2:X2)</f>
        <v>11</v>
      </c>
      <c r="AH2" s="28"/>
      <c r="AI2" s="28"/>
      <c r="AJ2" s="28">
        <v>31.6</v>
      </c>
      <c r="AK2" s="28"/>
      <c r="AL2" s="28"/>
      <c r="AM2" s="29" t="s">
        <v>114</v>
      </c>
      <c r="AO2" t="str">
        <f t="shared" ref="AO2:AO65" si="4">TRIM(SUBSTITUTE(SUBSTITUTE(SUBSTITUTE(SUBSTITUTE(SUBSTITUTE(SUBSTITUTE(SUBSTITUTE(SUBSTITUTE(SUBSTITUTE(LOWER(G2),"á","a"),"é","e"),"í","i"),"ó","o"),"ú","u"),"ñ","n"),"-"," "),","," "),"."," "))</f>
        <v>balboa</v>
      </c>
      <c r="AP2" t="str">
        <f t="shared" ref="AP2:AP65" si="5">TRIM(SUBSTITUTE(SUBSTITUTE(SUBSTITUTE(SUBSTITUTE(SUBSTITUTE(SUBSTITUTE(SUBSTITUTE(SUBSTITUTE(SUBSTITUTE(LOWER(B2),"á","a"),"é","e"),"í","i"),"ó","o"),"ú","u"),"ñ","n"),"-"," "),","," "),"."," "))</f>
        <v>cauca</v>
      </c>
      <c r="AQ2" t="b">
        <f t="shared" ref="AQ2:AQ65" si="6">COUNTIF($AO$2:$AO$433,AO2)&gt;COUNTIFS($AO$2:$AO$433,AO2,$AP$2:$AP$433,AP2)</f>
        <v>1</v>
      </c>
      <c r="AR2" t="str">
        <f t="shared" ref="AR2:AR65" si="7">IF(AQ2,AO2&amp;"|"&amp;AP2,AO2)</f>
        <v>balboa|cauca</v>
      </c>
      <c r="AS2" s="30">
        <f t="shared" ref="AS2:AS65" si="8">(I2&lt;&gt;"#N/D")+(J2&lt;&gt;"#N/D")+(L2&lt;&gt;"#N/D")</f>
        <v>0</v>
      </c>
      <c r="AT2" s="30">
        <f t="shared" ref="AT2:AT65" si="9">SUM(O2:X2)</f>
        <v>11</v>
      </c>
      <c r="AU2" s="30">
        <f t="shared" ref="AU2:AU65" si="10">IF(AT2&lt;=$AY$2,0,IF(AT2&lt;=$AY$3,1,IF(AT2&lt;=$AY$4,2,3)))</f>
        <v>3</v>
      </c>
      <c r="AV2" s="30">
        <f t="shared" ref="AV2:AV65" si="11">IF(Y2&lt;=$AY$7,3,IF(Y2&lt;=$AY$8,2,IF(Y2&lt;=$AY$9,1,0)))</f>
        <v>3</v>
      </c>
      <c r="AX2" t="s">
        <v>115</v>
      </c>
      <c r="AY2">
        <f>_xlfn.QUARTILE.INC($Y$2:$Y$433,2)</f>
        <v>0</v>
      </c>
      <c r="AZ2" s="31">
        <f t="shared" ref="AZ2:AZ65" si="12">IF(Y2=0,3,0)</f>
        <v>3</v>
      </c>
      <c r="BA2" s="31">
        <f t="shared" ref="BA2:BA65" si="13">AS2+AU2+AZ2</f>
        <v>6</v>
      </c>
      <c r="BB2" s="32">
        <f>IFERROR(INDEX('Análisis general'!$E$4:$E$28,MATCH($B2,'Análisis general'!$B$4:$B$28,0)),"")</f>
        <v>13</v>
      </c>
      <c r="BC2" s="31">
        <f t="shared" ref="BC2:BC65" si="14">IF(BB2="","",IF(BB2&lt;=$BG$2,0,IF(BB2&lt;=$BG$3,1,IF(BB2&lt;=$BG$4,2,3))))</f>
        <v>3</v>
      </c>
      <c r="BD2" s="32">
        <f t="shared" ref="BD2:BD65" si="15">(AS2+AU2+AZ2+(BC2/2))*(9/10.5)</f>
        <v>6.4285714285714279</v>
      </c>
      <c r="BE2" s="32">
        <f t="shared" ref="BE2:BE65" si="16">(AU2+AZ2+(BC2/2))*(9/7.5)</f>
        <v>9</v>
      </c>
    </row>
    <row r="3" spans="1:59" ht="25.5" customHeight="1" x14ac:dyDescent="0.25">
      <c r="A3" s="33" t="s">
        <v>124</v>
      </c>
      <c r="B3" s="11" t="s">
        <v>31</v>
      </c>
      <c r="C3" s="34" t="s">
        <v>112</v>
      </c>
      <c r="D3" s="24">
        <f t="shared" si="0"/>
        <v>6</v>
      </c>
      <c r="E3" s="59">
        <f t="shared" si="1"/>
        <v>6.4285714285714279</v>
      </c>
      <c r="F3" s="59">
        <f t="shared" si="2"/>
        <v>9</v>
      </c>
      <c r="G3" s="11" t="s">
        <v>125</v>
      </c>
      <c r="H3" s="25" t="str">
        <f>IFERROR(IF($AQ3,INDEX(cpe!$C$2:$C$307,MATCH($AR3,cpe!$F$2:$F$307,0)),INDEX(cpe!$C$2:$C$307,MATCH($AR3,cpe!$D$2:$D$307,0))),"#N/D")</f>
        <v>#N/D</v>
      </c>
      <c r="I3" s="25" t="str">
        <f>IFERROR(IF($AQ3,INDEX(cpe!$B$2:$B$307,MATCH($AR3,cpe!$F$2:$F$307,0)),INDEX(cpe!$B$2:$B$307,MATCH($AR3,cpe!$D$2:$D$307,0))),"#N/D")</f>
        <v>#N/D</v>
      </c>
      <c r="J3" s="26" t="str">
        <f>IF($AQ3,"#N/D",IFERROR(INDEX(Olimpiadas!$B$2:$B$61,MATCH($AO3,Olimpiadas!$C$2:$C$61,0)),"#N/D"))</f>
        <v>#N/D</v>
      </c>
      <c r="K3" s="26" t="str">
        <f>IF($AQ3,"#N/D",IFERROR(INDEX(Olimpiadas!$A$2:$A$61,MATCH($AO3,Olimpiadas!$C$2:$C$61,0)),"#N/D"))</f>
        <v>#N/D</v>
      </c>
      <c r="L3" s="26" t="str">
        <f>IF($AQ3,"#N/D",IFERROR(INDEX(Minculturas!$A$2:$A$48,MATCH($AO3,Minculturas!$C$2:$C$48,0)),"#N/D"))</f>
        <v>#N/D</v>
      </c>
      <c r="M3" s="26" t="str">
        <f>IF($AQ3,"#N/D",IFERROR(INDEX(Minculturas!$B$2:$B$48,MATCH($AO3,Minculturas!$C$2:$C$48,0)),"#N/D"))</f>
        <v>#N/D</v>
      </c>
      <c r="N3" s="27">
        <v>11</v>
      </c>
      <c r="O3" s="28">
        <v>0</v>
      </c>
      <c r="P3" s="28">
        <v>0</v>
      </c>
      <c r="Q3" s="28">
        <v>4</v>
      </c>
      <c r="R3" s="28">
        <v>2</v>
      </c>
      <c r="S3" s="28">
        <v>2</v>
      </c>
      <c r="T3" s="28">
        <v>0</v>
      </c>
      <c r="U3" s="28">
        <v>1</v>
      </c>
      <c r="V3" s="28">
        <v>0</v>
      </c>
      <c r="W3" s="28">
        <v>0</v>
      </c>
      <c r="X3" s="28">
        <v>0</v>
      </c>
      <c r="Y3" s="28">
        <v>0</v>
      </c>
      <c r="Z3" s="28">
        <v>2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7">
        <f t="shared" si="3"/>
        <v>9</v>
      </c>
      <c r="AH3" s="28" t="s">
        <v>126</v>
      </c>
      <c r="AI3" s="28" t="s">
        <v>127</v>
      </c>
      <c r="AJ3" s="28">
        <v>83.1</v>
      </c>
      <c r="AK3" s="28"/>
      <c r="AL3" s="28"/>
      <c r="AM3" s="29" t="s">
        <v>114</v>
      </c>
      <c r="AO3" t="str">
        <f t="shared" si="4"/>
        <v>el litoral del san juan</v>
      </c>
      <c r="AP3" t="str">
        <f t="shared" si="5"/>
        <v>choco</v>
      </c>
      <c r="AQ3" t="b">
        <f t="shared" si="6"/>
        <v>0</v>
      </c>
      <c r="AR3" t="str">
        <f t="shared" si="7"/>
        <v>el litoral del san juan</v>
      </c>
      <c r="AS3" s="30">
        <f t="shared" si="8"/>
        <v>0</v>
      </c>
      <c r="AT3" s="30">
        <f t="shared" si="9"/>
        <v>9</v>
      </c>
      <c r="AU3" s="30">
        <f t="shared" si="10"/>
        <v>3</v>
      </c>
      <c r="AV3" s="30">
        <f t="shared" si="11"/>
        <v>3</v>
      </c>
      <c r="AX3" s="19" t="s">
        <v>128</v>
      </c>
      <c r="AZ3" s="31">
        <f t="shared" si="12"/>
        <v>3</v>
      </c>
      <c r="BA3" s="31">
        <f t="shared" si="13"/>
        <v>6</v>
      </c>
      <c r="BB3" s="32">
        <f>IFERROR(INDEX('Análisis general'!$E$4:$E$28,MATCH($B3,'Análisis general'!$B$4:$B$28,0)),"")</f>
        <v>30.8</v>
      </c>
      <c r="BC3" s="31">
        <f t="shared" si="14"/>
        <v>3</v>
      </c>
      <c r="BD3" s="32">
        <f t="shared" si="15"/>
        <v>6.4285714285714279</v>
      </c>
      <c r="BE3" s="32">
        <f t="shared" si="16"/>
        <v>9</v>
      </c>
    </row>
    <row r="4" spans="1:59" ht="25.5" customHeight="1" x14ac:dyDescent="0.25">
      <c r="A4" s="33" t="s">
        <v>103</v>
      </c>
      <c r="B4" s="11" t="s">
        <v>31</v>
      </c>
      <c r="C4" s="60" t="s">
        <v>1214</v>
      </c>
      <c r="D4" s="24">
        <f t="shared" si="0"/>
        <v>6</v>
      </c>
      <c r="E4" s="59">
        <f t="shared" si="1"/>
        <v>6.4285714285714279</v>
      </c>
      <c r="F4" s="59">
        <f t="shared" si="2"/>
        <v>9</v>
      </c>
      <c r="G4" s="11" t="s">
        <v>105</v>
      </c>
      <c r="H4" s="25" t="s">
        <v>106</v>
      </c>
      <c r="I4" s="25" t="s">
        <v>106</v>
      </c>
      <c r="J4" s="26" t="s">
        <v>106</v>
      </c>
      <c r="K4" s="26" t="str">
        <f>IF($AQ4,"#N/D",IFERROR(INDEX(Olimpiadas!$A$2:$A$61,MATCH($AO4,Olimpiadas!$C$2:$C$61,0)),"#N/D"))</f>
        <v>#N/D</v>
      </c>
      <c r="L4" s="26" t="str">
        <f>IF($AQ4,"#N/D",IFERROR(INDEX(Minculturas!$A$2:$A$48,MATCH($AO4,Minculturas!$C$2:$C$48,0)),"#N/D"))</f>
        <v>#N/D</v>
      </c>
      <c r="M4" s="26" t="str">
        <f>IF($AQ4,"#N/D",IFERROR(INDEX(Minculturas!$B$2:$B$48,MATCH($AO4,Minculturas!$C$2:$C$48,0)),"#N/D"))</f>
        <v>#N/D</v>
      </c>
      <c r="N4" s="27">
        <v>9</v>
      </c>
      <c r="O4" s="28">
        <v>0</v>
      </c>
      <c r="P4" s="28">
        <v>3</v>
      </c>
      <c r="Q4" s="28">
        <v>2</v>
      </c>
      <c r="R4" s="28">
        <v>1</v>
      </c>
      <c r="S4" s="28">
        <v>0</v>
      </c>
      <c r="T4" s="28">
        <v>0</v>
      </c>
      <c r="U4" s="28">
        <v>2</v>
      </c>
      <c r="V4" s="28">
        <v>0</v>
      </c>
      <c r="W4" s="28">
        <v>0</v>
      </c>
      <c r="X4" s="28">
        <v>0</v>
      </c>
      <c r="Y4" s="28">
        <v>0</v>
      </c>
      <c r="Z4" s="28">
        <v>1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7">
        <f t="shared" si="3"/>
        <v>8</v>
      </c>
      <c r="AH4" s="28" t="s">
        <v>107</v>
      </c>
      <c r="AI4" s="28" t="s">
        <v>108</v>
      </c>
      <c r="AJ4" s="28">
        <v>69.7</v>
      </c>
      <c r="AK4" s="28"/>
      <c r="AL4" s="28"/>
      <c r="AM4" s="29" t="s">
        <v>109</v>
      </c>
      <c r="AO4" t="str">
        <f t="shared" si="4"/>
        <v>sipi</v>
      </c>
      <c r="AP4" t="str">
        <f t="shared" si="5"/>
        <v>choco</v>
      </c>
      <c r="AQ4" t="b">
        <f t="shared" si="6"/>
        <v>0</v>
      </c>
      <c r="AR4" t="str">
        <f t="shared" si="7"/>
        <v>sipi</v>
      </c>
      <c r="AS4" s="30">
        <f t="shared" si="8"/>
        <v>0</v>
      </c>
      <c r="AT4" s="30">
        <f t="shared" si="9"/>
        <v>8</v>
      </c>
      <c r="AU4" s="30">
        <f t="shared" si="10"/>
        <v>3</v>
      </c>
      <c r="AV4" s="30">
        <f t="shared" si="11"/>
        <v>3</v>
      </c>
      <c r="AX4" t="s">
        <v>110</v>
      </c>
      <c r="AY4">
        <f>_xlfn.QUARTILE.INC($Y$2:$Y$433,1)</f>
        <v>0</v>
      </c>
      <c r="AZ4" s="31">
        <f t="shared" si="12"/>
        <v>3</v>
      </c>
      <c r="BA4" s="31">
        <f t="shared" si="13"/>
        <v>6</v>
      </c>
      <c r="BB4" s="32">
        <f>IFERROR(INDEX('Análisis general'!$E$4:$E$28,MATCH($B4,'Análisis general'!$B$4:$B$28,0)),"")</f>
        <v>30.8</v>
      </c>
      <c r="BC4" s="31">
        <f t="shared" si="14"/>
        <v>3</v>
      </c>
      <c r="BD4" s="32">
        <f t="shared" si="15"/>
        <v>6.4285714285714279</v>
      </c>
      <c r="BE4" s="32">
        <f t="shared" si="16"/>
        <v>9</v>
      </c>
    </row>
    <row r="5" spans="1:59" ht="25.5" customHeight="1" x14ac:dyDescent="0.25">
      <c r="A5" s="33" t="s">
        <v>129</v>
      </c>
      <c r="B5" s="11" t="s">
        <v>28</v>
      </c>
      <c r="C5" s="34" t="s">
        <v>112</v>
      </c>
      <c r="D5" s="24">
        <f t="shared" si="0"/>
        <v>6</v>
      </c>
      <c r="E5" s="59">
        <f t="shared" si="1"/>
        <v>6.4285714285714279</v>
      </c>
      <c r="F5" s="59">
        <f t="shared" si="2"/>
        <v>9</v>
      </c>
      <c r="G5" s="11" t="s">
        <v>130</v>
      </c>
      <c r="H5" s="25" t="str">
        <f>IFERROR(IF($AQ5,INDEX(cpe!$C$2:$C$307,MATCH($AR5,cpe!$F$2:$F$307,0)),INDEX(cpe!$C$2:$C$307,MATCH($AR5,cpe!$D$2:$D$307,0))),"#N/D")</f>
        <v>#N/D</v>
      </c>
      <c r="I5" s="25" t="str">
        <f>IFERROR(IF($AQ5,INDEX(cpe!$B$2:$B$307,MATCH($AR5,cpe!$F$2:$F$307,0)),INDEX(cpe!$B$2:$B$307,MATCH($AR5,cpe!$D$2:$D$307,0))),"#N/D")</f>
        <v>#N/D</v>
      </c>
      <c r="J5" s="26" t="str">
        <f>IF($AQ5,"#N/D",IFERROR(INDEX(Olimpiadas!$B$2:$B$61,MATCH($AO5,Olimpiadas!$C$2:$C$61,0)),"#N/D"))</f>
        <v>#N/D</v>
      </c>
      <c r="K5" s="26" t="str">
        <f>IF($AQ5,"#N/D",IFERROR(INDEX(Olimpiadas!$A$2:$A$61,MATCH($AO5,Olimpiadas!$C$2:$C$61,0)),"#N/D"))</f>
        <v>#N/D</v>
      </c>
      <c r="L5" s="26" t="str">
        <f>IF($AQ5,"#N/D",IFERROR(INDEX(Minculturas!$A$2:$A$48,MATCH($AO5,Minculturas!$C$2:$C$48,0)),"#N/D"))</f>
        <v>#N/D</v>
      </c>
      <c r="M5" s="26" t="str">
        <f>IF($AQ5,"#N/D",IFERROR(INDEX(Minculturas!$B$2:$B$48,MATCH($AO5,Minculturas!$C$2:$C$48,0)),"#N/D"))</f>
        <v>#N/D</v>
      </c>
      <c r="N5" s="27">
        <v>6</v>
      </c>
      <c r="O5" s="28">
        <v>0</v>
      </c>
      <c r="P5" s="28">
        <v>0</v>
      </c>
      <c r="Q5" s="28">
        <v>1</v>
      </c>
      <c r="R5" s="28">
        <v>0</v>
      </c>
      <c r="S5" s="28">
        <v>5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7">
        <f t="shared" si="3"/>
        <v>6</v>
      </c>
      <c r="AH5" s="28"/>
      <c r="AI5" s="28"/>
      <c r="AJ5" s="28">
        <v>68.900000000000006</v>
      </c>
      <c r="AK5" s="28"/>
      <c r="AL5" s="28"/>
      <c r="AM5" s="29" t="s">
        <v>114</v>
      </c>
      <c r="AO5" t="str">
        <f t="shared" si="4"/>
        <v>guapi</v>
      </c>
      <c r="AP5" t="str">
        <f t="shared" si="5"/>
        <v>cauca</v>
      </c>
      <c r="AQ5" t="b">
        <f t="shared" si="6"/>
        <v>0</v>
      </c>
      <c r="AR5" t="str">
        <f t="shared" si="7"/>
        <v>guapi</v>
      </c>
      <c r="AS5" s="30">
        <f t="shared" si="8"/>
        <v>0</v>
      </c>
      <c r="AT5" s="30">
        <f t="shared" si="9"/>
        <v>6</v>
      </c>
      <c r="AU5" s="30">
        <f t="shared" si="10"/>
        <v>3</v>
      </c>
      <c r="AV5" s="30">
        <f t="shared" si="11"/>
        <v>3</v>
      </c>
      <c r="AX5" t="s">
        <v>110</v>
      </c>
      <c r="AY5">
        <f>_xlfn.QUARTILE.INC($Y$2:$Y$433,1)</f>
        <v>0</v>
      </c>
      <c r="AZ5" s="31">
        <f t="shared" si="12"/>
        <v>3</v>
      </c>
      <c r="BA5" s="31">
        <f t="shared" si="13"/>
        <v>6</v>
      </c>
      <c r="BB5" s="32">
        <f>IFERROR(INDEX('Análisis general'!$E$4:$E$28,MATCH($B5,'Análisis general'!$B$4:$B$28,0)),"")</f>
        <v>13</v>
      </c>
      <c r="BC5" s="31">
        <f t="shared" si="14"/>
        <v>3</v>
      </c>
      <c r="BD5" s="32">
        <f t="shared" si="15"/>
        <v>6.4285714285714279</v>
      </c>
      <c r="BE5" s="32">
        <f t="shared" si="16"/>
        <v>9</v>
      </c>
    </row>
    <row r="6" spans="1:59" ht="25.5" customHeight="1" x14ac:dyDescent="0.25">
      <c r="A6" s="33" t="s">
        <v>116</v>
      </c>
      <c r="B6" s="11" t="s">
        <v>31</v>
      </c>
      <c r="C6" s="34" t="s">
        <v>112</v>
      </c>
      <c r="D6" s="24">
        <f t="shared" si="0"/>
        <v>6</v>
      </c>
      <c r="E6" s="59">
        <f t="shared" si="1"/>
        <v>6.4285714285714279</v>
      </c>
      <c r="F6" s="59">
        <f t="shared" si="2"/>
        <v>9</v>
      </c>
      <c r="G6" s="11" t="s">
        <v>117</v>
      </c>
      <c r="H6" s="25" t="str">
        <f>IFERROR(IF($AQ6,INDEX(cpe!$C$2:$C$307,MATCH($AR6,cpe!$F$2:$F$307,0)),INDEX(cpe!$C$2:$C$307,MATCH($AR6,cpe!$D$2:$D$307,0))),"#N/D")</f>
        <v>#N/D</v>
      </c>
      <c r="I6" s="25" t="str">
        <f>IFERROR(IF($AQ6,INDEX(cpe!$B$2:$B$307,MATCH($AR6,cpe!$F$2:$F$307,0)),INDEX(cpe!$B$2:$B$307,MATCH($AR6,cpe!$D$2:$D$307,0))),"#N/D")</f>
        <v>#N/D</v>
      </c>
      <c r="J6" s="26" t="str">
        <f>IF($AQ6,"#N/D",IFERROR(INDEX(Olimpiadas!$B$2:$B$61,MATCH($AO6,Olimpiadas!$C$2:$C$61,0)),"#N/D"))</f>
        <v>#N/D</v>
      </c>
      <c r="K6" s="26" t="str">
        <f>IF($AQ6,"#N/D",IFERROR(INDEX(Olimpiadas!$A$2:$A$61,MATCH($AO6,Olimpiadas!$C$2:$C$61,0)),"#N/D"))</f>
        <v>#N/D</v>
      </c>
      <c r="L6" s="26" t="str">
        <f>IF($AQ6,"#N/D",IFERROR(INDEX(Minculturas!$A$2:$A$48,MATCH($AO6,Minculturas!$C$2:$C$48,0)),"#N/D"))</f>
        <v>#N/D</v>
      </c>
      <c r="M6" s="26" t="str">
        <f>IF($AQ6,"#N/D",IFERROR(INDEX(Minculturas!$B$2:$B$48,MATCH($AO6,Minculturas!$C$2:$C$48,0)),"#N/D"))</f>
        <v>#N/D</v>
      </c>
      <c r="N6" s="27">
        <v>5</v>
      </c>
      <c r="O6" s="28">
        <v>0</v>
      </c>
      <c r="P6" s="28">
        <v>2</v>
      </c>
      <c r="Q6" s="28">
        <v>0</v>
      </c>
      <c r="R6" s="28">
        <v>0</v>
      </c>
      <c r="S6" s="28">
        <v>0</v>
      </c>
      <c r="T6" s="28">
        <v>0</v>
      </c>
      <c r="U6" s="28">
        <v>1</v>
      </c>
      <c r="V6" s="28">
        <v>1</v>
      </c>
      <c r="W6" s="28">
        <v>0</v>
      </c>
      <c r="X6" s="28">
        <v>1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7">
        <f t="shared" si="3"/>
        <v>5</v>
      </c>
      <c r="AH6" s="28">
        <v>998</v>
      </c>
      <c r="AI6" s="28" t="s">
        <v>118</v>
      </c>
      <c r="AJ6" s="28">
        <v>53.2</v>
      </c>
      <c r="AK6" s="28"/>
      <c r="AL6" s="28"/>
      <c r="AM6" s="29" t="s">
        <v>114</v>
      </c>
      <c r="AO6" t="str">
        <f t="shared" si="4"/>
        <v>condoto</v>
      </c>
      <c r="AP6" t="str">
        <f t="shared" si="5"/>
        <v>choco</v>
      </c>
      <c r="AQ6" t="b">
        <f t="shared" si="6"/>
        <v>0</v>
      </c>
      <c r="AR6" t="str">
        <f t="shared" si="7"/>
        <v>condoto</v>
      </c>
      <c r="AS6" s="30">
        <f t="shared" si="8"/>
        <v>0</v>
      </c>
      <c r="AT6" s="30">
        <f t="shared" si="9"/>
        <v>5</v>
      </c>
      <c r="AU6" s="30">
        <f t="shared" si="10"/>
        <v>3</v>
      </c>
      <c r="AV6" s="30">
        <f t="shared" si="11"/>
        <v>3</v>
      </c>
      <c r="AX6" t="s">
        <v>119</v>
      </c>
      <c r="AY6">
        <f>_xlfn.QUARTILE.INC($Y$2:$Y$433,3)</f>
        <v>1</v>
      </c>
      <c r="AZ6" s="31">
        <f t="shared" si="12"/>
        <v>3</v>
      </c>
      <c r="BA6" s="31">
        <f t="shared" si="13"/>
        <v>6</v>
      </c>
      <c r="BB6" s="32">
        <f>IFERROR(INDEX('Análisis general'!$E$4:$E$28,MATCH($B6,'Análisis general'!$B$4:$B$28,0)),"")</f>
        <v>30.8</v>
      </c>
      <c r="BC6" s="31">
        <f t="shared" si="14"/>
        <v>3</v>
      </c>
      <c r="BD6" s="32">
        <f t="shared" si="15"/>
        <v>6.4285714285714279</v>
      </c>
      <c r="BE6" s="32">
        <f t="shared" si="16"/>
        <v>9</v>
      </c>
    </row>
    <row r="7" spans="1:59" ht="25.5" customHeight="1" x14ac:dyDescent="0.25">
      <c r="A7" s="33" t="s">
        <v>120</v>
      </c>
      <c r="B7" s="11" t="s">
        <v>31</v>
      </c>
      <c r="C7" s="34" t="s">
        <v>112</v>
      </c>
      <c r="D7" s="24">
        <f t="shared" si="0"/>
        <v>6</v>
      </c>
      <c r="E7" s="59">
        <f t="shared" si="1"/>
        <v>6.4285714285714279</v>
      </c>
      <c r="F7" s="59">
        <f t="shared" si="2"/>
        <v>9</v>
      </c>
      <c r="G7" s="11" t="s">
        <v>121</v>
      </c>
      <c r="H7" s="25" t="str">
        <f>IFERROR(IF($AQ7,INDEX(cpe!$C$2:$C$307,MATCH($AR7,cpe!$F$2:$F$307,0)),INDEX(cpe!$C$2:$C$307,MATCH($AR7,cpe!$D$2:$D$307,0))),"#N/D")</f>
        <v>#N/D</v>
      </c>
      <c r="I7" s="25" t="str">
        <f>IFERROR(IF($AQ7,INDEX(cpe!$B$2:$B$307,MATCH($AR7,cpe!$F$2:$F$307,0)),INDEX(cpe!$B$2:$B$307,MATCH($AR7,cpe!$D$2:$D$307,0))),"#N/D")</f>
        <v>#N/D</v>
      </c>
      <c r="J7" s="26" t="str">
        <f>IF($AQ7,"#N/D",IFERROR(INDEX(Olimpiadas!$B$2:$B$61,MATCH($AO7,Olimpiadas!$C$2:$C$61,0)),"#N/D"))</f>
        <v>#N/D</v>
      </c>
      <c r="K7" s="26" t="str">
        <f>IF($AQ7,"#N/D",IFERROR(INDEX(Olimpiadas!$A$2:$A$61,MATCH($AO7,Olimpiadas!$C$2:$C$61,0)),"#N/D"))</f>
        <v>#N/D</v>
      </c>
      <c r="L7" s="26" t="str">
        <f>IF($AQ7,"#N/D",IFERROR(INDEX(Minculturas!$A$2:$A$48,MATCH($AO7,Minculturas!$C$2:$C$48,0)),"#N/D"))</f>
        <v>#N/D</v>
      </c>
      <c r="M7" s="26" t="str">
        <f>IF($AQ7,"#N/D",IFERROR(INDEX(Minculturas!$B$2:$B$48,MATCH($AO7,Minculturas!$C$2:$C$48,0)),"#N/D"))</f>
        <v>#N/D</v>
      </c>
      <c r="N7" s="27">
        <v>5</v>
      </c>
      <c r="O7" s="28">
        <v>0</v>
      </c>
      <c r="P7" s="28">
        <v>0</v>
      </c>
      <c r="Q7" s="28">
        <v>0</v>
      </c>
      <c r="R7" s="28">
        <v>1</v>
      </c>
      <c r="S7" s="28">
        <v>0</v>
      </c>
      <c r="T7" s="28">
        <v>0</v>
      </c>
      <c r="U7" s="28">
        <v>2</v>
      </c>
      <c r="V7" s="28">
        <v>1</v>
      </c>
      <c r="W7" s="28">
        <v>0</v>
      </c>
      <c r="X7" s="28">
        <v>1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f t="shared" si="3"/>
        <v>5</v>
      </c>
      <c r="AH7" s="28" t="s">
        <v>122</v>
      </c>
      <c r="AI7" s="28" t="s">
        <v>123</v>
      </c>
      <c r="AJ7" s="28">
        <v>54</v>
      </c>
      <c r="AK7" s="28"/>
      <c r="AL7" s="28"/>
      <c r="AM7" s="29" t="s">
        <v>114</v>
      </c>
      <c r="AO7" t="str">
        <f t="shared" si="4"/>
        <v>el carmen de atrato</v>
      </c>
      <c r="AP7" t="str">
        <f t="shared" si="5"/>
        <v>choco</v>
      </c>
      <c r="AQ7" t="b">
        <f t="shared" si="6"/>
        <v>0</v>
      </c>
      <c r="AR7" t="str">
        <f t="shared" si="7"/>
        <v>el carmen de atrato</v>
      </c>
      <c r="AS7" s="30">
        <f t="shared" si="8"/>
        <v>0</v>
      </c>
      <c r="AT7" s="30">
        <f t="shared" si="9"/>
        <v>5</v>
      </c>
      <c r="AU7" s="30">
        <f t="shared" si="10"/>
        <v>3</v>
      </c>
      <c r="AV7" s="30">
        <f t="shared" si="11"/>
        <v>3</v>
      </c>
      <c r="AZ7" s="31">
        <f t="shared" si="12"/>
        <v>3</v>
      </c>
      <c r="BA7" s="31">
        <f t="shared" si="13"/>
        <v>6</v>
      </c>
      <c r="BB7" s="32">
        <f>IFERROR(INDEX('Análisis general'!$E$4:$E$28,MATCH($B7,'Análisis general'!$B$4:$B$28,0)),"")</f>
        <v>30.8</v>
      </c>
      <c r="BC7" s="31">
        <f t="shared" si="14"/>
        <v>3</v>
      </c>
      <c r="BD7" s="32">
        <f t="shared" si="15"/>
        <v>6.4285714285714279</v>
      </c>
      <c r="BE7" s="32">
        <f t="shared" si="16"/>
        <v>9</v>
      </c>
    </row>
    <row r="8" spans="1:59" ht="25.5" customHeight="1" x14ac:dyDescent="0.25">
      <c r="A8" s="33" t="s">
        <v>131</v>
      </c>
      <c r="B8" s="11" t="s">
        <v>37</v>
      </c>
      <c r="C8" s="34" t="s">
        <v>112</v>
      </c>
      <c r="D8" s="24">
        <f t="shared" si="0"/>
        <v>8</v>
      </c>
      <c r="E8" s="59">
        <f t="shared" si="1"/>
        <v>8.1428571428571423</v>
      </c>
      <c r="F8" s="59">
        <f t="shared" si="2"/>
        <v>9</v>
      </c>
      <c r="G8" s="11" t="s">
        <v>132</v>
      </c>
      <c r="H8" s="25" t="str">
        <f>IFERROR(IF($AQ8,INDEX(cpe!$C$2:$C$307,MATCH($AR8,cpe!$F$2:$F$307,0)),INDEX(cpe!$C$2:$C$307,MATCH($AR8,cpe!$D$2:$D$307,0))),"#N/D")</f>
        <v>Centro Etnoeducativo No. 21 Aralia</v>
      </c>
      <c r="I8" s="25" t="str">
        <f>IFERROR(IF($AQ8,INDEX(cpe!$B$2:$B$307,MATCH($AR8,cpe!$F$2:$F$307,0)),INDEX(cpe!$B$2:$B$307,MATCH($AR8,cpe!$D$2:$D$307,0))),"#N/D")</f>
        <v>Garzón</v>
      </c>
      <c r="J8" s="26" t="str">
        <f>IF($AQ8,"#N/D",IFERROR(INDEX(Olimpiadas!$B$2:$B$61,MATCH($AO8,Olimpiadas!$C$2:$C$61,0)),"#N/D"))</f>
        <v>Garzón</v>
      </c>
      <c r="K8" s="26" t="str">
        <f>IF($AQ8,"#N/D",IFERROR(INDEX(Olimpiadas!$A$2:$A$61,MATCH($AO8,Olimpiadas!$C$2:$C$61,0)),"#N/D"))</f>
        <v>INSTITUCIÓN EDUCATIVA TULIO ARBELÁEZ</v>
      </c>
      <c r="L8" s="26" t="str">
        <f>IF($AQ8,"#N/D",IFERROR(INDEX(Minculturas!$A$2:$A$48,MATCH($AO8,Minculturas!$C$2:$C$48,0)),"#N/D"))</f>
        <v>#N/D</v>
      </c>
      <c r="M8" s="26" t="str">
        <f>IF($AQ8,"#N/D",IFERROR(INDEX(Minculturas!$B$2:$B$48,MATCH($AO8,Minculturas!$C$2:$C$48,0)),"#N/D"))</f>
        <v>#N/D</v>
      </c>
      <c r="N8" s="27">
        <v>5</v>
      </c>
      <c r="O8" s="28">
        <v>0</v>
      </c>
      <c r="P8" s="28">
        <v>1</v>
      </c>
      <c r="Q8" s="28">
        <v>0</v>
      </c>
      <c r="R8" s="28">
        <v>0</v>
      </c>
      <c r="S8" s="28">
        <v>4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7">
        <f t="shared" si="3"/>
        <v>5</v>
      </c>
      <c r="AH8" s="28"/>
      <c r="AI8" s="28"/>
      <c r="AJ8" s="28">
        <v>32</v>
      </c>
      <c r="AK8" s="28"/>
      <c r="AL8" s="28"/>
      <c r="AM8" s="29" t="s">
        <v>114</v>
      </c>
      <c r="AO8" t="str">
        <f t="shared" si="4"/>
        <v>garzon</v>
      </c>
      <c r="AP8" t="str">
        <f t="shared" si="5"/>
        <v>huila</v>
      </c>
      <c r="AQ8" t="b">
        <f t="shared" si="6"/>
        <v>0</v>
      </c>
      <c r="AR8" t="str">
        <f t="shared" si="7"/>
        <v>garzon</v>
      </c>
      <c r="AS8" s="30">
        <f t="shared" si="8"/>
        <v>2</v>
      </c>
      <c r="AT8" s="30">
        <f t="shared" si="9"/>
        <v>5</v>
      </c>
      <c r="AU8" s="30">
        <f t="shared" si="10"/>
        <v>3</v>
      </c>
      <c r="AV8" s="30">
        <f t="shared" si="11"/>
        <v>3</v>
      </c>
      <c r="AX8" t="s">
        <v>115</v>
      </c>
      <c r="AY8">
        <f>_xlfn.QUARTILE.INC($AT$2:$AT$433,1)</f>
        <v>0</v>
      </c>
      <c r="AZ8" s="31">
        <f t="shared" si="12"/>
        <v>3</v>
      </c>
      <c r="BA8" s="31">
        <f t="shared" si="13"/>
        <v>8</v>
      </c>
      <c r="BB8" s="32">
        <f>IFERROR(INDEX('Análisis general'!$E$4:$E$28,MATCH($B8,'Análisis general'!$B$4:$B$28,0)),"")</f>
        <v>9.6999999999999993</v>
      </c>
      <c r="BC8" s="31">
        <f t="shared" si="14"/>
        <v>3</v>
      </c>
      <c r="BD8" s="32">
        <f t="shared" si="15"/>
        <v>8.1428571428571423</v>
      </c>
      <c r="BE8" s="32">
        <f t="shared" si="16"/>
        <v>9</v>
      </c>
      <c r="BF8" t="s">
        <v>110</v>
      </c>
      <c r="BG8">
        <f>_xlfn.QUARTILE.INC($BB$2:$BB$433,1)</f>
        <v>4.9000000000000004</v>
      </c>
    </row>
    <row r="9" spans="1:59" ht="25.5" customHeight="1" x14ac:dyDescent="0.25">
      <c r="A9" s="33" t="s">
        <v>133</v>
      </c>
      <c r="B9" s="11" t="s">
        <v>37</v>
      </c>
      <c r="C9" s="34" t="s">
        <v>112</v>
      </c>
      <c r="D9" s="24">
        <f t="shared" si="0"/>
        <v>8</v>
      </c>
      <c r="E9" s="59">
        <f t="shared" si="1"/>
        <v>8.1428571428571423</v>
      </c>
      <c r="F9" s="59">
        <f t="shared" si="2"/>
        <v>9</v>
      </c>
      <c r="G9" s="11" t="s">
        <v>134</v>
      </c>
      <c r="H9" s="25" t="str">
        <f>IFERROR(IF($AQ9,INDEX(cpe!$C$2:$C$307,MATCH($AR9,cpe!$F$2:$F$307,0)),INDEX(cpe!$C$2:$C$307,MATCH($AR9,cpe!$D$2:$D$307,0))),"#N/D")</f>
        <v>Institucion Educativa Zaragoza Tamarindo</v>
      </c>
      <c r="I9" s="25" t="str">
        <f>IFERROR(IF($AQ9,INDEX(cpe!$B$2:$B$307,MATCH($AR9,cpe!$F$2:$F$307,0)),INDEX(cpe!$B$2:$B$307,MATCH($AR9,cpe!$D$2:$D$307,0))),"#N/D")</f>
        <v>La Plata</v>
      </c>
      <c r="J9" s="26" t="str">
        <f>IF($AQ9,"#N/D",IFERROR(INDEX(Olimpiadas!$B$2:$B$61,MATCH($AO9,Olimpiadas!$C$2:$C$61,0)),"#N/D"))</f>
        <v>La Plata</v>
      </c>
      <c r="K9" s="26" t="str">
        <f>IF($AQ9,"#N/D",IFERROR(INDEX(Olimpiadas!$A$2:$A$61,MATCH($AO9,Olimpiadas!$C$2:$C$61,0)),"#N/D"))</f>
        <v>INSTITUCIÓN EDUCATIVA EL CARMELO</v>
      </c>
      <c r="L9" s="26" t="str">
        <f>IF($AQ9,"#N/D",IFERROR(INDEX(Minculturas!$A$2:$A$48,MATCH($AO9,Minculturas!$C$2:$C$48,0)),"#N/D"))</f>
        <v>#N/D</v>
      </c>
      <c r="M9" s="26" t="str">
        <f>IF($AQ9,"#N/D",IFERROR(INDEX(Minculturas!$B$2:$B$48,MATCH($AO9,Minculturas!$C$2:$C$48,0)),"#N/D"))</f>
        <v>#N/D</v>
      </c>
      <c r="N9" s="27">
        <v>5</v>
      </c>
      <c r="O9" s="28">
        <v>0</v>
      </c>
      <c r="P9" s="28">
        <v>0</v>
      </c>
      <c r="Q9" s="28">
        <v>3</v>
      </c>
      <c r="R9" s="28">
        <v>0</v>
      </c>
      <c r="S9" s="28">
        <v>2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7">
        <f t="shared" si="3"/>
        <v>5</v>
      </c>
      <c r="AH9" s="28" t="s">
        <v>135</v>
      </c>
      <c r="AI9" s="28" t="s">
        <v>136</v>
      </c>
      <c r="AJ9" s="28">
        <v>42.5</v>
      </c>
      <c r="AK9" s="28"/>
      <c r="AL9" s="28"/>
      <c r="AM9" s="29" t="s">
        <v>114</v>
      </c>
      <c r="AO9" t="str">
        <f t="shared" si="4"/>
        <v>la plata</v>
      </c>
      <c r="AP9" t="str">
        <f t="shared" si="5"/>
        <v>huila</v>
      </c>
      <c r="AQ9" t="b">
        <f t="shared" si="6"/>
        <v>0</v>
      </c>
      <c r="AR9" t="str">
        <f t="shared" si="7"/>
        <v>la plata</v>
      </c>
      <c r="AS9" s="30">
        <f t="shared" si="8"/>
        <v>2</v>
      </c>
      <c r="AT9" s="30">
        <f t="shared" si="9"/>
        <v>5</v>
      </c>
      <c r="AU9" s="30">
        <f t="shared" si="10"/>
        <v>3</v>
      </c>
      <c r="AV9" s="30">
        <f t="shared" si="11"/>
        <v>3</v>
      </c>
      <c r="AX9" t="s">
        <v>119</v>
      </c>
      <c r="AY9">
        <f>_xlfn.QUARTILE.INC($AT$2:$AT$433,2)</f>
        <v>1</v>
      </c>
      <c r="AZ9" s="31">
        <f t="shared" si="12"/>
        <v>3</v>
      </c>
      <c r="BA9" s="31">
        <f t="shared" si="13"/>
        <v>8</v>
      </c>
      <c r="BB9" s="32">
        <f>IFERROR(INDEX('Análisis general'!$E$4:$E$28,MATCH($B9,'Análisis general'!$B$4:$B$28,0)),"")</f>
        <v>9.6999999999999993</v>
      </c>
      <c r="BC9" s="31">
        <f t="shared" si="14"/>
        <v>3</v>
      </c>
      <c r="BD9" s="32">
        <f t="shared" si="15"/>
        <v>8.1428571428571423</v>
      </c>
      <c r="BE9" s="32">
        <f t="shared" si="16"/>
        <v>9</v>
      </c>
      <c r="BF9" t="s">
        <v>115</v>
      </c>
      <c r="BG9">
        <f>_xlfn.QUARTILE.INC($BB$2:$BB$433,2)</f>
        <v>9.5</v>
      </c>
    </row>
    <row r="10" spans="1:59" ht="25.5" customHeight="1" x14ac:dyDescent="0.25">
      <c r="A10" s="33" t="s">
        <v>137</v>
      </c>
      <c r="B10" s="11" t="s">
        <v>48</v>
      </c>
      <c r="C10" s="34" t="s">
        <v>112</v>
      </c>
      <c r="D10" s="24">
        <f t="shared" si="0"/>
        <v>7</v>
      </c>
      <c r="E10" s="59">
        <f t="shared" si="1"/>
        <v>7.2857142857142856</v>
      </c>
      <c r="F10" s="59">
        <f t="shared" si="2"/>
        <v>9</v>
      </c>
      <c r="G10" s="11" t="s">
        <v>138</v>
      </c>
      <c r="H10" s="25" t="str">
        <f>IFERROR(IF($AQ10,INDEX(cpe!$C$2:$C$307,MATCH($AR10,cpe!$F$2:$F$307,0)),INDEX(cpe!$C$2:$C$307,MATCH($AR10,cpe!$D$2:$D$307,0))),"#N/D")</f>
        <v>Institucion Educativa Distrital Jose Eusebio Caro Colcaro</v>
      </c>
      <c r="I10" s="25" t="str">
        <f>IFERROR(IF($AQ10,INDEX(cpe!$B$2:$B$307,MATCH($AR10,cpe!$F$2:$F$307,0)),INDEX(cpe!$B$2:$B$307,MATCH($AR10,cpe!$D$2:$D$307,0))),"#N/D")</f>
        <v>Cajamarca</v>
      </c>
      <c r="J10" s="26" t="str">
        <f>IF($AQ10,"#N/D",IFERROR(INDEX(Olimpiadas!$B$2:$B$61,MATCH($AO10,Olimpiadas!$C$2:$C$61,0)),"#N/D"))</f>
        <v>#N/D</v>
      </c>
      <c r="K10" s="26" t="str">
        <f>IF($AQ10,"#N/D",IFERROR(INDEX(Olimpiadas!$A$2:$A$61,MATCH($AO10,Olimpiadas!$C$2:$C$61,0)),"#N/D"))</f>
        <v>#N/D</v>
      </c>
      <c r="L10" s="26" t="str">
        <f>IF($AQ10,"#N/D",IFERROR(INDEX(Minculturas!$A$2:$A$48,MATCH($AO10,Minculturas!$C$2:$C$48,0)),"#N/D"))</f>
        <v>#N/D</v>
      </c>
      <c r="M10" s="26" t="str">
        <f>IF($AQ10,"#N/D",IFERROR(INDEX(Minculturas!$B$2:$B$48,MATCH($AO10,Minculturas!$C$2:$C$48,0)),"#N/D"))</f>
        <v>#N/D</v>
      </c>
      <c r="N10" s="27">
        <v>7</v>
      </c>
      <c r="O10" s="28">
        <v>0</v>
      </c>
      <c r="P10" s="28">
        <v>0</v>
      </c>
      <c r="Q10" s="28">
        <v>1</v>
      </c>
      <c r="R10" s="28">
        <v>0</v>
      </c>
      <c r="S10" s="28">
        <v>0</v>
      </c>
      <c r="T10" s="28">
        <v>1</v>
      </c>
      <c r="U10" s="28">
        <v>1</v>
      </c>
      <c r="V10" s="28">
        <v>2</v>
      </c>
      <c r="W10" s="28">
        <v>2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7">
        <f t="shared" si="3"/>
        <v>7</v>
      </c>
      <c r="AH10" s="28"/>
      <c r="AI10" s="28"/>
      <c r="AJ10" s="28">
        <v>36.200000000000003</v>
      </c>
      <c r="AK10" s="28"/>
      <c r="AL10" s="28"/>
      <c r="AM10" s="29" t="s">
        <v>114</v>
      </c>
      <c r="AO10" t="str">
        <f t="shared" si="4"/>
        <v>cajamarca</v>
      </c>
      <c r="AP10" t="str">
        <f t="shared" si="5"/>
        <v>tolima</v>
      </c>
      <c r="AQ10" t="b">
        <f t="shared" si="6"/>
        <v>0</v>
      </c>
      <c r="AR10" t="str">
        <f t="shared" si="7"/>
        <v>cajamarca</v>
      </c>
      <c r="AS10" s="30">
        <f t="shared" si="8"/>
        <v>1</v>
      </c>
      <c r="AT10" s="30">
        <f t="shared" si="9"/>
        <v>7</v>
      </c>
      <c r="AU10" s="30">
        <f t="shared" si="10"/>
        <v>3</v>
      </c>
      <c r="AV10" s="30">
        <f t="shared" si="11"/>
        <v>3</v>
      </c>
      <c r="AZ10" s="31">
        <f t="shared" si="12"/>
        <v>3</v>
      </c>
      <c r="BA10" s="31">
        <f t="shared" si="13"/>
        <v>7</v>
      </c>
      <c r="BB10" s="32">
        <f>IFERROR(INDEX('Análisis general'!$E$4:$E$28,MATCH($B10,'Análisis general'!$B$4:$B$28,0)),"")</f>
        <v>12.2</v>
      </c>
      <c r="BC10" s="31">
        <f t="shared" si="14"/>
        <v>3</v>
      </c>
      <c r="BD10" s="32">
        <f t="shared" si="15"/>
        <v>7.2857142857142856</v>
      </c>
      <c r="BE10" s="32">
        <f t="shared" si="16"/>
        <v>9</v>
      </c>
    </row>
    <row r="11" spans="1:59" ht="25.5" customHeight="1" x14ac:dyDescent="0.25">
      <c r="A11" s="33" t="s">
        <v>139</v>
      </c>
      <c r="B11" s="11" t="s">
        <v>48</v>
      </c>
      <c r="C11" s="34" t="s">
        <v>112</v>
      </c>
      <c r="D11" s="24">
        <f t="shared" si="0"/>
        <v>7</v>
      </c>
      <c r="E11" s="59">
        <f t="shared" si="1"/>
        <v>7.2857142857142856</v>
      </c>
      <c r="F11" s="59">
        <f t="shared" si="2"/>
        <v>9</v>
      </c>
      <c r="G11" s="11" t="s">
        <v>140</v>
      </c>
      <c r="H11" s="25" t="s">
        <v>141</v>
      </c>
      <c r="I11" s="25" t="s">
        <v>140</v>
      </c>
      <c r="J11" s="26" t="s">
        <v>106</v>
      </c>
      <c r="K11" s="26" t="str">
        <f>IF($AQ11,"#N/D",IFERROR(INDEX(Olimpiadas!$A$2:$A$61,MATCH($AO11,Olimpiadas!$C$2:$C$61,0)),"#N/D"))</f>
        <v>#N/D</v>
      </c>
      <c r="L11" s="26" t="str">
        <f>IF($AQ11,"#N/D",IFERROR(INDEX(Minculturas!$A$2:$A$48,MATCH($AO11,Minculturas!$C$2:$C$48,0)),"#N/D"))</f>
        <v>#N/D</v>
      </c>
      <c r="M11" s="26" t="str">
        <f>IF($AQ11,"#N/D",IFERROR(INDEX(Minculturas!$B$2:$B$48,MATCH($AO11,Minculturas!$C$2:$C$48,0)),"#N/D"))</f>
        <v>#N/D</v>
      </c>
      <c r="N11" s="27">
        <v>5</v>
      </c>
      <c r="O11" s="28">
        <v>0</v>
      </c>
      <c r="P11" s="28">
        <v>0</v>
      </c>
      <c r="Q11" s="28">
        <v>1</v>
      </c>
      <c r="R11" s="28">
        <v>1</v>
      </c>
      <c r="S11" s="28">
        <v>2</v>
      </c>
      <c r="T11" s="28">
        <v>0</v>
      </c>
      <c r="U11" s="28">
        <v>0</v>
      </c>
      <c r="V11" s="28">
        <v>1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f t="shared" si="3"/>
        <v>5</v>
      </c>
      <c r="AH11" s="28"/>
      <c r="AI11" s="28"/>
      <c r="AJ11" s="28">
        <v>39.4</v>
      </c>
      <c r="AK11" s="28"/>
      <c r="AL11" s="28"/>
      <c r="AM11" s="29" t="s">
        <v>114</v>
      </c>
      <c r="AO11" t="str">
        <f t="shared" si="4"/>
        <v>san luis</v>
      </c>
      <c r="AP11" t="str">
        <f t="shared" si="5"/>
        <v>tolima</v>
      </c>
      <c r="AQ11" t="b">
        <f t="shared" si="6"/>
        <v>1</v>
      </c>
      <c r="AR11" t="str">
        <f t="shared" si="7"/>
        <v>san luis|tolima</v>
      </c>
      <c r="AS11" s="30">
        <f t="shared" si="8"/>
        <v>1</v>
      </c>
      <c r="AT11" s="30">
        <f t="shared" si="9"/>
        <v>5</v>
      </c>
      <c r="AU11" s="30">
        <f t="shared" si="10"/>
        <v>3</v>
      </c>
      <c r="AV11" s="30">
        <f t="shared" si="11"/>
        <v>3</v>
      </c>
      <c r="AZ11" s="31">
        <f t="shared" si="12"/>
        <v>3</v>
      </c>
      <c r="BA11" s="31">
        <f t="shared" si="13"/>
        <v>7</v>
      </c>
      <c r="BB11" s="32">
        <f>IFERROR(INDEX('Análisis general'!$E$4:$E$28,MATCH($B11,'Análisis general'!$B$4:$B$28,0)),"")</f>
        <v>12.2</v>
      </c>
      <c r="BC11" s="31">
        <f t="shared" si="14"/>
        <v>3</v>
      </c>
      <c r="BD11" s="32">
        <f t="shared" si="15"/>
        <v>7.2857142857142856</v>
      </c>
      <c r="BE11" s="32">
        <f t="shared" si="16"/>
        <v>9</v>
      </c>
    </row>
    <row r="12" spans="1:59" ht="25.5" customHeight="1" x14ac:dyDescent="0.25">
      <c r="A12" s="33" t="s">
        <v>144</v>
      </c>
      <c r="B12" s="11" t="s">
        <v>37</v>
      </c>
      <c r="C12" s="34" t="s">
        <v>112</v>
      </c>
      <c r="D12" s="24">
        <f t="shared" si="0"/>
        <v>6</v>
      </c>
      <c r="E12" s="59">
        <f t="shared" si="1"/>
        <v>6.4285714285714279</v>
      </c>
      <c r="F12" s="59">
        <f t="shared" si="2"/>
        <v>9</v>
      </c>
      <c r="G12" s="11" t="s">
        <v>145</v>
      </c>
      <c r="H12" s="25" t="s">
        <v>106</v>
      </c>
      <c r="I12" s="25" t="s">
        <v>106</v>
      </c>
      <c r="J12" s="26" t="s">
        <v>106</v>
      </c>
      <c r="K12" s="26" t="str">
        <f>IF($AQ12,"#N/D",IFERROR(INDEX(Olimpiadas!$A$2:$A$61,MATCH($AO12,Olimpiadas!$C$2:$C$61,0)),"#N/D"))</f>
        <v>#N/D</v>
      </c>
      <c r="L12" s="26" t="str">
        <f>IF($AQ12,"#N/D",IFERROR(INDEX(Minculturas!$A$2:$A$48,MATCH($AO12,Minculturas!$C$2:$C$48,0)),"#N/D"))</f>
        <v>#N/D</v>
      </c>
      <c r="M12" s="26" t="str">
        <f>IF($AQ12,"#N/D",IFERROR(INDEX(Minculturas!$B$2:$B$48,MATCH($AO12,Minculturas!$C$2:$C$48,0)),"#N/D"))</f>
        <v>#N/D</v>
      </c>
      <c r="N12" s="27">
        <v>8</v>
      </c>
      <c r="O12" s="28">
        <v>0</v>
      </c>
      <c r="P12" s="28">
        <v>0</v>
      </c>
      <c r="Q12" s="28">
        <v>2</v>
      </c>
      <c r="R12" s="28">
        <v>1</v>
      </c>
      <c r="S12" s="28">
        <v>4</v>
      </c>
      <c r="T12" s="28">
        <v>0</v>
      </c>
      <c r="U12" s="28">
        <v>0</v>
      </c>
      <c r="V12" s="28">
        <v>1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7">
        <f t="shared" si="3"/>
        <v>8</v>
      </c>
      <c r="AH12" s="28" t="s">
        <v>146</v>
      </c>
      <c r="AI12" s="28" t="s">
        <v>147</v>
      </c>
      <c r="AJ12" s="28">
        <v>44.5</v>
      </c>
      <c r="AK12" s="28"/>
      <c r="AL12" s="28"/>
      <c r="AM12" s="29" t="s">
        <v>114</v>
      </c>
      <c r="AO12" t="str">
        <f t="shared" si="4"/>
        <v>tello</v>
      </c>
      <c r="AP12" t="str">
        <f t="shared" si="5"/>
        <v>huila</v>
      </c>
      <c r="AQ12" t="b">
        <f t="shared" si="6"/>
        <v>0</v>
      </c>
      <c r="AR12" t="str">
        <f t="shared" si="7"/>
        <v>tello</v>
      </c>
      <c r="AS12" s="30">
        <f t="shared" si="8"/>
        <v>0</v>
      </c>
      <c r="AT12" s="30">
        <f t="shared" si="9"/>
        <v>8</v>
      </c>
      <c r="AU12" s="30">
        <f t="shared" si="10"/>
        <v>3</v>
      </c>
      <c r="AV12" s="30">
        <f t="shared" si="11"/>
        <v>3</v>
      </c>
      <c r="AZ12" s="31">
        <f t="shared" si="12"/>
        <v>3</v>
      </c>
      <c r="BA12" s="31">
        <f t="shared" si="13"/>
        <v>6</v>
      </c>
      <c r="BB12" s="32">
        <f>IFERROR(INDEX('Análisis general'!$E$4:$E$28,MATCH($B12,'Análisis general'!$B$4:$B$28,0)),"")</f>
        <v>9.6999999999999993</v>
      </c>
      <c r="BC12" s="31">
        <f t="shared" si="14"/>
        <v>3</v>
      </c>
      <c r="BD12" s="32">
        <f t="shared" si="15"/>
        <v>6.4285714285714279</v>
      </c>
      <c r="BE12" s="32">
        <f t="shared" si="16"/>
        <v>9</v>
      </c>
    </row>
    <row r="13" spans="1:59" ht="25.5" customHeight="1" x14ac:dyDescent="0.25">
      <c r="A13" s="33" t="s">
        <v>142</v>
      </c>
      <c r="B13" s="11" t="s">
        <v>37</v>
      </c>
      <c r="C13" s="34" t="s">
        <v>112</v>
      </c>
      <c r="D13" s="24">
        <f t="shared" si="0"/>
        <v>6</v>
      </c>
      <c r="E13" s="59">
        <f t="shared" si="1"/>
        <v>6.4285714285714279</v>
      </c>
      <c r="F13" s="59">
        <f t="shared" si="2"/>
        <v>9</v>
      </c>
      <c r="G13" s="11" t="s">
        <v>143</v>
      </c>
      <c r="H13" s="25" t="str">
        <f>IFERROR(IF($AQ13,INDEX(cpe!$C$2:$C$307,MATCH($AR13,cpe!$F$2:$F$307,0)),INDEX(cpe!$C$2:$C$307,MATCH($AR13,cpe!$D$2:$D$307,0))),"#N/D")</f>
        <v>#N/D</v>
      </c>
      <c r="I13" s="25" t="str">
        <f>IFERROR(IF($AQ13,INDEX(cpe!$B$2:$B$307,MATCH($AR13,cpe!$F$2:$F$307,0)),INDEX(cpe!$B$2:$B$307,MATCH($AR13,cpe!$D$2:$D$307,0))),"#N/D")</f>
        <v>#N/D</v>
      </c>
      <c r="J13" s="26" t="str">
        <f>IF($AQ13,"#N/D",IFERROR(INDEX(Olimpiadas!$B$2:$B$61,MATCH($AO13,Olimpiadas!$C$2:$C$61,0)),"#N/D"))</f>
        <v>#N/D</v>
      </c>
      <c r="K13" s="26" t="str">
        <f>IF($AQ13,"#N/D",IFERROR(INDEX(Olimpiadas!$A$2:$A$61,MATCH($AO13,Olimpiadas!$C$2:$C$61,0)),"#N/D"))</f>
        <v>#N/D</v>
      </c>
      <c r="L13" s="26" t="str">
        <f>IF($AQ13,"#N/D",IFERROR(INDEX(Minculturas!$A$2:$A$48,MATCH($AO13,Minculturas!$C$2:$C$48,0)),"#N/D"))</f>
        <v>#N/D</v>
      </c>
      <c r="M13" s="26" t="str">
        <f>IF($AQ13,"#N/D",IFERROR(INDEX(Minculturas!$B$2:$B$48,MATCH($AO13,Minculturas!$C$2:$C$48,0)),"#N/D"))</f>
        <v>#N/D</v>
      </c>
      <c r="N13" s="27">
        <v>5</v>
      </c>
      <c r="O13" s="28">
        <v>0</v>
      </c>
      <c r="P13" s="28">
        <v>1</v>
      </c>
      <c r="Q13" s="28">
        <v>0</v>
      </c>
      <c r="R13" s="28">
        <v>1</v>
      </c>
      <c r="S13" s="28">
        <v>3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7">
        <f t="shared" si="3"/>
        <v>5</v>
      </c>
      <c r="AH13" s="28"/>
      <c r="AI13" s="28"/>
      <c r="AJ13" s="28">
        <v>49.4</v>
      </c>
      <c r="AK13" s="28"/>
      <c r="AL13" s="28"/>
      <c r="AM13" s="29" t="s">
        <v>114</v>
      </c>
      <c r="AO13" t="str">
        <f t="shared" si="4"/>
        <v>baraya</v>
      </c>
      <c r="AP13" t="str">
        <f t="shared" si="5"/>
        <v>huila</v>
      </c>
      <c r="AQ13" t="b">
        <f t="shared" si="6"/>
        <v>0</v>
      </c>
      <c r="AR13" t="str">
        <f t="shared" si="7"/>
        <v>baraya</v>
      </c>
      <c r="AS13" s="30">
        <f t="shared" si="8"/>
        <v>0</v>
      </c>
      <c r="AT13" s="30">
        <f t="shared" si="9"/>
        <v>5</v>
      </c>
      <c r="AU13" s="30">
        <f t="shared" si="10"/>
        <v>3</v>
      </c>
      <c r="AV13" s="30">
        <f t="shared" si="11"/>
        <v>3</v>
      </c>
      <c r="AZ13" s="31">
        <f t="shared" si="12"/>
        <v>3</v>
      </c>
      <c r="BA13" s="31">
        <f t="shared" si="13"/>
        <v>6</v>
      </c>
      <c r="BB13" s="32">
        <f>IFERROR(INDEX('Análisis general'!$E$4:$E$28,MATCH($B13,'Análisis general'!$B$4:$B$28,0)),"")</f>
        <v>9.6999999999999993</v>
      </c>
      <c r="BC13" s="31">
        <f t="shared" si="14"/>
        <v>3</v>
      </c>
      <c r="BD13" s="32">
        <f t="shared" si="15"/>
        <v>6.4285714285714279</v>
      </c>
      <c r="BE13" s="32">
        <f t="shared" si="16"/>
        <v>9</v>
      </c>
    </row>
    <row r="14" spans="1:59" ht="25.5" customHeight="1" x14ac:dyDescent="0.25">
      <c r="A14" s="33" t="s">
        <v>148</v>
      </c>
      <c r="B14" s="11" t="s">
        <v>41</v>
      </c>
      <c r="C14" s="34" t="s">
        <v>112</v>
      </c>
      <c r="D14" s="24">
        <f t="shared" si="0"/>
        <v>8</v>
      </c>
      <c r="E14" s="59">
        <f t="shared" si="1"/>
        <v>8.1428571428571423</v>
      </c>
      <c r="F14" s="59">
        <f t="shared" si="2"/>
        <v>9</v>
      </c>
      <c r="G14" s="11" t="s">
        <v>149</v>
      </c>
      <c r="H14" s="25" t="s">
        <v>150</v>
      </c>
      <c r="I14" s="25" t="s">
        <v>149</v>
      </c>
      <c r="J14" s="26" t="s">
        <v>149</v>
      </c>
      <c r="K14" s="26" t="str">
        <f>IF($AQ14,"#N/D",IFERROR(INDEX(Olimpiadas!$A$2:$A$61,MATCH($AO14,Olimpiadas!$C$2:$C$61,0)),"#N/D"))</f>
        <v>INSTITUCIÓN EDUCATIVA SANTA TERESITA</v>
      </c>
      <c r="L14" s="26" t="str">
        <f>IF($AQ14,"#N/D",IFERROR(INDEX(Minculturas!$A$2:$A$48,MATCH($AO14,Minculturas!$C$2:$C$48,0)),"#N/D"))</f>
        <v>#N/D</v>
      </c>
      <c r="M14" s="26" t="str">
        <f>IF($AQ14,"#N/D",IFERROR(INDEX(Minculturas!$B$2:$B$48,MATCH($AO14,Minculturas!$C$2:$C$48,0)),"#N/D"))</f>
        <v>#N/D</v>
      </c>
      <c r="N14" s="27">
        <v>3</v>
      </c>
      <c r="O14" s="28">
        <v>0</v>
      </c>
      <c r="P14" s="28">
        <v>2</v>
      </c>
      <c r="Q14" s="28">
        <v>0</v>
      </c>
      <c r="R14" s="28">
        <v>0</v>
      </c>
      <c r="S14" s="28">
        <v>0</v>
      </c>
      <c r="T14" s="28">
        <v>0</v>
      </c>
      <c r="U14" s="28">
        <v>1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7">
        <f t="shared" si="3"/>
        <v>3</v>
      </c>
      <c r="AH14" s="28"/>
      <c r="AI14" s="28"/>
      <c r="AJ14" s="28">
        <v>53.7</v>
      </c>
      <c r="AK14" s="28"/>
      <c r="AL14" s="28"/>
      <c r="AM14" s="29" t="s">
        <v>114</v>
      </c>
      <c r="AO14" t="str">
        <f t="shared" si="4"/>
        <v>tumaco</v>
      </c>
      <c r="AP14" t="str">
        <f t="shared" si="5"/>
        <v>narino</v>
      </c>
      <c r="AQ14" t="b">
        <f t="shared" si="6"/>
        <v>0</v>
      </c>
      <c r="AR14" t="str">
        <f t="shared" si="7"/>
        <v>tumaco</v>
      </c>
      <c r="AS14" s="30">
        <f t="shared" si="8"/>
        <v>2</v>
      </c>
      <c r="AT14" s="30">
        <f t="shared" si="9"/>
        <v>3</v>
      </c>
      <c r="AU14" s="30">
        <f t="shared" si="10"/>
        <v>3</v>
      </c>
      <c r="AV14" s="30">
        <f t="shared" si="11"/>
        <v>3</v>
      </c>
      <c r="AY14">
        <f>_xlfn.QUARTILE.INC($AT$2:$AT$433,3)</f>
        <v>4</v>
      </c>
      <c r="AZ14" s="31">
        <f t="shared" si="12"/>
        <v>3</v>
      </c>
      <c r="BA14" s="31">
        <f t="shared" si="13"/>
        <v>8</v>
      </c>
      <c r="BB14" s="32">
        <f>IFERROR(INDEX('Análisis general'!$E$4:$E$28,MATCH($B14,'Análisis general'!$B$4:$B$28,0)),"")</f>
        <v>13.2</v>
      </c>
      <c r="BC14" s="31">
        <f t="shared" si="14"/>
        <v>3</v>
      </c>
      <c r="BD14" s="32">
        <f t="shared" si="15"/>
        <v>8.1428571428571423</v>
      </c>
      <c r="BE14" s="32">
        <f t="shared" si="16"/>
        <v>9</v>
      </c>
      <c r="BF14" t="s">
        <v>119</v>
      </c>
      <c r="BG14">
        <f>_xlfn.QUARTILE.INC($BB$2:$BB$433,3)</f>
        <v>12.2</v>
      </c>
    </row>
    <row r="15" spans="1:59" ht="25.5" customHeight="1" x14ac:dyDescent="0.25">
      <c r="A15" s="33" t="s">
        <v>151</v>
      </c>
      <c r="B15" s="11" t="s">
        <v>46</v>
      </c>
      <c r="C15" s="34" t="s">
        <v>112</v>
      </c>
      <c r="D15" s="24">
        <f t="shared" si="0"/>
        <v>7</v>
      </c>
      <c r="E15" s="59">
        <f t="shared" si="1"/>
        <v>7.2857142857142856</v>
      </c>
      <c r="F15" s="59">
        <f t="shared" si="2"/>
        <v>9</v>
      </c>
      <c r="G15" s="11" t="s">
        <v>152</v>
      </c>
      <c r="H15" s="25" t="str">
        <f>IFERROR(IF($AQ15,INDEX(cpe!$C$2:$C$307,MATCH($AR15,cpe!$F$2:$F$307,0)),INDEX(cpe!$C$2:$C$307,MATCH($AR15,cpe!$D$2:$D$307,0))),"#N/D")</f>
        <v>Institucion Educativa Tecnica Maria Inmaculada de Pital de Megua</v>
      </c>
      <c r="I15" s="25" t="str">
        <f>IFERROR(IF($AQ15,INDEX(cpe!$B$2:$B$307,MATCH($AR15,cpe!$F$2:$F$307,0)),INDEX(cpe!$B$2:$B$307,MATCH($AR15,cpe!$D$2:$D$307,0))),"#N/D")</f>
        <v>Barrancabermeja</v>
      </c>
      <c r="J15" s="26" t="str">
        <f>IF($AQ15,"#N/D",IFERROR(INDEX(Olimpiadas!$B$2:$B$61,MATCH($AO15,Olimpiadas!$C$2:$C$61,0)),"#N/D"))</f>
        <v>#N/D</v>
      </c>
      <c r="K15" s="26" t="str">
        <f>IF($AQ15,"#N/D",IFERROR(INDEX(Olimpiadas!$A$2:$A$61,MATCH($AO15,Olimpiadas!$C$2:$C$61,0)),"#N/D"))</f>
        <v>#N/D</v>
      </c>
      <c r="L15" s="26" t="str">
        <f>IF($AQ15,"#N/D",IFERROR(INDEX(Minculturas!$A$2:$A$48,MATCH($AO15,Minculturas!$C$2:$C$48,0)),"#N/D"))</f>
        <v>#N/D</v>
      </c>
      <c r="M15" s="26" t="str">
        <f>IF($AQ15,"#N/D",IFERROR(INDEX(Minculturas!$B$2:$B$48,MATCH($AO15,Minculturas!$C$2:$C$48,0)),"#N/D"))</f>
        <v>#N/D</v>
      </c>
      <c r="N15" s="27">
        <v>16</v>
      </c>
      <c r="O15" s="28">
        <v>0</v>
      </c>
      <c r="P15" s="28">
        <v>2</v>
      </c>
      <c r="Q15" s="28">
        <v>5</v>
      </c>
      <c r="R15" s="28">
        <v>1</v>
      </c>
      <c r="S15" s="28">
        <v>8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f t="shared" si="3"/>
        <v>16</v>
      </c>
      <c r="AH15" s="28"/>
      <c r="AI15" s="28"/>
      <c r="AJ15" s="28">
        <v>26.4</v>
      </c>
      <c r="AK15" s="28"/>
      <c r="AL15" s="28"/>
      <c r="AM15" s="29" t="s">
        <v>114</v>
      </c>
      <c r="AO15" t="str">
        <f t="shared" si="4"/>
        <v>barrancabermeja</v>
      </c>
      <c r="AP15" t="str">
        <f t="shared" si="5"/>
        <v>santander</v>
      </c>
      <c r="AQ15" t="b">
        <f t="shared" si="6"/>
        <v>0</v>
      </c>
      <c r="AR15" t="str">
        <f t="shared" si="7"/>
        <v>barrancabermeja</v>
      </c>
      <c r="AS15" s="30">
        <f t="shared" si="8"/>
        <v>1</v>
      </c>
      <c r="AT15" s="30">
        <f t="shared" si="9"/>
        <v>16</v>
      </c>
      <c r="AU15" s="30">
        <f t="shared" si="10"/>
        <v>3</v>
      </c>
      <c r="AV15" s="30">
        <f t="shared" si="11"/>
        <v>3</v>
      </c>
      <c r="AZ15" s="31">
        <f t="shared" si="12"/>
        <v>3</v>
      </c>
      <c r="BA15" s="31">
        <f t="shared" si="13"/>
        <v>7</v>
      </c>
      <c r="BB15" s="32">
        <f>IFERROR(INDEX('Análisis general'!$E$4:$E$28,MATCH($B15,'Análisis general'!$B$4:$B$28,0)),"")</f>
        <v>6.9</v>
      </c>
      <c r="BC15" s="31">
        <f t="shared" si="14"/>
        <v>3</v>
      </c>
      <c r="BD15" s="32">
        <f t="shared" si="15"/>
        <v>7.2857142857142856</v>
      </c>
      <c r="BE15" s="32">
        <f t="shared" si="16"/>
        <v>9</v>
      </c>
    </row>
    <row r="16" spans="1:59" ht="25.5" customHeight="1" x14ac:dyDescent="0.25">
      <c r="A16" s="33" t="s">
        <v>155</v>
      </c>
      <c r="B16" s="11" t="s">
        <v>44</v>
      </c>
      <c r="C16" s="34" t="s">
        <v>112</v>
      </c>
      <c r="D16" s="24">
        <f t="shared" si="0"/>
        <v>7</v>
      </c>
      <c r="E16" s="59">
        <f t="shared" si="1"/>
        <v>7.2857142857142856</v>
      </c>
      <c r="F16" s="59">
        <f t="shared" si="2"/>
        <v>9</v>
      </c>
      <c r="G16" s="11" t="s">
        <v>156</v>
      </c>
      <c r="H16" s="25" t="str">
        <f>IFERROR(IF($AQ16,INDEX(cpe!$C$2:$C$307,MATCH($AR16,cpe!$F$2:$F$307,0)),INDEX(cpe!$C$2:$C$307,MATCH($AR16,cpe!$D$2:$D$307,0))),"#N/D")</f>
        <v>Centro Educativo Puerto Lucas Margen Derecha</v>
      </c>
      <c r="I16" s="25" t="str">
        <f>IFERROR(IF($AQ16,INDEX(cpe!$B$2:$B$307,MATCH($AR16,cpe!$F$2:$F$307,0)),INDEX(cpe!$B$2:$B$307,MATCH($AR16,cpe!$D$2:$D$307,0))),"#N/D")</f>
        <v>La Tebaida</v>
      </c>
      <c r="J16" s="26" t="str">
        <f>IF($AQ16,"#N/D",IFERROR(INDEX(Olimpiadas!$B$2:$B$61,MATCH($AO16,Olimpiadas!$C$2:$C$61,0)),"#N/D"))</f>
        <v>#N/D</v>
      </c>
      <c r="K16" s="26" t="str">
        <f>IF($AQ16,"#N/D",IFERROR(INDEX(Olimpiadas!$A$2:$A$61,MATCH($AO16,Olimpiadas!$C$2:$C$61,0)),"#N/D"))</f>
        <v>#N/D</v>
      </c>
      <c r="L16" s="26" t="str">
        <f>IF($AQ16,"#N/D",IFERROR(INDEX(Minculturas!$A$2:$A$48,MATCH($AO16,Minculturas!$C$2:$C$48,0)),"#N/D"))</f>
        <v>#N/D</v>
      </c>
      <c r="M16" s="26" t="str">
        <f>IF($AQ16,"#N/D",IFERROR(INDEX(Minculturas!$B$2:$B$48,MATCH($AO16,Minculturas!$C$2:$C$48,0)),"#N/D"))</f>
        <v>#N/D</v>
      </c>
      <c r="N16" s="27">
        <v>13</v>
      </c>
      <c r="O16" s="28">
        <v>0</v>
      </c>
      <c r="P16" s="28">
        <v>3</v>
      </c>
      <c r="Q16" s="28">
        <v>2</v>
      </c>
      <c r="R16" s="28">
        <v>1</v>
      </c>
      <c r="S16" s="28">
        <v>0</v>
      </c>
      <c r="T16" s="28">
        <v>0</v>
      </c>
      <c r="U16" s="28">
        <v>4</v>
      </c>
      <c r="V16" s="28">
        <v>1</v>
      </c>
      <c r="W16" s="28">
        <v>0</v>
      </c>
      <c r="X16" s="28">
        <v>0</v>
      </c>
      <c r="Y16" s="28">
        <v>0</v>
      </c>
      <c r="Z16" s="28">
        <v>0</v>
      </c>
      <c r="AA16" s="28">
        <v>2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7">
        <f t="shared" si="3"/>
        <v>11</v>
      </c>
      <c r="AH16" s="28" t="s">
        <v>157</v>
      </c>
      <c r="AI16" s="28" t="s">
        <v>158</v>
      </c>
      <c r="AJ16" s="28">
        <v>27.4</v>
      </c>
      <c r="AK16" s="28"/>
      <c r="AL16" s="28"/>
      <c r="AM16" s="29" t="s">
        <v>114</v>
      </c>
      <c r="AO16" t="str">
        <f t="shared" si="4"/>
        <v>la tebaida</v>
      </c>
      <c r="AP16" t="str">
        <f t="shared" si="5"/>
        <v>quindio</v>
      </c>
      <c r="AQ16" t="b">
        <f t="shared" si="6"/>
        <v>0</v>
      </c>
      <c r="AR16" t="str">
        <f t="shared" si="7"/>
        <v>la tebaida</v>
      </c>
      <c r="AS16" s="30">
        <f t="shared" si="8"/>
        <v>1</v>
      </c>
      <c r="AT16" s="30">
        <f t="shared" si="9"/>
        <v>11</v>
      </c>
      <c r="AU16" s="30">
        <f t="shared" si="10"/>
        <v>3</v>
      </c>
      <c r="AV16" s="30">
        <f t="shared" si="11"/>
        <v>3</v>
      </c>
      <c r="AZ16" s="31">
        <f t="shared" si="12"/>
        <v>3</v>
      </c>
      <c r="BA16" s="31">
        <f t="shared" si="13"/>
        <v>7</v>
      </c>
      <c r="BB16" s="32">
        <f>IFERROR(INDEX('Análisis general'!$E$4:$E$28,MATCH($B16,'Análisis general'!$B$4:$B$28,0)),"")</f>
        <v>6.7</v>
      </c>
      <c r="BC16" s="31">
        <f t="shared" si="14"/>
        <v>3</v>
      </c>
      <c r="BD16" s="32">
        <f t="shared" si="15"/>
        <v>7.2857142857142856</v>
      </c>
      <c r="BE16" s="32">
        <f t="shared" si="16"/>
        <v>9</v>
      </c>
    </row>
    <row r="17" spans="1:57" ht="25.5" customHeight="1" x14ac:dyDescent="0.25">
      <c r="A17" s="33" t="s">
        <v>153</v>
      </c>
      <c r="B17" s="11" t="s">
        <v>44</v>
      </c>
      <c r="C17" s="34" t="s">
        <v>112</v>
      </c>
      <c r="D17" s="24">
        <f t="shared" si="0"/>
        <v>7</v>
      </c>
      <c r="E17" s="59">
        <f t="shared" si="1"/>
        <v>7.2857142857142856</v>
      </c>
      <c r="F17" s="59">
        <f t="shared" si="2"/>
        <v>9</v>
      </c>
      <c r="G17" s="11" t="s">
        <v>154</v>
      </c>
      <c r="H17" s="25" t="str">
        <f>IFERROR(IF($AQ17,INDEX(cpe!$C$2:$C$307,MATCH($AR17,cpe!$F$2:$F$307,0)),INDEX(cpe!$C$2:$C$307,MATCH($AR17,cpe!$D$2:$D$307,0))),"#N/D")</f>
        <v>Inst Educ Tapias</v>
      </c>
      <c r="I17" s="25" t="str">
        <f>IFERROR(IF($AQ17,INDEX(cpe!$B$2:$B$307,MATCH($AR17,cpe!$F$2:$F$307,0)),INDEX(cpe!$B$2:$B$307,MATCH($AR17,cpe!$D$2:$D$307,0))),"#N/D")</f>
        <v>Filandia</v>
      </c>
      <c r="J17" s="26" t="str">
        <f>IF($AQ17,"#N/D",IFERROR(INDEX(Olimpiadas!$B$2:$B$61,MATCH($AO17,Olimpiadas!$C$2:$C$61,0)),"#N/D"))</f>
        <v>#N/D</v>
      </c>
      <c r="K17" s="26" t="str">
        <f>IF($AQ17,"#N/D",IFERROR(INDEX(Olimpiadas!$A$2:$A$61,MATCH($AO17,Olimpiadas!$C$2:$C$61,0)),"#N/D"))</f>
        <v>#N/D</v>
      </c>
      <c r="L17" s="26" t="str">
        <f>IF($AQ17,"#N/D",IFERROR(INDEX(Minculturas!$A$2:$A$48,MATCH($AO17,Minculturas!$C$2:$C$48,0)),"#N/D"))</f>
        <v>#N/D</v>
      </c>
      <c r="M17" s="26" t="str">
        <f>IF($AQ17,"#N/D",IFERROR(INDEX(Minculturas!$B$2:$B$48,MATCH($AO17,Minculturas!$C$2:$C$48,0)),"#N/D"))</f>
        <v>#N/D</v>
      </c>
      <c r="N17" s="27">
        <v>9</v>
      </c>
      <c r="O17" s="28">
        <v>0</v>
      </c>
      <c r="P17" s="28">
        <v>2</v>
      </c>
      <c r="Q17" s="28">
        <v>0</v>
      </c>
      <c r="R17" s="28">
        <v>0</v>
      </c>
      <c r="S17" s="28">
        <v>0</v>
      </c>
      <c r="T17" s="28">
        <v>2</v>
      </c>
      <c r="U17" s="28">
        <v>3</v>
      </c>
      <c r="V17" s="28">
        <v>2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7">
        <f t="shared" si="3"/>
        <v>9</v>
      </c>
      <c r="AH17" s="28"/>
      <c r="AI17" s="28"/>
      <c r="AJ17" s="28">
        <v>18.100000000000001</v>
      </c>
      <c r="AK17" s="28"/>
      <c r="AL17" s="28"/>
      <c r="AM17" s="29" t="s">
        <v>114</v>
      </c>
      <c r="AO17" t="str">
        <f t="shared" si="4"/>
        <v>filandia</v>
      </c>
      <c r="AP17" t="str">
        <f t="shared" si="5"/>
        <v>quindio</v>
      </c>
      <c r="AQ17" t="b">
        <f t="shared" si="6"/>
        <v>0</v>
      </c>
      <c r="AR17" t="str">
        <f t="shared" si="7"/>
        <v>filandia</v>
      </c>
      <c r="AS17" s="30">
        <f t="shared" si="8"/>
        <v>1</v>
      </c>
      <c r="AT17" s="30">
        <f t="shared" si="9"/>
        <v>9</v>
      </c>
      <c r="AU17" s="30">
        <f t="shared" si="10"/>
        <v>3</v>
      </c>
      <c r="AV17" s="30">
        <f t="shared" si="11"/>
        <v>3</v>
      </c>
      <c r="AZ17" s="31">
        <f t="shared" si="12"/>
        <v>3</v>
      </c>
      <c r="BA17" s="31">
        <f t="shared" si="13"/>
        <v>7</v>
      </c>
      <c r="BB17" s="32">
        <f>IFERROR(INDEX('Análisis general'!$E$4:$E$28,MATCH($B17,'Análisis general'!$B$4:$B$28,0)),"")</f>
        <v>6.7</v>
      </c>
      <c r="BC17" s="31">
        <f t="shared" si="14"/>
        <v>3</v>
      </c>
      <c r="BD17" s="32">
        <f t="shared" si="15"/>
        <v>7.2857142857142856</v>
      </c>
      <c r="BE17" s="32">
        <f t="shared" si="16"/>
        <v>9</v>
      </c>
    </row>
    <row r="18" spans="1:57" ht="25.5" customHeight="1" x14ac:dyDescent="0.25">
      <c r="A18" s="33" t="s">
        <v>165</v>
      </c>
      <c r="B18" s="11" t="s">
        <v>31</v>
      </c>
      <c r="C18" s="34" t="s">
        <v>112</v>
      </c>
      <c r="D18" s="24">
        <f t="shared" si="0"/>
        <v>7</v>
      </c>
      <c r="E18" s="59">
        <f t="shared" si="1"/>
        <v>7.2857142857142856</v>
      </c>
      <c r="F18" s="59">
        <f t="shared" si="2"/>
        <v>9</v>
      </c>
      <c r="G18" s="11" t="s">
        <v>166</v>
      </c>
      <c r="H18" s="25" t="str">
        <f>IFERROR(IF($AQ18,INDEX(cpe!$C$2:$C$307,MATCH($AR18,cpe!$F$2:$F$307,0)),INDEX(cpe!$C$2:$C$307,MATCH($AR18,cpe!$D$2:$D$307,0))),"#N/D")</f>
        <v>#N/D</v>
      </c>
      <c r="I18" s="25" t="str">
        <f>IFERROR(IF($AQ18,INDEX(cpe!$B$2:$B$307,MATCH($AR18,cpe!$F$2:$F$307,0)),INDEX(cpe!$B$2:$B$307,MATCH($AR18,cpe!$D$2:$D$307,0))),"#N/D")</f>
        <v>#N/D</v>
      </c>
      <c r="J18" s="26" t="str">
        <f>IF($AQ18,"#N/D",IFERROR(INDEX(Olimpiadas!$B$2:$B$61,MATCH($AO18,Olimpiadas!$C$2:$C$61,0)),"#N/D"))</f>
        <v>#N/D</v>
      </c>
      <c r="K18" s="26" t="str">
        <f>IF($AQ18,"#N/D",IFERROR(INDEX(Olimpiadas!$A$2:$A$61,MATCH($AO18,Olimpiadas!$C$2:$C$61,0)),"#N/D"))</f>
        <v>#N/D</v>
      </c>
      <c r="L18" s="26" t="str">
        <f>IF($AQ18,"#N/D",IFERROR(INDEX(Minculturas!$A$2:$A$48,MATCH($AO18,Minculturas!$C$2:$C$48,0)),"#N/D"))</f>
        <v>Nuquí</v>
      </c>
      <c r="M18" s="26" t="str">
        <f>IF($AQ18,"#N/D",IFERROR(INDEX(Minculturas!$B$2:$B$48,MATCH($AO18,Minculturas!$C$2:$C$48,0)),"#N/D"))</f>
        <v>Fundación CLY Ambienta Serranías</v>
      </c>
      <c r="N18" s="27">
        <v>3</v>
      </c>
      <c r="O18" s="28">
        <v>1</v>
      </c>
      <c r="P18" s="35">
        <v>0</v>
      </c>
      <c r="Q18" s="35">
        <v>0</v>
      </c>
      <c r="R18" s="35">
        <v>2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27">
        <f t="shared" si="3"/>
        <v>3</v>
      </c>
      <c r="AH18" s="37" t="s">
        <v>167</v>
      </c>
      <c r="AI18" s="37" t="s">
        <v>168</v>
      </c>
      <c r="AJ18" s="28">
        <v>72.900000000000006</v>
      </c>
      <c r="AK18" s="28"/>
      <c r="AL18" s="28"/>
      <c r="AM18" s="29" t="s">
        <v>114</v>
      </c>
      <c r="AO18" t="str">
        <f t="shared" si="4"/>
        <v>nuqui</v>
      </c>
      <c r="AP18" t="str">
        <f t="shared" si="5"/>
        <v>choco</v>
      </c>
      <c r="AQ18" t="b">
        <f t="shared" si="6"/>
        <v>0</v>
      </c>
      <c r="AR18" t="str">
        <f t="shared" si="7"/>
        <v>nuqui</v>
      </c>
      <c r="AS18" s="30">
        <f t="shared" si="8"/>
        <v>1</v>
      </c>
      <c r="AT18" s="30">
        <f t="shared" si="9"/>
        <v>3</v>
      </c>
      <c r="AU18" s="30">
        <f t="shared" si="10"/>
        <v>3</v>
      </c>
      <c r="AV18" s="30">
        <f t="shared" si="11"/>
        <v>3</v>
      </c>
      <c r="AZ18" s="31">
        <f t="shared" si="12"/>
        <v>3</v>
      </c>
      <c r="BA18" s="31">
        <f t="shared" si="13"/>
        <v>7</v>
      </c>
      <c r="BB18" s="32">
        <f>IFERROR(INDEX('Análisis general'!$E$4:$E$28,MATCH($B18,'Análisis general'!$B$4:$B$28,0)),"")</f>
        <v>30.8</v>
      </c>
      <c r="BC18" s="31">
        <f t="shared" si="14"/>
        <v>3</v>
      </c>
      <c r="BD18" s="32">
        <f t="shared" si="15"/>
        <v>7.2857142857142856</v>
      </c>
      <c r="BE18" s="32">
        <f t="shared" si="16"/>
        <v>9</v>
      </c>
    </row>
    <row r="19" spans="1:57" ht="25.5" customHeight="1" x14ac:dyDescent="0.25">
      <c r="A19" s="33" t="s">
        <v>592</v>
      </c>
      <c r="B19" s="11" t="s">
        <v>31</v>
      </c>
      <c r="C19" s="34" t="s">
        <v>112</v>
      </c>
      <c r="D19" s="24">
        <f t="shared" si="0"/>
        <v>7</v>
      </c>
      <c r="E19" s="59">
        <f t="shared" si="1"/>
        <v>7.2857142857142856</v>
      </c>
      <c r="F19" s="59">
        <f t="shared" si="2"/>
        <v>9</v>
      </c>
      <c r="G19" s="11" t="s">
        <v>593</v>
      </c>
      <c r="H19" s="25" t="str">
        <f>IFERROR(IF($AQ19,INDEX(cpe!$C$2:$C$307,MATCH($AR19,cpe!$F$2:$F$307,0)),INDEX(cpe!$C$2:$C$307,MATCH($AR19,cpe!$D$2:$D$307,0))),"#N/D")</f>
        <v>IE de Samurindo</v>
      </c>
      <c r="I19" s="25" t="str">
        <f>IFERROR(IF($AQ19,INDEX(cpe!$B$2:$B$307,MATCH($AR19,cpe!$F$2:$F$307,0)),INDEX(cpe!$B$2:$B$307,MATCH($AR19,cpe!$D$2:$D$307,0))),"#N/D")</f>
        <v>Bajo Baudó</v>
      </c>
      <c r="J19" s="26" t="str">
        <f>IF($AQ19,"#N/D",IFERROR(INDEX(Olimpiadas!$B$2:$B$61,MATCH($AO19,Olimpiadas!$C$2:$C$61,0)),"#N/D"))</f>
        <v>#N/D</v>
      </c>
      <c r="K19" s="26" t="str">
        <f>IF($AQ19,"#N/D",IFERROR(INDEX(Olimpiadas!$A$2:$A$61,MATCH($AO19,Olimpiadas!$C$2:$C$61,0)),"#N/D"))</f>
        <v>#N/D</v>
      </c>
      <c r="L19" s="26" t="str">
        <f>IF($AQ19,"#N/D",IFERROR(INDEX(Minculturas!$A$2:$A$48,MATCH($AO19,Minculturas!$C$2:$C$48,0)),"#N/D"))</f>
        <v>#N/D</v>
      </c>
      <c r="M19" s="26" t="str">
        <f>IF($AQ19,"#N/D",IFERROR(INDEX(Minculturas!$B$2:$B$48,MATCH($AO19,Minculturas!$C$2:$C$48,0)),"#N/D"))</f>
        <v>#N/D</v>
      </c>
      <c r="N19" s="27">
        <v>6</v>
      </c>
      <c r="O19" s="28">
        <v>0</v>
      </c>
      <c r="P19" s="28">
        <v>0</v>
      </c>
      <c r="Q19" s="28">
        <v>2</v>
      </c>
      <c r="R19" s="28">
        <v>0</v>
      </c>
      <c r="S19" s="28">
        <v>0</v>
      </c>
      <c r="T19" s="28">
        <v>0</v>
      </c>
      <c r="U19" s="28">
        <v>1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3</v>
      </c>
      <c r="AC19" s="28">
        <v>0</v>
      </c>
      <c r="AD19" s="28">
        <v>0</v>
      </c>
      <c r="AE19" s="28">
        <v>0</v>
      </c>
      <c r="AF19" s="28">
        <v>0</v>
      </c>
      <c r="AG19" s="27">
        <f t="shared" si="3"/>
        <v>3</v>
      </c>
      <c r="AH19" s="28">
        <v>285</v>
      </c>
      <c r="AI19" s="28" t="s">
        <v>594</v>
      </c>
      <c r="AJ19" s="28">
        <v>80.400000000000006</v>
      </c>
      <c r="AK19" s="28"/>
      <c r="AL19" s="28"/>
      <c r="AM19" s="29" t="s">
        <v>114</v>
      </c>
      <c r="AO19" t="str">
        <f t="shared" si="4"/>
        <v>bajo baudo</v>
      </c>
      <c r="AP19" t="str">
        <f t="shared" si="5"/>
        <v>choco</v>
      </c>
      <c r="AQ19" t="b">
        <f t="shared" si="6"/>
        <v>0</v>
      </c>
      <c r="AR19" t="str">
        <f t="shared" si="7"/>
        <v>bajo baudo</v>
      </c>
      <c r="AS19" s="30">
        <f t="shared" si="8"/>
        <v>1</v>
      </c>
      <c r="AT19" s="30">
        <f t="shared" si="9"/>
        <v>3</v>
      </c>
      <c r="AU19" s="30">
        <f t="shared" si="10"/>
        <v>3</v>
      </c>
      <c r="AV19" s="30">
        <f t="shared" si="11"/>
        <v>3</v>
      </c>
      <c r="AZ19" s="31">
        <f t="shared" si="12"/>
        <v>3</v>
      </c>
      <c r="BA19" s="31">
        <f t="shared" si="13"/>
        <v>7</v>
      </c>
      <c r="BB19" s="32">
        <f>IFERROR(INDEX('Análisis general'!$E$4:$E$28,MATCH($B19,'Análisis general'!$B$4:$B$28,0)),"")</f>
        <v>30.8</v>
      </c>
      <c r="BC19" s="31">
        <f t="shared" si="14"/>
        <v>3</v>
      </c>
      <c r="BD19" s="32">
        <f t="shared" si="15"/>
        <v>7.2857142857142856</v>
      </c>
      <c r="BE19" s="32">
        <f t="shared" si="16"/>
        <v>9</v>
      </c>
    </row>
    <row r="20" spans="1:57" ht="25.5" customHeight="1" x14ac:dyDescent="0.25">
      <c r="A20" s="33" t="s">
        <v>159</v>
      </c>
      <c r="B20" s="11" t="s">
        <v>41</v>
      </c>
      <c r="C20" s="34" t="s">
        <v>112</v>
      </c>
      <c r="D20" s="24">
        <f t="shared" si="0"/>
        <v>7</v>
      </c>
      <c r="E20" s="59">
        <f t="shared" si="1"/>
        <v>7.2857142857142856</v>
      </c>
      <c r="F20" s="59">
        <f t="shared" si="2"/>
        <v>9</v>
      </c>
      <c r="G20" s="11" t="s">
        <v>160</v>
      </c>
      <c r="H20" s="25" t="str">
        <f>IFERROR(IF($AQ20,INDEX(cpe!$C$2:$C$307,MATCH($AR20,cpe!$F$2:$F$307,0)),INDEX(cpe!$C$2:$C$307,MATCH($AR20,cpe!$D$2:$D$307,0))),"#N/D")</f>
        <v>Institucion Educativa Rural San Sebastian</v>
      </c>
      <c r="I20" s="25" t="str">
        <f>IFERROR(IF($AQ20,INDEX(cpe!$B$2:$B$307,MATCH($AR20,cpe!$F$2:$F$307,0)),INDEX(cpe!$B$2:$B$307,MATCH($AR20,cpe!$D$2:$D$307,0))),"#N/D")</f>
        <v>La Cruz</v>
      </c>
      <c r="J20" s="26" t="str">
        <f>IF($AQ20,"#N/D",IFERROR(INDEX(Olimpiadas!$B$2:$B$61,MATCH($AO20,Olimpiadas!$C$2:$C$61,0)),"#N/D"))</f>
        <v>#N/D</v>
      </c>
      <c r="K20" s="26" t="str">
        <f>IF($AQ20,"#N/D",IFERROR(INDEX(Olimpiadas!$A$2:$A$61,MATCH($AO20,Olimpiadas!$C$2:$C$61,0)),"#N/D"))</f>
        <v>#N/D</v>
      </c>
      <c r="L20" s="26" t="str">
        <f>IF($AQ20,"#N/D",IFERROR(INDEX(Minculturas!$A$2:$A$48,MATCH($AO20,Minculturas!$C$2:$C$48,0)),"#N/D"))</f>
        <v>#N/D</v>
      </c>
      <c r="M20" s="26" t="str">
        <f>IF($AQ20,"#N/D",IFERROR(INDEX(Minculturas!$B$2:$B$48,MATCH($AO20,Minculturas!$C$2:$C$48,0)),"#N/D"))</f>
        <v>#N/D</v>
      </c>
      <c r="N20" s="27">
        <v>2</v>
      </c>
      <c r="O20" s="28">
        <v>0</v>
      </c>
      <c r="P20" s="28">
        <v>0</v>
      </c>
      <c r="Q20" s="28">
        <v>0</v>
      </c>
      <c r="R20" s="28">
        <v>2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7">
        <f t="shared" si="3"/>
        <v>2</v>
      </c>
      <c r="AH20" s="28"/>
      <c r="AI20" s="28"/>
      <c r="AJ20" s="28">
        <v>27.8</v>
      </c>
      <c r="AK20" s="28"/>
      <c r="AL20" s="28"/>
      <c r="AM20" s="29" t="s">
        <v>114</v>
      </c>
      <c r="AO20" t="str">
        <f t="shared" si="4"/>
        <v>la cruz</v>
      </c>
      <c r="AP20" t="str">
        <f t="shared" si="5"/>
        <v>narino</v>
      </c>
      <c r="AQ20" t="b">
        <f t="shared" si="6"/>
        <v>0</v>
      </c>
      <c r="AR20" t="str">
        <f t="shared" si="7"/>
        <v>la cruz</v>
      </c>
      <c r="AS20" s="30">
        <f t="shared" si="8"/>
        <v>1</v>
      </c>
      <c r="AT20" s="30">
        <f t="shared" si="9"/>
        <v>2</v>
      </c>
      <c r="AU20" s="30">
        <f t="shared" si="10"/>
        <v>3</v>
      </c>
      <c r="AV20" s="30">
        <f t="shared" si="11"/>
        <v>3</v>
      </c>
      <c r="AZ20" s="31">
        <f t="shared" si="12"/>
        <v>3</v>
      </c>
      <c r="BA20" s="31">
        <f t="shared" si="13"/>
        <v>7</v>
      </c>
      <c r="BB20" s="32">
        <f>IFERROR(INDEX('Análisis general'!$E$4:$E$28,MATCH($B20,'Análisis general'!$B$4:$B$28,0)),"")</f>
        <v>13.2</v>
      </c>
      <c r="BC20" s="31">
        <f t="shared" si="14"/>
        <v>3</v>
      </c>
      <c r="BD20" s="32">
        <f t="shared" si="15"/>
        <v>7.2857142857142856</v>
      </c>
      <c r="BE20" s="32">
        <f t="shared" si="16"/>
        <v>9</v>
      </c>
    </row>
    <row r="21" spans="1:57" ht="25.5" customHeight="1" x14ac:dyDescent="0.25">
      <c r="A21" s="33" t="s">
        <v>161</v>
      </c>
      <c r="B21" s="11" t="s">
        <v>31</v>
      </c>
      <c r="C21" s="34" t="s">
        <v>112</v>
      </c>
      <c r="D21" s="24">
        <f t="shared" si="0"/>
        <v>7</v>
      </c>
      <c r="E21" s="59">
        <f t="shared" si="1"/>
        <v>7.2857142857142856</v>
      </c>
      <c r="F21" s="59">
        <f t="shared" si="2"/>
        <v>9</v>
      </c>
      <c r="G21" s="11" t="s">
        <v>162</v>
      </c>
      <c r="H21" s="25" t="str">
        <f>IFERROR(IF($AQ21,INDEX(cpe!$C$2:$C$307,MATCH($AR21,cpe!$F$2:$F$307,0)),INDEX(cpe!$C$2:$C$307,MATCH($AR21,cpe!$D$2:$D$307,0))),"#N/D")</f>
        <v>Institucion Educativa Santa Teresa de Pachaquiaro</v>
      </c>
      <c r="I21" s="25" t="str">
        <f>IFERROR(IF($AQ21,INDEX(cpe!$B$2:$B$307,MATCH($AR21,cpe!$F$2:$F$307,0)),INDEX(cpe!$B$2:$B$307,MATCH($AR21,cpe!$D$2:$D$307,0))),"#N/D")</f>
        <v>Medio Baudó</v>
      </c>
      <c r="J21" s="26" t="str">
        <f>IF($AQ21,"#N/D",IFERROR(INDEX(Olimpiadas!$B$2:$B$61,MATCH($AO21,Olimpiadas!$C$2:$C$61,0)),"#N/D"))</f>
        <v>#N/D</v>
      </c>
      <c r="K21" s="26" t="str">
        <f>IF($AQ21,"#N/D",IFERROR(INDEX(Olimpiadas!$A$2:$A$61,MATCH($AO21,Olimpiadas!$C$2:$C$61,0)),"#N/D"))</f>
        <v>#N/D</v>
      </c>
      <c r="L21" s="26" t="str">
        <f>IF($AQ21,"#N/D",IFERROR(INDEX(Minculturas!$A$2:$A$48,MATCH($AO21,Minculturas!$C$2:$C$48,0)),"#N/D"))</f>
        <v>#N/D</v>
      </c>
      <c r="M21" s="26" t="str">
        <f>IF($AQ21,"#N/D",IFERROR(INDEX(Minculturas!$B$2:$B$48,MATCH($AO21,Minculturas!$C$2:$C$48,0)),"#N/D"))</f>
        <v>#N/D</v>
      </c>
      <c r="N21" s="27">
        <v>3</v>
      </c>
      <c r="O21" s="28">
        <v>0</v>
      </c>
      <c r="P21" s="28">
        <v>1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1</v>
      </c>
      <c r="Y21" s="28">
        <v>0</v>
      </c>
      <c r="Z21" s="28">
        <v>0</v>
      </c>
      <c r="AA21" s="28">
        <v>0</v>
      </c>
      <c r="AB21" s="28">
        <v>1</v>
      </c>
      <c r="AC21" s="28">
        <v>0</v>
      </c>
      <c r="AD21" s="28">
        <v>0</v>
      </c>
      <c r="AE21" s="28">
        <v>0</v>
      </c>
      <c r="AF21" s="28">
        <v>0</v>
      </c>
      <c r="AG21" s="27">
        <f t="shared" si="3"/>
        <v>2</v>
      </c>
      <c r="AH21" s="28" t="s">
        <v>163</v>
      </c>
      <c r="AI21" s="28" t="s">
        <v>164</v>
      </c>
      <c r="AJ21" s="28">
        <v>80.2</v>
      </c>
      <c r="AK21" s="28"/>
      <c r="AL21" s="28"/>
      <c r="AM21" s="29" t="s">
        <v>114</v>
      </c>
      <c r="AO21" t="str">
        <f t="shared" si="4"/>
        <v>medio baudo</v>
      </c>
      <c r="AP21" t="str">
        <f t="shared" si="5"/>
        <v>choco</v>
      </c>
      <c r="AQ21" t="b">
        <f t="shared" si="6"/>
        <v>0</v>
      </c>
      <c r="AR21" t="str">
        <f t="shared" si="7"/>
        <v>medio baudo</v>
      </c>
      <c r="AS21" s="30">
        <f t="shared" si="8"/>
        <v>1</v>
      </c>
      <c r="AT21" s="30">
        <f t="shared" si="9"/>
        <v>2</v>
      </c>
      <c r="AU21" s="30">
        <f t="shared" si="10"/>
        <v>3</v>
      </c>
      <c r="AV21" s="30">
        <f t="shared" si="11"/>
        <v>3</v>
      </c>
      <c r="AZ21" s="31">
        <f t="shared" si="12"/>
        <v>3</v>
      </c>
      <c r="BA21" s="31">
        <f t="shared" si="13"/>
        <v>7</v>
      </c>
      <c r="BB21" s="32">
        <f>IFERROR(INDEX('Análisis general'!$E$4:$E$28,MATCH($B21,'Análisis general'!$B$4:$B$28,0)),"")</f>
        <v>30.8</v>
      </c>
      <c r="BC21" s="31">
        <f t="shared" si="14"/>
        <v>3</v>
      </c>
      <c r="BD21" s="32">
        <f t="shared" si="15"/>
        <v>7.2857142857142856</v>
      </c>
      <c r="BE21" s="32">
        <f t="shared" si="16"/>
        <v>9</v>
      </c>
    </row>
    <row r="22" spans="1:57" ht="25.5" customHeight="1" x14ac:dyDescent="0.25">
      <c r="A22" s="33" t="s">
        <v>169</v>
      </c>
      <c r="B22" s="11" t="s">
        <v>41</v>
      </c>
      <c r="C22" s="61" t="s">
        <v>1215</v>
      </c>
      <c r="D22" s="24">
        <f t="shared" si="0"/>
        <v>7</v>
      </c>
      <c r="E22" s="59">
        <f t="shared" si="1"/>
        <v>7.2857142857142856</v>
      </c>
      <c r="F22" s="59">
        <f t="shared" si="2"/>
        <v>9</v>
      </c>
      <c r="G22" s="11" t="s">
        <v>170</v>
      </c>
      <c r="H22" s="25" t="s">
        <v>171</v>
      </c>
      <c r="I22" s="25" t="s">
        <v>170</v>
      </c>
      <c r="J22" s="26" t="s">
        <v>106</v>
      </c>
      <c r="K22" s="26" t="str">
        <f>IF($AQ22,"#N/D",IFERROR(INDEX(Olimpiadas!$A$2:$A$61,MATCH($AO22,Olimpiadas!$C$2:$C$61,0)),"#N/D"))</f>
        <v>#N/D</v>
      </c>
      <c r="L22" s="26" t="str">
        <f>IF($AQ22,"#N/D",IFERROR(INDEX(Minculturas!$A$2:$A$48,MATCH($AO22,Minculturas!$C$2:$C$48,0)),"#N/D"))</f>
        <v>#N/D</v>
      </c>
      <c r="M22" s="26" t="str">
        <f>IF($AQ22,"#N/D",IFERROR(INDEX(Minculturas!$B$2:$B$48,MATCH($AO22,Minculturas!$C$2:$C$48,0)),"#N/D"))</f>
        <v>#N/D</v>
      </c>
      <c r="N22" s="27">
        <v>2</v>
      </c>
      <c r="O22" s="28">
        <v>0</v>
      </c>
      <c r="P22" s="28">
        <v>1</v>
      </c>
      <c r="Q22" s="28">
        <v>0</v>
      </c>
      <c r="R22" s="28">
        <v>1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f t="shared" si="3"/>
        <v>2</v>
      </c>
      <c r="AH22" s="28"/>
      <c r="AI22" s="28"/>
      <c r="AJ22" s="28">
        <v>17.5</v>
      </c>
      <c r="AK22" s="28"/>
      <c r="AL22" s="28"/>
      <c r="AM22" s="29" t="s">
        <v>114</v>
      </c>
      <c r="AO22" t="str">
        <f t="shared" si="4"/>
        <v>ricaurte</v>
      </c>
      <c r="AP22" t="str">
        <f t="shared" si="5"/>
        <v>narino</v>
      </c>
      <c r="AQ22" t="b">
        <f t="shared" si="6"/>
        <v>1</v>
      </c>
      <c r="AR22" t="str">
        <f t="shared" si="7"/>
        <v>ricaurte|narino</v>
      </c>
      <c r="AS22" s="30">
        <f t="shared" si="8"/>
        <v>1</v>
      </c>
      <c r="AT22" s="30">
        <f t="shared" si="9"/>
        <v>2</v>
      </c>
      <c r="AU22" s="30">
        <f t="shared" si="10"/>
        <v>3</v>
      </c>
      <c r="AV22" s="30">
        <f t="shared" si="11"/>
        <v>3</v>
      </c>
      <c r="AZ22" s="31">
        <f t="shared" si="12"/>
        <v>3</v>
      </c>
      <c r="BA22" s="31">
        <f t="shared" si="13"/>
        <v>7</v>
      </c>
      <c r="BB22" s="32">
        <f>IFERROR(INDEX('Análisis general'!$E$4:$E$28,MATCH($B22,'Análisis general'!$B$4:$B$28,0)),"")</f>
        <v>13.2</v>
      </c>
      <c r="BC22" s="31">
        <f t="shared" si="14"/>
        <v>3</v>
      </c>
      <c r="BD22" s="32">
        <f t="shared" si="15"/>
        <v>7.2857142857142856</v>
      </c>
      <c r="BE22" s="32">
        <f t="shared" si="16"/>
        <v>9</v>
      </c>
    </row>
    <row r="23" spans="1:57" ht="25.5" customHeight="1" x14ac:dyDescent="0.25">
      <c r="A23" s="33" t="s">
        <v>192</v>
      </c>
      <c r="B23" s="11" t="s">
        <v>24</v>
      </c>
      <c r="C23" s="34" t="s">
        <v>112</v>
      </c>
      <c r="D23" s="24">
        <f t="shared" si="0"/>
        <v>6</v>
      </c>
      <c r="E23" s="59">
        <f t="shared" si="1"/>
        <v>6.4285714285714279</v>
      </c>
      <c r="F23" s="59">
        <f t="shared" si="2"/>
        <v>9</v>
      </c>
      <c r="G23" s="11" t="s">
        <v>193</v>
      </c>
      <c r="H23" s="25" t="s">
        <v>106</v>
      </c>
      <c r="I23" s="25" t="s">
        <v>106</v>
      </c>
      <c r="J23" s="26" t="s">
        <v>106</v>
      </c>
      <c r="K23" s="26" t="str">
        <f>IF($AQ23,"#N/D",IFERROR(INDEX(Olimpiadas!$A$2:$A$61,MATCH($AO23,Olimpiadas!$C$2:$C$61,0)),"#N/D"))</f>
        <v>#N/D</v>
      </c>
      <c r="L23" s="26" t="str">
        <f>IF($AQ23,"#N/D",IFERROR(INDEX(Minculturas!$A$2:$A$48,MATCH($AO23,Minculturas!$C$2:$C$48,0)),"#N/D"))</f>
        <v>#N/D</v>
      </c>
      <c r="M23" s="26" t="str">
        <f>IF($AQ23,"#N/D",IFERROR(INDEX(Minculturas!$B$2:$B$48,MATCH($AO23,Minculturas!$C$2:$C$48,0)),"#N/D"))</f>
        <v>#N/D</v>
      </c>
      <c r="N23" s="27">
        <v>22</v>
      </c>
      <c r="O23" s="28">
        <v>0</v>
      </c>
      <c r="P23" s="28">
        <v>8</v>
      </c>
      <c r="Q23" s="28">
        <v>0</v>
      </c>
      <c r="R23" s="28">
        <v>3</v>
      </c>
      <c r="S23" s="28">
        <v>4</v>
      </c>
      <c r="T23" s="28">
        <v>2</v>
      </c>
      <c r="U23" s="28">
        <v>5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7">
        <f t="shared" si="3"/>
        <v>22</v>
      </c>
      <c r="AH23" s="26">
        <v>125</v>
      </c>
      <c r="AI23" s="26" t="s">
        <v>194</v>
      </c>
      <c r="AJ23" s="28">
        <v>37.299999999999997</v>
      </c>
      <c r="AK23" s="28"/>
      <c r="AL23" s="28"/>
      <c r="AM23" s="29" t="s">
        <v>195</v>
      </c>
      <c r="AO23" t="str">
        <f t="shared" si="4"/>
        <v>pensilvania</v>
      </c>
      <c r="AP23" t="str">
        <f t="shared" si="5"/>
        <v>caldas</v>
      </c>
      <c r="AQ23" t="b">
        <f t="shared" si="6"/>
        <v>0</v>
      </c>
      <c r="AR23" t="str">
        <f t="shared" si="7"/>
        <v>pensilvania</v>
      </c>
      <c r="AS23" s="30">
        <f t="shared" si="8"/>
        <v>0</v>
      </c>
      <c r="AT23" s="30">
        <f t="shared" si="9"/>
        <v>22</v>
      </c>
      <c r="AU23" s="30">
        <f t="shared" si="10"/>
        <v>3</v>
      </c>
      <c r="AV23" s="30">
        <f t="shared" si="11"/>
        <v>3</v>
      </c>
      <c r="AZ23" s="31">
        <f t="shared" si="12"/>
        <v>3</v>
      </c>
      <c r="BA23" s="31">
        <f t="shared" si="13"/>
        <v>6</v>
      </c>
      <c r="BB23" s="32">
        <f>IFERROR(INDEX('Análisis general'!$E$4:$E$28,MATCH($B23,'Análisis general'!$B$4:$B$28,0)),"")</f>
        <v>7.9</v>
      </c>
      <c r="BC23" s="31">
        <f t="shared" si="14"/>
        <v>3</v>
      </c>
      <c r="BD23" s="32">
        <f t="shared" si="15"/>
        <v>6.4285714285714279</v>
      </c>
      <c r="BE23" s="32">
        <f t="shared" si="16"/>
        <v>9</v>
      </c>
    </row>
    <row r="24" spans="1:57" ht="25.5" customHeight="1" x14ac:dyDescent="0.25">
      <c r="A24" s="33" t="s">
        <v>198</v>
      </c>
      <c r="B24" s="11" t="s">
        <v>24</v>
      </c>
      <c r="C24" s="34" t="s">
        <v>112</v>
      </c>
      <c r="D24" s="24">
        <f t="shared" si="0"/>
        <v>6</v>
      </c>
      <c r="E24" s="59">
        <f t="shared" si="1"/>
        <v>6.4285714285714279</v>
      </c>
      <c r="F24" s="59">
        <f t="shared" si="2"/>
        <v>9</v>
      </c>
      <c r="G24" s="11" t="s">
        <v>199</v>
      </c>
      <c r="H24" s="25" t="s">
        <v>106</v>
      </c>
      <c r="I24" s="25" t="s">
        <v>106</v>
      </c>
      <c r="J24" s="26" t="s">
        <v>106</v>
      </c>
      <c r="K24" s="26" t="str">
        <f>IF($AQ24,"#N/D",IFERROR(INDEX(Olimpiadas!$A$2:$A$61,MATCH($AO24,Olimpiadas!$C$2:$C$61,0)),"#N/D"))</f>
        <v>#N/D</v>
      </c>
      <c r="L24" s="26" t="str">
        <f>IF($AQ24,"#N/D",IFERROR(INDEX(Minculturas!$A$2:$A$48,MATCH($AO24,Minculturas!$C$2:$C$48,0)),"#N/D"))</f>
        <v>#N/D</v>
      </c>
      <c r="M24" s="26" t="str">
        <f>IF($AQ24,"#N/D",IFERROR(INDEX(Minculturas!$B$2:$B$48,MATCH($AO24,Minculturas!$C$2:$C$48,0)),"#N/D"))</f>
        <v>#N/D</v>
      </c>
      <c r="N24" s="27">
        <v>21</v>
      </c>
      <c r="O24" s="28">
        <v>0</v>
      </c>
      <c r="P24" s="28">
        <v>1</v>
      </c>
      <c r="Q24" s="28">
        <v>7</v>
      </c>
      <c r="R24" s="28">
        <v>1</v>
      </c>
      <c r="S24" s="28">
        <v>6</v>
      </c>
      <c r="T24" s="28">
        <v>5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1</v>
      </c>
      <c r="AC24" s="28">
        <v>0</v>
      </c>
      <c r="AD24" s="28">
        <v>0</v>
      </c>
      <c r="AE24" s="28">
        <v>0</v>
      </c>
      <c r="AF24" s="28">
        <v>0</v>
      </c>
      <c r="AG24" s="27">
        <f t="shared" si="3"/>
        <v>20</v>
      </c>
      <c r="AH24" s="26" t="s">
        <v>200</v>
      </c>
      <c r="AI24" s="26" t="s">
        <v>201</v>
      </c>
      <c r="AJ24" s="28">
        <v>28.7</v>
      </c>
      <c r="AK24" s="28"/>
      <c r="AL24" s="28"/>
      <c r="AM24" s="29" t="s">
        <v>114</v>
      </c>
      <c r="AO24" t="str">
        <f t="shared" si="4"/>
        <v>salamina</v>
      </c>
      <c r="AP24" t="str">
        <f t="shared" si="5"/>
        <v>caldas</v>
      </c>
      <c r="AQ24" t="b">
        <f t="shared" si="6"/>
        <v>0</v>
      </c>
      <c r="AR24" t="str">
        <f t="shared" si="7"/>
        <v>salamina</v>
      </c>
      <c r="AS24" s="30">
        <f t="shared" si="8"/>
        <v>0</v>
      </c>
      <c r="AT24" s="30">
        <f t="shared" si="9"/>
        <v>20</v>
      </c>
      <c r="AU24" s="30">
        <f t="shared" si="10"/>
        <v>3</v>
      </c>
      <c r="AV24" s="30">
        <f t="shared" si="11"/>
        <v>3</v>
      </c>
      <c r="AZ24" s="31">
        <f t="shared" si="12"/>
        <v>3</v>
      </c>
      <c r="BA24" s="31">
        <f t="shared" si="13"/>
        <v>6</v>
      </c>
      <c r="BB24" s="32">
        <f>IFERROR(INDEX('Análisis general'!$E$4:$E$28,MATCH($B24,'Análisis general'!$B$4:$B$28,0)),"")</f>
        <v>7.9</v>
      </c>
      <c r="BC24" s="31">
        <f t="shared" si="14"/>
        <v>3</v>
      </c>
      <c r="BD24" s="32">
        <f t="shared" si="15"/>
        <v>6.4285714285714279</v>
      </c>
      <c r="BE24" s="32">
        <f t="shared" si="16"/>
        <v>9</v>
      </c>
    </row>
    <row r="25" spans="1:57" ht="25.5" customHeight="1" x14ac:dyDescent="0.25">
      <c r="A25" s="33" t="s">
        <v>172</v>
      </c>
      <c r="B25" s="11" t="s">
        <v>24</v>
      </c>
      <c r="C25" s="60" t="s">
        <v>1214</v>
      </c>
      <c r="D25" s="24">
        <f t="shared" si="0"/>
        <v>6</v>
      </c>
      <c r="E25" s="59">
        <f t="shared" si="1"/>
        <v>6.4285714285714279</v>
      </c>
      <c r="F25" s="59">
        <f t="shared" si="2"/>
        <v>9</v>
      </c>
      <c r="G25" s="11" t="s">
        <v>173</v>
      </c>
      <c r="H25" s="25" t="str">
        <f>IFERROR(IF($AQ25,INDEX(cpe!$C$2:$C$307,MATCH($AR25,cpe!$F$2:$F$307,0)),INDEX(cpe!$C$2:$C$307,MATCH($AR25,cpe!$D$2:$D$307,0))),"#N/D")</f>
        <v>#N/D</v>
      </c>
      <c r="I25" s="25" t="str">
        <f>IFERROR(IF($AQ25,INDEX(cpe!$B$2:$B$307,MATCH($AR25,cpe!$F$2:$F$307,0)),INDEX(cpe!$B$2:$B$307,MATCH($AR25,cpe!$D$2:$D$307,0))),"#N/D")</f>
        <v>#N/D</v>
      </c>
      <c r="J25" s="26" t="str">
        <f>IF($AQ25,"#N/D",IFERROR(INDEX(Olimpiadas!$B$2:$B$61,MATCH($AO25,Olimpiadas!$C$2:$C$61,0)),"#N/D"))</f>
        <v>#N/D</v>
      </c>
      <c r="K25" s="26" t="str">
        <f>IF($AQ25,"#N/D",IFERROR(INDEX(Olimpiadas!$A$2:$A$61,MATCH($AO25,Olimpiadas!$C$2:$C$61,0)),"#N/D"))</f>
        <v>#N/D</v>
      </c>
      <c r="L25" s="26" t="str">
        <f>IF($AQ25,"#N/D",IFERROR(INDEX(Minculturas!$A$2:$A$48,MATCH($AO25,Minculturas!$C$2:$C$48,0)),"#N/D"))</f>
        <v>#N/D</v>
      </c>
      <c r="M25" s="26" t="str">
        <f>IF($AQ25,"#N/D",IFERROR(INDEX(Minculturas!$B$2:$B$48,MATCH($AO25,Minculturas!$C$2:$C$48,0)),"#N/D"))</f>
        <v>#N/D</v>
      </c>
      <c r="N25" s="27">
        <v>18</v>
      </c>
      <c r="O25" s="28">
        <v>0</v>
      </c>
      <c r="P25" s="28">
        <v>7</v>
      </c>
      <c r="Q25" s="28">
        <v>2</v>
      </c>
      <c r="R25" s="28">
        <v>1</v>
      </c>
      <c r="S25" s="28">
        <v>3</v>
      </c>
      <c r="T25" s="28">
        <v>1</v>
      </c>
      <c r="U25" s="28">
        <v>1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3</v>
      </c>
      <c r="AC25" s="28">
        <v>0</v>
      </c>
      <c r="AD25" s="28">
        <v>0</v>
      </c>
      <c r="AE25" s="28">
        <v>0</v>
      </c>
      <c r="AF25" s="28">
        <v>0</v>
      </c>
      <c r="AG25" s="27">
        <f t="shared" si="3"/>
        <v>15</v>
      </c>
      <c r="AH25" s="38" t="s">
        <v>174</v>
      </c>
      <c r="AI25" s="38" t="s">
        <v>175</v>
      </c>
      <c r="AJ25" s="28">
        <v>32.5</v>
      </c>
      <c r="AK25" s="28"/>
      <c r="AL25" s="28"/>
      <c r="AM25" s="29" t="s">
        <v>176</v>
      </c>
      <c r="AO25" t="str">
        <f t="shared" si="4"/>
        <v>anserma</v>
      </c>
      <c r="AP25" t="str">
        <f t="shared" si="5"/>
        <v>caldas</v>
      </c>
      <c r="AQ25" t="b">
        <f t="shared" si="6"/>
        <v>0</v>
      </c>
      <c r="AR25" t="str">
        <f t="shared" si="7"/>
        <v>anserma</v>
      </c>
      <c r="AS25" s="30">
        <f t="shared" si="8"/>
        <v>0</v>
      </c>
      <c r="AT25" s="30">
        <f t="shared" si="9"/>
        <v>15</v>
      </c>
      <c r="AU25" s="30">
        <f t="shared" si="10"/>
        <v>3</v>
      </c>
      <c r="AV25" s="30">
        <f t="shared" si="11"/>
        <v>3</v>
      </c>
      <c r="AZ25" s="31">
        <f t="shared" si="12"/>
        <v>3</v>
      </c>
      <c r="BA25" s="31">
        <f t="shared" si="13"/>
        <v>6</v>
      </c>
      <c r="BB25" s="32">
        <f>IFERROR(INDEX('Análisis general'!$E$4:$E$28,MATCH($B25,'Análisis general'!$B$4:$B$28,0)),"")</f>
        <v>7.9</v>
      </c>
      <c r="BC25" s="31">
        <f t="shared" si="14"/>
        <v>3</v>
      </c>
      <c r="BD25" s="32">
        <f t="shared" si="15"/>
        <v>6.4285714285714279</v>
      </c>
      <c r="BE25" s="32">
        <f t="shared" si="16"/>
        <v>9</v>
      </c>
    </row>
    <row r="26" spans="1:57" ht="25.5" customHeight="1" x14ac:dyDescent="0.25">
      <c r="A26" s="33" t="s">
        <v>182</v>
      </c>
      <c r="B26" s="11" t="s">
        <v>24</v>
      </c>
      <c r="C26" s="34" t="s">
        <v>112</v>
      </c>
      <c r="D26" s="24">
        <f t="shared" si="0"/>
        <v>6</v>
      </c>
      <c r="E26" s="59">
        <f t="shared" si="1"/>
        <v>6.4285714285714279</v>
      </c>
      <c r="F26" s="59">
        <f t="shared" si="2"/>
        <v>9</v>
      </c>
      <c r="G26" s="11" t="s">
        <v>183</v>
      </c>
      <c r="H26" s="25" t="str">
        <f>IFERROR(IF($AQ26,INDEX(cpe!$C$2:$C$307,MATCH($AR26,cpe!$F$2:$F$307,0)),INDEX(cpe!$C$2:$C$307,MATCH($AR26,cpe!$D$2:$D$307,0))),"#N/D")</f>
        <v>#N/D</v>
      </c>
      <c r="I26" s="25" t="str">
        <f>IFERROR(IF($AQ26,INDEX(cpe!$B$2:$B$307,MATCH($AR26,cpe!$F$2:$F$307,0)),INDEX(cpe!$B$2:$B$307,MATCH($AR26,cpe!$D$2:$D$307,0))),"#N/D")</f>
        <v>#N/D</v>
      </c>
      <c r="J26" s="26" t="str">
        <f>IF($AQ26,"#N/D",IFERROR(INDEX(Olimpiadas!$B$2:$B$61,MATCH($AO26,Olimpiadas!$C$2:$C$61,0)),"#N/D"))</f>
        <v>#N/D</v>
      </c>
      <c r="K26" s="26" t="str">
        <f>IF($AQ26,"#N/D",IFERROR(INDEX(Olimpiadas!$A$2:$A$61,MATCH($AO26,Olimpiadas!$C$2:$C$61,0)),"#N/D"))</f>
        <v>#N/D</v>
      </c>
      <c r="L26" s="26" t="str">
        <f>IF($AQ26,"#N/D",IFERROR(INDEX(Minculturas!$A$2:$A$48,MATCH($AO26,Minculturas!$C$2:$C$48,0)),"#N/D"))</f>
        <v>#N/D</v>
      </c>
      <c r="M26" s="26" t="str">
        <f>IF($AQ26,"#N/D",IFERROR(INDEX(Minculturas!$B$2:$B$48,MATCH($AO26,Minculturas!$C$2:$C$48,0)),"#N/D"))</f>
        <v>#N/D</v>
      </c>
      <c r="N26" s="27">
        <v>15</v>
      </c>
      <c r="O26" s="28">
        <v>0</v>
      </c>
      <c r="P26" s="28">
        <v>1</v>
      </c>
      <c r="Q26" s="28">
        <v>2</v>
      </c>
      <c r="R26" s="28">
        <v>0</v>
      </c>
      <c r="S26" s="28">
        <v>10</v>
      </c>
      <c r="T26" s="28">
        <v>1</v>
      </c>
      <c r="U26" s="28">
        <v>1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7">
        <f t="shared" si="3"/>
        <v>15</v>
      </c>
      <c r="AH26" s="38" t="s">
        <v>184</v>
      </c>
      <c r="AI26" s="38" t="s">
        <v>185</v>
      </c>
      <c r="AJ26" s="28">
        <v>32.1</v>
      </c>
      <c r="AK26" s="28"/>
      <c r="AL26" s="28"/>
      <c r="AM26" s="29" t="s">
        <v>114</v>
      </c>
      <c r="AO26" t="str">
        <f t="shared" si="4"/>
        <v>aranzazu</v>
      </c>
      <c r="AP26" t="str">
        <f t="shared" si="5"/>
        <v>caldas</v>
      </c>
      <c r="AQ26" t="b">
        <f t="shared" si="6"/>
        <v>0</v>
      </c>
      <c r="AR26" t="str">
        <f t="shared" si="7"/>
        <v>aranzazu</v>
      </c>
      <c r="AS26" s="30">
        <f t="shared" si="8"/>
        <v>0</v>
      </c>
      <c r="AT26" s="30">
        <f t="shared" si="9"/>
        <v>15</v>
      </c>
      <c r="AU26" s="30">
        <f t="shared" si="10"/>
        <v>3</v>
      </c>
      <c r="AV26" s="30">
        <f t="shared" si="11"/>
        <v>3</v>
      </c>
      <c r="AZ26" s="31">
        <f t="shared" si="12"/>
        <v>3</v>
      </c>
      <c r="BA26" s="31">
        <f t="shared" si="13"/>
        <v>6</v>
      </c>
      <c r="BB26" s="32">
        <f>IFERROR(INDEX('Análisis general'!$E$4:$E$28,MATCH($B26,'Análisis general'!$B$4:$B$28,0)),"")</f>
        <v>7.9</v>
      </c>
      <c r="BC26" s="31">
        <f t="shared" si="14"/>
        <v>3</v>
      </c>
      <c r="BD26" s="32">
        <f t="shared" si="15"/>
        <v>6.4285714285714279</v>
      </c>
      <c r="BE26" s="32">
        <f t="shared" si="16"/>
        <v>9</v>
      </c>
    </row>
    <row r="27" spans="1:57" ht="25.5" customHeight="1" x14ac:dyDescent="0.25">
      <c r="A27" s="33" t="s">
        <v>180</v>
      </c>
      <c r="B27" s="11" t="s">
        <v>10</v>
      </c>
      <c r="C27" s="34" t="s">
        <v>112</v>
      </c>
      <c r="D27" s="24">
        <f t="shared" si="0"/>
        <v>6</v>
      </c>
      <c r="E27" s="59">
        <f t="shared" si="1"/>
        <v>6.4285714285714279</v>
      </c>
      <c r="F27" s="59">
        <f t="shared" si="2"/>
        <v>9</v>
      </c>
      <c r="G27" s="11" t="s">
        <v>181</v>
      </c>
      <c r="H27" s="25" t="str">
        <f>IFERROR(IF($AQ27,INDEX(cpe!$C$2:$C$307,MATCH($AR27,cpe!$F$2:$F$307,0)),INDEX(cpe!$C$2:$C$307,MATCH($AR27,cpe!$D$2:$D$307,0))),"#N/D")</f>
        <v>#N/D</v>
      </c>
      <c r="I27" s="25" t="str">
        <f>IFERROR(IF($AQ27,INDEX(cpe!$B$2:$B$307,MATCH($AR27,cpe!$F$2:$F$307,0)),INDEX(cpe!$B$2:$B$307,MATCH($AR27,cpe!$D$2:$D$307,0))),"#N/D")</f>
        <v>#N/D</v>
      </c>
      <c r="J27" s="26" t="str">
        <f>IF($AQ27,"#N/D",IFERROR(INDEX(Olimpiadas!$B$2:$B$61,MATCH($AO27,Olimpiadas!$C$2:$C$61,0)),"#N/D"))</f>
        <v>#N/D</v>
      </c>
      <c r="K27" s="26" t="str">
        <f>IF($AQ27,"#N/D",IFERROR(INDEX(Olimpiadas!$A$2:$A$61,MATCH($AO27,Olimpiadas!$C$2:$C$61,0)),"#N/D"))</f>
        <v>#N/D</v>
      </c>
      <c r="L27" s="26" t="str">
        <f>IF($AQ27,"#N/D",IFERROR(INDEX(Minculturas!$A$2:$A$48,MATCH($AO27,Minculturas!$C$2:$C$48,0)),"#N/D"))</f>
        <v>#N/D</v>
      </c>
      <c r="M27" s="26" t="str">
        <f>IF($AQ27,"#N/D",IFERROR(INDEX(Minculturas!$B$2:$B$48,MATCH($AO27,Minculturas!$C$2:$C$48,0)),"#N/D"))</f>
        <v>#N/D</v>
      </c>
      <c r="N27" s="27">
        <v>12</v>
      </c>
      <c r="O27" s="28">
        <v>0</v>
      </c>
      <c r="P27" s="35">
        <v>1</v>
      </c>
      <c r="Q27" s="35">
        <v>6</v>
      </c>
      <c r="R27" s="35">
        <v>1</v>
      </c>
      <c r="S27" s="35">
        <v>4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27">
        <f t="shared" si="3"/>
        <v>12</v>
      </c>
      <c r="AH27" s="37"/>
      <c r="AI27" s="37"/>
      <c r="AJ27" s="28">
        <v>40.1</v>
      </c>
      <c r="AK27" s="28"/>
      <c r="AL27" s="28"/>
      <c r="AM27" s="29" t="s">
        <v>114</v>
      </c>
      <c r="AO27" t="str">
        <f t="shared" si="4"/>
        <v>andes</v>
      </c>
      <c r="AP27" t="str">
        <f t="shared" si="5"/>
        <v>antioquia</v>
      </c>
      <c r="AQ27" t="b">
        <f t="shared" si="6"/>
        <v>0</v>
      </c>
      <c r="AR27" t="str">
        <f t="shared" si="7"/>
        <v>andes</v>
      </c>
      <c r="AS27" s="30">
        <f t="shared" si="8"/>
        <v>0</v>
      </c>
      <c r="AT27" s="30">
        <f t="shared" si="9"/>
        <v>12</v>
      </c>
      <c r="AU27" s="30">
        <f t="shared" si="10"/>
        <v>3</v>
      </c>
      <c r="AV27" s="30">
        <f t="shared" si="11"/>
        <v>3</v>
      </c>
      <c r="AZ27" s="31">
        <f t="shared" si="12"/>
        <v>3</v>
      </c>
      <c r="BA27" s="31">
        <f t="shared" si="13"/>
        <v>6</v>
      </c>
      <c r="BB27" s="32">
        <f>IFERROR(INDEX('Análisis general'!$E$4:$E$28,MATCH($B27,'Análisis general'!$B$4:$B$28,0)),"")</f>
        <v>9.5</v>
      </c>
      <c r="BC27" s="31">
        <f t="shared" si="14"/>
        <v>3</v>
      </c>
      <c r="BD27" s="32">
        <f t="shared" si="15"/>
        <v>6.4285714285714279</v>
      </c>
      <c r="BE27" s="32">
        <f t="shared" si="16"/>
        <v>9</v>
      </c>
    </row>
    <row r="28" spans="1:57" ht="25.5" customHeight="1" x14ac:dyDescent="0.25">
      <c r="A28" s="33" t="s">
        <v>211</v>
      </c>
      <c r="B28" s="11" t="s">
        <v>24</v>
      </c>
      <c r="C28" s="34" t="s">
        <v>112</v>
      </c>
      <c r="D28" s="24">
        <f t="shared" si="0"/>
        <v>6</v>
      </c>
      <c r="E28" s="59">
        <f t="shared" si="1"/>
        <v>6.4285714285714279</v>
      </c>
      <c r="F28" s="59">
        <f t="shared" si="2"/>
        <v>9</v>
      </c>
      <c r="G28" s="11" t="s">
        <v>212</v>
      </c>
      <c r="H28" s="25" t="s">
        <v>106</v>
      </c>
      <c r="I28" s="25" t="s">
        <v>106</v>
      </c>
      <c r="J28" s="26" t="s">
        <v>106</v>
      </c>
      <c r="K28" s="26" t="str">
        <f>IF($AQ28,"#N/D",IFERROR(INDEX(Olimpiadas!$A$2:$A$61,MATCH($AO28,Olimpiadas!$C$2:$C$61,0)),"#N/D"))</f>
        <v>#N/D</v>
      </c>
      <c r="L28" s="26" t="str">
        <f>IF($AQ28,"#N/D",IFERROR(INDEX(Minculturas!$A$2:$A$48,MATCH($AO28,Minculturas!$C$2:$C$48,0)),"#N/D"))</f>
        <v>#N/D</v>
      </c>
      <c r="M28" s="26" t="str">
        <f>IF($AQ28,"#N/D",IFERROR(INDEX(Minculturas!$B$2:$B$48,MATCH($AO28,Minculturas!$C$2:$C$48,0)),"#N/D"))</f>
        <v>#N/D</v>
      </c>
      <c r="N28" s="27">
        <v>12</v>
      </c>
      <c r="O28" s="28">
        <v>0</v>
      </c>
      <c r="P28" s="28">
        <v>2</v>
      </c>
      <c r="Q28" s="28">
        <v>0</v>
      </c>
      <c r="R28" s="28">
        <v>1</v>
      </c>
      <c r="S28" s="28">
        <v>1</v>
      </c>
      <c r="T28" s="28">
        <v>1</v>
      </c>
      <c r="U28" s="28">
        <v>3</v>
      </c>
      <c r="V28" s="28">
        <v>4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7">
        <f t="shared" si="3"/>
        <v>12</v>
      </c>
      <c r="AH28" s="28"/>
      <c r="AI28" s="28"/>
      <c r="AJ28" s="28">
        <v>26</v>
      </c>
      <c r="AK28" s="28"/>
      <c r="AL28" s="28"/>
      <c r="AM28" s="29" t="s">
        <v>114</v>
      </c>
      <c r="AO28" t="str">
        <f t="shared" si="4"/>
        <v>viterbo</v>
      </c>
      <c r="AP28" t="str">
        <f t="shared" si="5"/>
        <v>caldas</v>
      </c>
      <c r="AQ28" t="b">
        <f t="shared" si="6"/>
        <v>0</v>
      </c>
      <c r="AR28" t="str">
        <f t="shared" si="7"/>
        <v>viterbo</v>
      </c>
      <c r="AS28" s="30">
        <f t="shared" si="8"/>
        <v>0</v>
      </c>
      <c r="AT28" s="30">
        <f t="shared" si="9"/>
        <v>12</v>
      </c>
      <c r="AU28" s="30">
        <f t="shared" si="10"/>
        <v>3</v>
      </c>
      <c r="AV28" s="30">
        <f t="shared" si="11"/>
        <v>3</v>
      </c>
      <c r="AZ28" s="31">
        <f t="shared" si="12"/>
        <v>3</v>
      </c>
      <c r="BA28" s="31">
        <f t="shared" si="13"/>
        <v>6</v>
      </c>
      <c r="BB28" s="32">
        <f>IFERROR(INDEX('Análisis general'!$E$4:$E$28,MATCH($B28,'Análisis general'!$B$4:$B$28,0)),"")</f>
        <v>7.9</v>
      </c>
      <c r="BC28" s="31">
        <f t="shared" si="14"/>
        <v>3</v>
      </c>
      <c r="BD28" s="32">
        <f t="shared" si="15"/>
        <v>6.4285714285714279</v>
      </c>
      <c r="BE28" s="32">
        <f t="shared" si="16"/>
        <v>9</v>
      </c>
    </row>
    <row r="29" spans="1:57" ht="25.5" customHeight="1" x14ac:dyDescent="0.25">
      <c r="A29" s="33" t="s">
        <v>209</v>
      </c>
      <c r="B29" s="11" t="s">
        <v>10</v>
      </c>
      <c r="C29" s="34" t="s">
        <v>112</v>
      </c>
      <c r="D29" s="24">
        <f t="shared" si="0"/>
        <v>6</v>
      </c>
      <c r="E29" s="59">
        <f t="shared" si="1"/>
        <v>6.4285714285714279</v>
      </c>
      <c r="F29" s="59">
        <f t="shared" si="2"/>
        <v>9</v>
      </c>
      <c r="G29" s="11" t="s">
        <v>210</v>
      </c>
      <c r="H29" s="25" t="s">
        <v>106</v>
      </c>
      <c r="I29" s="25" t="s">
        <v>106</v>
      </c>
      <c r="J29" s="26" t="s">
        <v>106</v>
      </c>
      <c r="K29" s="26" t="str">
        <f>IF($AQ29,"#N/D",IFERROR(INDEX(Olimpiadas!$A$2:$A$61,MATCH($AO29,Olimpiadas!$C$2:$C$61,0)),"#N/D"))</f>
        <v>#N/D</v>
      </c>
      <c r="L29" s="26" t="str">
        <f>IF($AQ29,"#N/D",IFERROR(INDEX(Minculturas!$A$2:$A$48,MATCH($AO29,Minculturas!$C$2:$C$48,0)),"#N/D"))</f>
        <v>#N/D</v>
      </c>
      <c r="M29" s="26" t="str">
        <f>IF($AQ29,"#N/D",IFERROR(INDEX(Minculturas!$B$2:$B$48,MATCH($AO29,Minculturas!$C$2:$C$48,0)),"#N/D"))</f>
        <v>#N/D</v>
      </c>
      <c r="N29" s="27">
        <v>11</v>
      </c>
      <c r="O29" s="28">
        <v>0</v>
      </c>
      <c r="P29" s="28">
        <v>2</v>
      </c>
      <c r="Q29" s="28">
        <v>2</v>
      </c>
      <c r="R29" s="28">
        <v>0</v>
      </c>
      <c r="S29" s="28">
        <v>4</v>
      </c>
      <c r="T29" s="28">
        <v>2</v>
      </c>
      <c r="U29" s="28">
        <v>0</v>
      </c>
      <c r="V29" s="28">
        <v>0</v>
      </c>
      <c r="W29" s="28">
        <v>1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7">
        <f t="shared" si="3"/>
        <v>11</v>
      </c>
      <c r="AH29" s="28"/>
      <c r="AI29" s="28"/>
      <c r="AJ29" s="28">
        <v>36.6</v>
      </c>
      <c r="AK29" s="28"/>
      <c r="AL29" s="28"/>
      <c r="AM29" s="29" t="s">
        <v>114</v>
      </c>
      <c r="AO29" t="str">
        <f t="shared" si="4"/>
        <v>tamesis</v>
      </c>
      <c r="AP29" t="str">
        <f t="shared" si="5"/>
        <v>antioquia</v>
      </c>
      <c r="AQ29" t="b">
        <f t="shared" si="6"/>
        <v>0</v>
      </c>
      <c r="AR29" t="str">
        <f t="shared" si="7"/>
        <v>tamesis</v>
      </c>
      <c r="AS29" s="30">
        <f t="shared" si="8"/>
        <v>0</v>
      </c>
      <c r="AT29" s="30">
        <f t="shared" si="9"/>
        <v>11</v>
      </c>
      <c r="AU29" s="30">
        <f t="shared" si="10"/>
        <v>3</v>
      </c>
      <c r="AV29" s="30">
        <f t="shared" si="11"/>
        <v>3</v>
      </c>
      <c r="AZ29" s="31">
        <f t="shared" si="12"/>
        <v>3</v>
      </c>
      <c r="BA29" s="31">
        <f t="shared" si="13"/>
        <v>6</v>
      </c>
      <c r="BB29" s="32">
        <f>IFERROR(INDEX('Análisis general'!$E$4:$E$28,MATCH($B29,'Análisis general'!$B$4:$B$28,0)),"")</f>
        <v>9.5</v>
      </c>
      <c r="BC29" s="31">
        <f t="shared" si="14"/>
        <v>3</v>
      </c>
      <c r="BD29" s="32">
        <f t="shared" si="15"/>
        <v>6.4285714285714279</v>
      </c>
      <c r="BE29" s="32">
        <f t="shared" si="16"/>
        <v>9</v>
      </c>
    </row>
    <row r="30" spans="1:57" ht="25.5" customHeight="1" x14ac:dyDescent="0.25">
      <c r="A30" s="33" t="s">
        <v>177</v>
      </c>
      <c r="B30" s="11" t="s">
        <v>24</v>
      </c>
      <c r="C30" s="60" t="s">
        <v>1214</v>
      </c>
      <c r="D30" s="24">
        <f t="shared" si="0"/>
        <v>6</v>
      </c>
      <c r="E30" s="59">
        <f t="shared" si="1"/>
        <v>6.4285714285714279</v>
      </c>
      <c r="F30" s="59">
        <f t="shared" si="2"/>
        <v>9</v>
      </c>
      <c r="G30" s="11" t="s">
        <v>178</v>
      </c>
      <c r="H30" s="25" t="str">
        <f>IFERROR(IF($AQ30,INDEX(cpe!$C$2:$C$307,MATCH($AR30,cpe!$F$2:$F$307,0)),INDEX(cpe!$C$2:$C$307,MATCH($AR30,cpe!$D$2:$D$307,0))),"#N/D")</f>
        <v>#N/D</v>
      </c>
      <c r="I30" s="25" t="str">
        <f>IFERROR(IF($AQ30,INDEX(cpe!$B$2:$B$307,MATCH($AR30,cpe!$F$2:$F$307,0)),INDEX(cpe!$B$2:$B$307,MATCH($AR30,cpe!$D$2:$D$307,0))),"#N/D")</f>
        <v>#N/D</v>
      </c>
      <c r="J30" s="26" t="str">
        <f>IF($AQ30,"#N/D",IFERROR(INDEX(Olimpiadas!$B$2:$B$61,MATCH($AO30,Olimpiadas!$C$2:$C$61,0)),"#N/D"))</f>
        <v>#N/D</v>
      </c>
      <c r="K30" s="26" t="str">
        <f>IF($AQ30,"#N/D",IFERROR(INDEX(Olimpiadas!$A$2:$A$61,MATCH($AO30,Olimpiadas!$C$2:$C$61,0)),"#N/D"))</f>
        <v>#N/D</v>
      </c>
      <c r="L30" s="26" t="str">
        <f>IF($AQ30,"#N/D",IFERROR(INDEX(Minculturas!$A$2:$A$48,MATCH($AO30,Minculturas!$C$2:$C$48,0)),"#N/D"))</f>
        <v>#N/D</v>
      </c>
      <c r="M30" s="26" t="str">
        <f>IF($AQ30,"#N/D",IFERROR(INDEX(Minculturas!$B$2:$B$48,MATCH($AO30,Minculturas!$C$2:$C$48,0)),"#N/D"))</f>
        <v>#N/D</v>
      </c>
      <c r="N30" s="27">
        <v>11</v>
      </c>
      <c r="O30" s="28">
        <v>0</v>
      </c>
      <c r="P30" s="28">
        <v>0</v>
      </c>
      <c r="Q30" s="28">
        <v>2</v>
      </c>
      <c r="R30" s="28">
        <v>1</v>
      </c>
      <c r="S30" s="28">
        <v>2</v>
      </c>
      <c r="T30" s="28">
        <v>3</v>
      </c>
      <c r="U30" s="28">
        <v>1</v>
      </c>
      <c r="V30" s="28">
        <v>1</v>
      </c>
      <c r="W30" s="28">
        <v>0</v>
      </c>
      <c r="X30" s="28">
        <v>0</v>
      </c>
      <c r="Y30" s="28">
        <v>0</v>
      </c>
      <c r="Z30" s="28">
        <v>1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7">
        <f t="shared" si="3"/>
        <v>10</v>
      </c>
      <c r="AH30" s="28"/>
      <c r="AI30" s="28"/>
      <c r="AJ30" s="28">
        <v>31.3</v>
      </c>
      <c r="AK30" s="28"/>
      <c r="AL30" s="28"/>
      <c r="AM30" s="29" t="s">
        <v>179</v>
      </c>
      <c r="AO30" t="str">
        <f t="shared" si="4"/>
        <v>neira</v>
      </c>
      <c r="AP30" t="str">
        <f t="shared" si="5"/>
        <v>caldas</v>
      </c>
      <c r="AQ30" t="b">
        <f t="shared" si="6"/>
        <v>0</v>
      </c>
      <c r="AR30" t="str">
        <f t="shared" si="7"/>
        <v>neira</v>
      </c>
      <c r="AS30" s="30">
        <f t="shared" si="8"/>
        <v>0</v>
      </c>
      <c r="AT30" s="30">
        <f t="shared" si="9"/>
        <v>10</v>
      </c>
      <c r="AU30" s="30">
        <f t="shared" si="10"/>
        <v>3</v>
      </c>
      <c r="AV30" s="30">
        <f t="shared" si="11"/>
        <v>3</v>
      </c>
      <c r="AZ30" s="31">
        <f t="shared" si="12"/>
        <v>3</v>
      </c>
      <c r="BA30" s="31">
        <f t="shared" si="13"/>
        <v>6</v>
      </c>
      <c r="BB30" s="32">
        <f>IFERROR(INDEX('Análisis general'!$E$4:$E$28,MATCH($B30,'Análisis general'!$B$4:$B$28,0)),"")</f>
        <v>7.9</v>
      </c>
      <c r="BC30" s="31">
        <f t="shared" si="14"/>
        <v>3</v>
      </c>
      <c r="BD30" s="32">
        <f t="shared" si="15"/>
        <v>6.4285714285714279</v>
      </c>
      <c r="BE30" s="32">
        <f t="shared" si="16"/>
        <v>9</v>
      </c>
    </row>
    <row r="31" spans="1:57" ht="25.5" customHeight="1" x14ac:dyDescent="0.25">
      <c r="A31" s="33" t="s">
        <v>207</v>
      </c>
      <c r="B31" s="11" t="s">
        <v>10</v>
      </c>
      <c r="C31" s="34" t="s">
        <v>112</v>
      </c>
      <c r="D31" s="24">
        <f t="shared" si="0"/>
        <v>6</v>
      </c>
      <c r="E31" s="59">
        <f t="shared" si="1"/>
        <v>6.4285714285714279</v>
      </c>
      <c r="F31" s="59">
        <f t="shared" si="2"/>
        <v>9</v>
      </c>
      <c r="G31" s="11" t="s">
        <v>208</v>
      </c>
      <c r="H31" s="25" t="s">
        <v>106</v>
      </c>
      <c r="I31" s="25" t="s">
        <v>106</v>
      </c>
      <c r="J31" s="26" t="s">
        <v>106</v>
      </c>
      <c r="K31" s="26" t="str">
        <f>IF($AQ31,"#N/D",IFERROR(INDEX(Olimpiadas!$A$2:$A$61,MATCH($AO31,Olimpiadas!$C$2:$C$61,0)),"#N/D"))</f>
        <v>#N/D</v>
      </c>
      <c r="L31" s="26" t="str">
        <f>IF($AQ31,"#N/D",IFERROR(INDEX(Minculturas!$A$2:$A$48,MATCH($AO31,Minculturas!$C$2:$C$48,0)),"#N/D"))</f>
        <v>#N/D</v>
      </c>
      <c r="M31" s="26" t="str">
        <f>IF($AQ31,"#N/D",IFERROR(INDEX(Minculturas!$B$2:$B$48,MATCH($AO31,Minculturas!$C$2:$C$48,0)),"#N/D"))</f>
        <v>#N/D</v>
      </c>
      <c r="N31" s="27">
        <v>8</v>
      </c>
      <c r="O31" s="28">
        <v>0</v>
      </c>
      <c r="P31" s="28">
        <v>1</v>
      </c>
      <c r="Q31" s="28">
        <v>3</v>
      </c>
      <c r="R31" s="28">
        <v>0</v>
      </c>
      <c r="S31" s="28">
        <v>0</v>
      </c>
      <c r="T31" s="28">
        <v>4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7">
        <f t="shared" si="3"/>
        <v>8</v>
      </c>
      <c r="AH31" s="28"/>
      <c r="AI31" s="28"/>
      <c r="AJ31" s="28">
        <v>37.9</v>
      </c>
      <c r="AK31" s="28"/>
      <c r="AL31" s="28"/>
      <c r="AM31" s="29" t="s">
        <v>114</v>
      </c>
      <c r="AO31" t="str">
        <f t="shared" si="4"/>
        <v>sonson</v>
      </c>
      <c r="AP31" t="str">
        <f t="shared" si="5"/>
        <v>antioquia</v>
      </c>
      <c r="AQ31" t="b">
        <f t="shared" si="6"/>
        <v>0</v>
      </c>
      <c r="AR31" t="str">
        <f t="shared" si="7"/>
        <v>sonson</v>
      </c>
      <c r="AS31" s="30">
        <f t="shared" si="8"/>
        <v>0</v>
      </c>
      <c r="AT31" s="30">
        <f t="shared" si="9"/>
        <v>8</v>
      </c>
      <c r="AU31" s="30">
        <f t="shared" si="10"/>
        <v>3</v>
      </c>
      <c r="AV31" s="30">
        <f t="shared" si="11"/>
        <v>3</v>
      </c>
      <c r="AZ31" s="31">
        <f t="shared" si="12"/>
        <v>3</v>
      </c>
      <c r="BA31" s="31">
        <f t="shared" si="13"/>
        <v>6</v>
      </c>
      <c r="BB31" s="32">
        <f>IFERROR(INDEX('Análisis general'!$E$4:$E$28,MATCH($B31,'Análisis general'!$B$4:$B$28,0)),"")</f>
        <v>9.5</v>
      </c>
      <c r="BC31" s="31">
        <f t="shared" si="14"/>
        <v>3</v>
      </c>
      <c r="BD31" s="32">
        <f t="shared" si="15"/>
        <v>6.4285714285714279</v>
      </c>
      <c r="BE31" s="32">
        <f t="shared" si="16"/>
        <v>9</v>
      </c>
    </row>
    <row r="32" spans="1:57" ht="25.5" customHeight="1" x14ac:dyDescent="0.25">
      <c r="A32" s="33" t="s">
        <v>190</v>
      </c>
      <c r="B32" s="11" t="s">
        <v>10</v>
      </c>
      <c r="C32" s="34" t="s">
        <v>112</v>
      </c>
      <c r="D32" s="24">
        <f t="shared" si="0"/>
        <v>6</v>
      </c>
      <c r="E32" s="59">
        <f t="shared" si="1"/>
        <v>6.4285714285714279</v>
      </c>
      <c r="F32" s="59">
        <f t="shared" si="2"/>
        <v>9</v>
      </c>
      <c r="G32" s="11" t="s">
        <v>191</v>
      </c>
      <c r="H32" s="25" t="str">
        <f>IFERROR(IF($AQ32,INDEX(cpe!$C$2:$C$307,MATCH($AR32,cpe!$F$2:$F$307,0)),INDEX(cpe!$C$2:$C$307,MATCH($AR32,cpe!$D$2:$D$307,0))),"#N/D")</f>
        <v>#N/D</v>
      </c>
      <c r="I32" s="25" t="str">
        <f>IFERROR(IF($AQ32,INDEX(cpe!$B$2:$B$307,MATCH($AR32,cpe!$F$2:$F$307,0)),INDEX(cpe!$B$2:$B$307,MATCH($AR32,cpe!$D$2:$D$307,0))),"#N/D")</f>
        <v>#N/D</v>
      </c>
      <c r="J32" s="26" t="str">
        <f>IF($AQ32,"#N/D",IFERROR(INDEX(Olimpiadas!$B$2:$B$61,MATCH($AO32,Olimpiadas!$C$2:$C$61,0)),"#N/D"))</f>
        <v>#N/D</v>
      </c>
      <c r="K32" s="26" t="str">
        <f>IF($AQ32,"#N/D",IFERROR(INDEX(Olimpiadas!$A$2:$A$61,MATCH($AO32,Olimpiadas!$C$2:$C$61,0)),"#N/D"))</f>
        <v>#N/D</v>
      </c>
      <c r="L32" s="26" t="str">
        <f>IF($AQ32,"#N/D",IFERROR(INDEX(Minculturas!$A$2:$A$48,MATCH($AO32,Minculturas!$C$2:$C$48,0)),"#N/D"))</f>
        <v>#N/D</v>
      </c>
      <c r="M32" s="26" t="str">
        <f>IF($AQ32,"#N/D",IFERROR(INDEX(Minculturas!$B$2:$B$48,MATCH($AO32,Minculturas!$C$2:$C$48,0)),"#N/D"))</f>
        <v>#N/D</v>
      </c>
      <c r="N32" s="27">
        <v>7</v>
      </c>
      <c r="O32" s="28">
        <v>0</v>
      </c>
      <c r="P32" s="28">
        <v>2</v>
      </c>
      <c r="Q32" s="28">
        <v>0</v>
      </c>
      <c r="R32" s="28">
        <v>0</v>
      </c>
      <c r="S32" s="28">
        <v>4</v>
      </c>
      <c r="T32" s="28">
        <v>0</v>
      </c>
      <c r="U32" s="28">
        <v>0</v>
      </c>
      <c r="V32" s="28">
        <v>1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7">
        <f t="shared" si="3"/>
        <v>7</v>
      </c>
      <c r="AH32" s="28"/>
      <c r="AI32" s="28"/>
      <c r="AJ32" s="28">
        <v>31.2</v>
      </c>
      <c r="AK32" s="28"/>
      <c r="AL32" s="28"/>
      <c r="AM32" s="29" t="s">
        <v>114</v>
      </c>
      <c r="AO32" t="str">
        <f t="shared" si="4"/>
        <v>la pintada</v>
      </c>
      <c r="AP32" t="str">
        <f t="shared" si="5"/>
        <v>antioquia</v>
      </c>
      <c r="AQ32" t="b">
        <f t="shared" si="6"/>
        <v>0</v>
      </c>
      <c r="AR32" t="str">
        <f t="shared" si="7"/>
        <v>la pintada</v>
      </c>
      <c r="AS32" s="30">
        <f t="shared" si="8"/>
        <v>0</v>
      </c>
      <c r="AT32" s="30">
        <f t="shared" si="9"/>
        <v>7</v>
      </c>
      <c r="AU32" s="30">
        <f t="shared" si="10"/>
        <v>3</v>
      </c>
      <c r="AV32" s="30">
        <f t="shared" si="11"/>
        <v>3</v>
      </c>
      <c r="AZ32" s="31">
        <f t="shared" si="12"/>
        <v>3</v>
      </c>
      <c r="BA32" s="31">
        <f t="shared" si="13"/>
        <v>6</v>
      </c>
      <c r="BB32" s="32">
        <f>IFERROR(INDEX('Análisis general'!$E$4:$E$28,MATCH($B32,'Análisis general'!$B$4:$B$28,0)),"")</f>
        <v>9.5</v>
      </c>
      <c r="BC32" s="31">
        <f t="shared" si="14"/>
        <v>3</v>
      </c>
      <c r="BD32" s="32">
        <f t="shared" si="15"/>
        <v>6.4285714285714279</v>
      </c>
      <c r="BE32" s="32">
        <f t="shared" si="16"/>
        <v>9</v>
      </c>
    </row>
    <row r="33" spans="1:57" ht="25.5" customHeight="1" x14ac:dyDescent="0.25">
      <c r="A33" s="33" t="s">
        <v>196</v>
      </c>
      <c r="B33" s="11" t="s">
        <v>10</v>
      </c>
      <c r="C33" s="34" t="s">
        <v>112</v>
      </c>
      <c r="D33" s="24">
        <f t="shared" si="0"/>
        <v>6</v>
      </c>
      <c r="E33" s="59">
        <f t="shared" si="1"/>
        <v>6.4285714285714279</v>
      </c>
      <c r="F33" s="59">
        <f t="shared" si="2"/>
        <v>9</v>
      </c>
      <c r="G33" s="11" t="s">
        <v>197</v>
      </c>
      <c r="H33" s="25" t="s">
        <v>106</v>
      </c>
      <c r="I33" s="25" t="s">
        <v>106</v>
      </c>
      <c r="J33" s="26" t="s">
        <v>106</v>
      </c>
      <c r="K33" s="26" t="str">
        <f>IF($AQ33,"#N/D",IFERROR(INDEX(Olimpiadas!$A$2:$A$61,MATCH($AO33,Olimpiadas!$C$2:$C$61,0)),"#N/D"))</f>
        <v>#N/D</v>
      </c>
      <c r="L33" s="26" t="str">
        <f>IF($AQ33,"#N/D",IFERROR(INDEX(Minculturas!$A$2:$A$48,MATCH($AO33,Minculturas!$C$2:$C$48,0)),"#N/D"))</f>
        <v>#N/D</v>
      </c>
      <c r="M33" s="26" t="str">
        <f>IF($AQ33,"#N/D",IFERROR(INDEX(Minculturas!$B$2:$B$48,MATCH($AO33,Minculturas!$C$2:$C$48,0)),"#N/D"))</f>
        <v>#N/D</v>
      </c>
      <c r="N33" s="27">
        <v>7</v>
      </c>
      <c r="O33" s="28">
        <v>0</v>
      </c>
      <c r="P33" s="28">
        <v>7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7">
        <f t="shared" si="3"/>
        <v>7</v>
      </c>
      <c r="AH33" s="28"/>
      <c r="AI33" s="28"/>
      <c r="AJ33" s="28">
        <v>4.5</v>
      </c>
      <c r="AK33" s="28"/>
      <c r="AL33" s="28"/>
      <c r="AM33" s="29" t="s">
        <v>114</v>
      </c>
      <c r="AO33" t="str">
        <f t="shared" si="4"/>
        <v>sabaneta</v>
      </c>
      <c r="AP33" t="str">
        <f t="shared" si="5"/>
        <v>antioquia</v>
      </c>
      <c r="AQ33" t="b">
        <f t="shared" si="6"/>
        <v>0</v>
      </c>
      <c r="AR33" t="str">
        <f t="shared" si="7"/>
        <v>sabaneta</v>
      </c>
      <c r="AS33" s="30">
        <f t="shared" si="8"/>
        <v>0</v>
      </c>
      <c r="AT33" s="30">
        <f t="shared" si="9"/>
        <v>7</v>
      </c>
      <c r="AU33" s="30">
        <f t="shared" si="10"/>
        <v>3</v>
      </c>
      <c r="AV33" s="30">
        <f t="shared" si="11"/>
        <v>3</v>
      </c>
      <c r="AZ33" s="31">
        <f t="shared" si="12"/>
        <v>3</v>
      </c>
      <c r="BA33" s="31">
        <f t="shared" si="13"/>
        <v>6</v>
      </c>
      <c r="BB33" s="32">
        <f>IFERROR(INDEX('Análisis general'!$E$4:$E$28,MATCH($B33,'Análisis general'!$B$4:$B$28,0)),"")</f>
        <v>9.5</v>
      </c>
      <c r="BC33" s="31">
        <f t="shared" si="14"/>
        <v>3</v>
      </c>
      <c r="BD33" s="32">
        <f t="shared" si="15"/>
        <v>6.4285714285714279</v>
      </c>
      <c r="BE33" s="32">
        <f t="shared" si="16"/>
        <v>9</v>
      </c>
    </row>
    <row r="34" spans="1:57" ht="25.5" customHeight="1" x14ac:dyDescent="0.25">
      <c r="A34" s="33" t="s">
        <v>186</v>
      </c>
      <c r="B34" s="11" t="s">
        <v>10</v>
      </c>
      <c r="C34" s="34" t="s">
        <v>112</v>
      </c>
      <c r="D34" s="24">
        <f t="shared" si="0"/>
        <v>6</v>
      </c>
      <c r="E34" s="59">
        <f t="shared" si="1"/>
        <v>6.4285714285714279</v>
      </c>
      <c r="F34" s="59">
        <f t="shared" si="2"/>
        <v>9</v>
      </c>
      <c r="G34" s="11" t="s">
        <v>187</v>
      </c>
      <c r="H34" s="25" t="str">
        <f>IFERROR(IF($AQ34,INDEX(cpe!$C$2:$C$307,MATCH($AR34,cpe!$F$2:$F$307,0)),INDEX(cpe!$C$2:$C$307,MATCH($AR34,cpe!$D$2:$D$307,0))),"#N/D")</f>
        <v>#N/D</v>
      </c>
      <c r="I34" s="25" t="str">
        <f>IFERROR(IF($AQ34,INDEX(cpe!$B$2:$B$307,MATCH($AR34,cpe!$F$2:$F$307,0)),INDEX(cpe!$B$2:$B$307,MATCH($AR34,cpe!$D$2:$D$307,0))),"#N/D")</f>
        <v>#N/D</v>
      </c>
      <c r="J34" s="26" t="str">
        <f>IF($AQ34,"#N/D",IFERROR(INDEX(Olimpiadas!$B$2:$B$61,MATCH($AO34,Olimpiadas!$C$2:$C$61,0)),"#N/D"))</f>
        <v>#N/D</v>
      </c>
      <c r="K34" s="26" t="str">
        <f>IF($AQ34,"#N/D",IFERROR(INDEX(Olimpiadas!$A$2:$A$61,MATCH($AO34,Olimpiadas!$C$2:$C$61,0)),"#N/D"))</f>
        <v>#N/D</v>
      </c>
      <c r="L34" s="26" t="str">
        <f>IF($AQ34,"#N/D",IFERROR(INDEX(Minculturas!$A$2:$A$48,MATCH($AO34,Minculturas!$C$2:$C$48,0)),"#N/D"))</f>
        <v>#N/D</v>
      </c>
      <c r="M34" s="26" t="str">
        <f>IF($AQ34,"#N/D",IFERROR(INDEX(Minculturas!$B$2:$B$48,MATCH($AO34,Minculturas!$C$2:$C$48,0)),"#N/D"))</f>
        <v>#N/D</v>
      </c>
      <c r="N34" s="27">
        <v>9</v>
      </c>
      <c r="O34" s="28">
        <v>0</v>
      </c>
      <c r="P34" s="28">
        <v>1</v>
      </c>
      <c r="Q34" s="28">
        <v>1</v>
      </c>
      <c r="R34" s="28">
        <v>0</v>
      </c>
      <c r="S34" s="28">
        <v>0</v>
      </c>
      <c r="T34" s="28">
        <v>4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2</v>
      </c>
      <c r="AC34" s="28">
        <v>1</v>
      </c>
      <c r="AD34" s="28">
        <v>0</v>
      </c>
      <c r="AE34" s="28">
        <v>0</v>
      </c>
      <c r="AF34" s="28">
        <v>0</v>
      </c>
      <c r="AG34" s="27">
        <f t="shared" si="3"/>
        <v>6</v>
      </c>
      <c r="AH34" s="28"/>
      <c r="AI34" s="28"/>
      <c r="AJ34" s="28">
        <v>28.5</v>
      </c>
      <c r="AK34" s="28"/>
      <c r="AL34" s="28"/>
      <c r="AM34" s="29" t="s">
        <v>114</v>
      </c>
      <c r="AO34" t="str">
        <f t="shared" si="4"/>
        <v>jardin</v>
      </c>
      <c r="AP34" t="str">
        <f t="shared" si="5"/>
        <v>antioquia</v>
      </c>
      <c r="AQ34" t="b">
        <f t="shared" si="6"/>
        <v>0</v>
      </c>
      <c r="AR34" t="str">
        <f t="shared" si="7"/>
        <v>jardin</v>
      </c>
      <c r="AS34" s="30">
        <f t="shared" si="8"/>
        <v>0</v>
      </c>
      <c r="AT34" s="30">
        <f t="shared" si="9"/>
        <v>6</v>
      </c>
      <c r="AU34" s="30">
        <f t="shared" si="10"/>
        <v>3</v>
      </c>
      <c r="AV34" s="30">
        <f t="shared" si="11"/>
        <v>3</v>
      </c>
      <c r="AZ34" s="31">
        <f t="shared" si="12"/>
        <v>3</v>
      </c>
      <c r="BA34" s="31">
        <f t="shared" si="13"/>
        <v>6</v>
      </c>
      <c r="BB34" s="32">
        <f>IFERROR(INDEX('Análisis general'!$E$4:$E$28,MATCH($B34,'Análisis general'!$B$4:$B$28,0)),"")</f>
        <v>9.5</v>
      </c>
      <c r="BC34" s="31">
        <f t="shared" si="14"/>
        <v>3</v>
      </c>
      <c r="BD34" s="32">
        <f t="shared" si="15"/>
        <v>6.4285714285714279</v>
      </c>
      <c r="BE34" s="32">
        <f t="shared" si="16"/>
        <v>9</v>
      </c>
    </row>
    <row r="35" spans="1:57" ht="25.5" customHeight="1" x14ac:dyDescent="0.25">
      <c r="A35" s="33" t="s">
        <v>188</v>
      </c>
      <c r="B35" s="11" t="s">
        <v>10</v>
      </c>
      <c r="C35" s="34" t="s">
        <v>112</v>
      </c>
      <c r="D35" s="24">
        <f t="shared" si="0"/>
        <v>6</v>
      </c>
      <c r="E35" s="59">
        <f t="shared" si="1"/>
        <v>6.4285714285714279</v>
      </c>
      <c r="F35" s="59">
        <f t="shared" si="2"/>
        <v>9</v>
      </c>
      <c r="G35" s="11" t="s">
        <v>189</v>
      </c>
      <c r="H35" s="25" t="str">
        <f>IFERROR(IF($AQ35,INDEX(cpe!$C$2:$C$307,MATCH($AR35,cpe!$F$2:$F$307,0)),INDEX(cpe!$C$2:$C$307,MATCH($AR35,cpe!$D$2:$D$307,0))),"#N/D")</f>
        <v>#N/D</v>
      </c>
      <c r="I35" s="25" t="str">
        <f>IFERROR(IF($AQ35,INDEX(cpe!$B$2:$B$307,MATCH($AR35,cpe!$F$2:$F$307,0)),INDEX(cpe!$B$2:$B$307,MATCH($AR35,cpe!$D$2:$D$307,0))),"#N/D")</f>
        <v>#N/D</v>
      </c>
      <c r="J35" s="26" t="str">
        <f>IF($AQ35,"#N/D",IFERROR(INDEX(Olimpiadas!$B$2:$B$61,MATCH($AO35,Olimpiadas!$C$2:$C$61,0)),"#N/D"))</f>
        <v>#N/D</v>
      </c>
      <c r="K35" s="39" t="str">
        <f>IF($AQ35,"#N/D",IFERROR(INDEX(Olimpiadas!$A$2:$A$61,MATCH($AO35,Olimpiadas!$C$2:$C$61,0)),"#N/D"))</f>
        <v>#N/D</v>
      </c>
      <c r="L35" s="39" t="str">
        <f>IF($AQ35,"#N/D",IFERROR(INDEX(Minculturas!$A$2:$A$48,MATCH($AO35,Minculturas!$C$2:$C$48,0)),"#N/D"))</f>
        <v>#N/D</v>
      </c>
      <c r="M35" s="39" t="str">
        <f>IF($AQ35,"#N/D",IFERROR(INDEX(Minculturas!$B$2:$B$48,MATCH($AO35,Minculturas!$C$2:$C$48,0)),"#N/D"))</f>
        <v>#N/D</v>
      </c>
      <c r="N35" s="27">
        <v>6</v>
      </c>
      <c r="O35" s="28">
        <v>0</v>
      </c>
      <c r="P35" s="28">
        <v>2</v>
      </c>
      <c r="Q35" s="28">
        <v>1</v>
      </c>
      <c r="R35" s="28">
        <v>0</v>
      </c>
      <c r="S35" s="28">
        <v>0</v>
      </c>
      <c r="T35" s="28">
        <v>3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7">
        <f t="shared" si="3"/>
        <v>6</v>
      </c>
      <c r="AH35" s="28"/>
      <c r="AI35" s="28"/>
      <c r="AJ35" s="28">
        <v>25.8</v>
      </c>
      <c r="AK35" s="28"/>
      <c r="AL35" s="28"/>
      <c r="AM35" s="29" t="s">
        <v>114</v>
      </c>
      <c r="AO35" t="str">
        <f t="shared" si="4"/>
        <v>jerico</v>
      </c>
      <c r="AP35" t="str">
        <f t="shared" si="5"/>
        <v>antioquia</v>
      </c>
      <c r="AQ35" t="b">
        <f t="shared" si="6"/>
        <v>0</v>
      </c>
      <c r="AR35" t="str">
        <f t="shared" si="7"/>
        <v>jerico</v>
      </c>
      <c r="AS35" s="30">
        <f t="shared" si="8"/>
        <v>0</v>
      </c>
      <c r="AT35" s="30">
        <f t="shared" si="9"/>
        <v>6</v>
      </c>
      <c r="AU35" s="30">
        <f t="shared" si="10"/>
        <v>3</v>
      </c>
      <c r="AV35" s="30">
        <f t="shared" si="11"/>
        <v>3</v>
      </c>
      <c r="AZ35" s="31">
        <f t="shared" si="12"/>
        <v>3</v>
      </c>
      <c r="BA35" s="31">
        <f t="shared" si="13"/>
        <v>6</v>
      </c>
      <c r="BB35" s="32">
        <f>IFERROR(INDEX('Análisis general'!$E$4:$E$28,MATCH($B35,'Análisis general'!$B$4:$B$28,0)),"")</f>
        <v>9.5</v>
      </c>
      <c r="BC35" s="31">
        <f t="shared" si="14"/>
        <v>3</v>
      </c>
      <c r="BD35" s="32">
        <f t="shared" si="15"/>
        <v>6.4285714285714279</v>
      </c>
      <c r="BE35" s="32">
        <f t="shared" si="16"/>
        <v>9</v>
      </c>
    </row>
    <row r="36" spans="1:57" ht="25.5" customHeight="1" x14ac:dyDescent="0.25">
      <c r="A36" s="33" t="s">
        <v>202</v>
      </c>
      <c r="B36" s="11" t="s">
        <v>24</v>
      </c>
      <c r="C36" s="34" t="s">
        <v>112</v>
      </c>
      <c r="D36" s="24">
        <f t="shared" si="0"/>
        <v>6</v>
      </c>
      <c r="E36" s="59">
        <f t="shared" si="1"/>
        <v>6.4285714285714279</v>
      </c>
      <c r="F36" s="59">
        <f t="shared" si="2"/>
        <v>9</v>
      </c>
      <c r="G36" s="11" t="s">
        <v>203</v>
      </c>
      <c r="H36" s="25" t="s">
        <v>106</v>
      </c>
      <c r="I36" s="25" t="s">
        <v>106</v>
      </c>
      <c r="J36" s="26" t="s">
        <v>106</v>
      </c>
      <c r="K36" s="26" t="str">
        <f>IF($AQ36,"#N/D",IFERROR(INDEX(Olimpiadas!$A$2:$A$61,MATCH($AO36,Olimpiadas!$C$2:$C$61,0)),"#N/D"))</f>
        <v>#N/D</v>
      </c>
      <c r="L36" s="26" t="str">
        <f>IF($AQ36,"#N/D",IFERROR(INDEX(Minculturas!$A$2:$A$48,MATCH($AO36,Minculturas!$C$2:$C$48,0)),"#N/D"))</f>
        <v>#N/D</v>
      </c>
      <c r="M36" s="26" t="str">
        <f>IF($AQ36,"#N/D",IFERROR(INDEX(Minculturas!$B$2:$B$48,MATCH($AO36,Minculturas!$C$2:$C$48,0)),"#N/D"))</f>
        <v>#N/D</v>
      </c>
      <c r="N36" s="27">
        <v>5</v>
      </c>
      <c r="O36" s="28">
        <v>0</v>
      </c>
      <c r="P36" s="28">
        <v>0</v>
      </c>
      <c r="Q36" s="28">
        <v>1</v>
      </c>
      <c r="R36" s="28">
        <v>0</v>
      </c>
      <c r="S36" s="28">
        <v>3</v>
      </c>
      <c r="T36" s="28">
        <v>0</v>
      </c>
      <c r="U36" s="28">
        <v>1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7">
        <f t="shared" si="3"/>
        <v>5</v>
      </c>
      <c r="AH36" s="28"/>
      <c r="AI36" s="28"/>
      <c r="AJ36" s="28">
        <v>39.9</v>
      </c>
      <c r="AK36" s="28"/>
      <c r="AL36" s="28"/>
      <c r="AM36" s="29" t="s">
        <v>114</v>
      </c>
      <c r="AO36" t="str">
        <f t="shared" si="4"/>
        <v>samana</v>
      </c>
      <c r="AP36" t="str">
        <f t="shared" si="5"/>
        <v>caldas</v>
      </c>
      <c r="AQ36" t="b">
        <f t="shared" si="6"/>
        <v>0</v>
      </c>
      <c r="AR36" t="str">
        <f t="shared" si="7"/>
        <v>samana</v>
      </c>
      <c r="AS36" s="30">
        <f t="shared" si="8"/>
        <v>0</v>
      </c>
      <c r="AT36" s="30">
        <f t="shared" si="9"/>
        <v>5</v>
      </c>
      <c r="AU36" s="30">
        <f t="shared" si="10"/>
        <v>3</v>
      </c>
      <c r="AV36" s="30">
        <f t="shared" si="11"/>
        <v>3</v>
      </c>
      <c r="AZ36" s="31">
        <f t="shared" si="12"/>
        <v>3</v>
      </c>
      <c r="BA36" s="31">
        <f t="shared" si="13"/>
        <v>6</v>
      </c>
      <c r="BB36" s="32">
        <f>IFERROR(INDEX('Análisis general'!$E$4:$E$28,MATCH($B36,'Análisis general'!$B$4:$B$28,0)),"")</f>
        <v>7.9</v>
      </c>
      <c r="BC36" s="31">
        <f t="shared" si="14"/>
        <v>3</v>
      </c>
      <c r="BD36" s="32">
        <f t="shared" si="15"/>
        <v>6.4285714285714279</v>
      </c>
      <c r="BE36" s="32">
        <f t="shared" si="16"/>
        <v>9</v>
      </c>
    </row>
    <row r="37" spans="1:57" ht="25.5" customHeight="1" x14ac:dyDescent="0.25">
      <c r="A37" s="33" t="s">
        <v>223</v>
      </c>
      <c r="B37" s="11" t="s">
        <v>28</v>
      </c>
      <c r="C37" s="34" t="s">
        <v>112</v>
      </c>
      <c r="D37" s="24">
        <f t="shared" si="0"/>
        <v>6</v>
      </c>
      <c r="E37" s="59">
        <f t="shared" si="1"/>
        <v>6.4285714285714279</v>
      </c>
      <c r="F37" s="59">
        <f t="shared" si="2"/>
        <v>9</v>
      </c>
      <c r="G37" s="11" t="s">
        <v>224</v>
      </c>
      <c r="H37" s="25" t="str">
        <f>IFERROR(IF($AQ37,INDEX(cpe!$C$2:$C$307,MATCH($AR37,cpe!$F$2:$F$307,0)),INDEX(cpe!$C$2:$C$307,MATCH($AR37,cpe!$D$2:$D$307,0))),"#N/D")</f>
        <v>#N/D</v>
      </c>
      <c r="I37" s="25" t="str">
        <f>IFERROR(IF($AQ37,INDEX(cpe!$B$2:$B$307,MATCH($AR37,cpe!$F$2:$F$307,0)),INDEX(cpe!$B$2:$B$307,MATCH($AR37,cpe!$D$2:$D$307,0))),"#N/D")</f>
        <v>#N/D</v>
      </c>
      <c r="J37" s="26" t="str">
        <f>IF($AQ37,"#N/D",IFERROR(INDEX(Olimpiadas!$B$2:$B$61,MATCH($AO37,Olimpiadas!$C$2:$C$61,0)),"#N/D"))</f>
        <v>#N/D</v>
      </c>
      <c r="K37" s="26" t="str">
        <f>IF($AQ37,"#N/D",IFERROR(INDEX(Olimpiadas!$A$2:$A$61,MATCH($AO37,Olimpiadas!$C$2:$C$61,0)),"#N/D"))</f>
        <v>#N/D</v>
      </c>
      <c r="L37" s="26" t="str">
        <f>IF($AQ37,"#N/D",IFERROR(INDEX(Minculturas!$A$2:$A$48,MATCH($AO37,Minculturas!$C$2:$C$48,0)),"#N/D"))</f>
        <v>#N/D</v>
      </c>
      <c r="M37" s="26" t="str">
        <f>IF($AQ37,"#N/D",IFERROR(INDEX(Minculturas!$B$2:$B$48,MATCH($AO37,Minculturas!$C$2:$C$48,0)),"#N/D"))</f>
        <v>#N/D</v>
      </c>
      <c r="N37" s="27">
        <v>5</v>
      </c>
      <c r="O37" s="28">
        <v>0</v>
      </c>
      <c r="P37" s="28">
        <v>0</v>
      </c>
      <c r="Q37" s="28">
        <v>1</v>
      </c>
      <c r="R37" s="28">
        <v>0</v>
      </c>
      <c r="S37" s="28">
        <v>1</v>
      </c>
      <c r="T37" s="28">
        <v>1</v>
      </c>
      <c r="U37" s="28">
        <v>1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1</v>
      </c>
      <c r="AC37" s="28">
        <v>0</v>
      </c>
      <c r="AD37" s="28">
        <v>0</v>
      </c>
      <c r="AE37" s="28">
        <v>0</v>
      </c>
      <c r="AF37" s="28">
        <v>0</v>
      </c>
      <c r="AG37" s="27">
        <f t="shared" si="3"/>
        <v>4</v>
      </c>
      <c r="AH37" s="28"/>
      <c r="AI37" s="28"/>
      <c r="AJ37" s="28">
        <v>48.7</v>
      </c>
      <c r="AK37" s="28"/>
      <c r="AL37" s="28"/>
      <c r="AM37" s="29" t="s">
        <v>114</v>
      </c>
      <c r="AO37" t="str">
        <f t="shared" si="4"/>
        <v>argelia</v>
      </c>
      <c r="AP37" t="str">
        <f t="shared" si="5"/>
        <v>cauca</v>
      </c>
      <c r="AQ37" t="b">
        <f t="shared" si="6"/>
        <v>1</v>
      </c>
      <c r="AR37" t="str">
        <f t="shared" si="7"/>
        <v>argelia|cauca</v>
      </c>
      <c r="AS37" s="30">
        <f t="shared" si="8"/>
        <v>0</v>
      </c>
      <c r="AT37" s="30">
        <f t="shared" si="9"/>
        <v>4</v>
      </c>
      <c r="AU37" s="30">
        <f t="shared" si="10"/>
        <v>3</v>
      </c>
      <c r="AV37" s="30">
        <f t="shared" si="11"/>
        <v>3</v>
      </c>
      <c r="AZ37" s="31">
        <f t="shared" si="12"/>
        <v>3</v>
      </c>
      <c r="BA37" s="31">
        <f t="shared" si="13"/>
        <v>6</v>
      </c>
      <c r="BB37" s="32">
        <f>IFERROR(INDEX('Análisis general'!$E$4:$E$28,MATCH($B37,'Análisis general'!$B$4:$B$28,0)),"")</f>
        <v>13</v>
      </c>
      <c r="BC37" s="31">
        <f t="shared" si="14"/>
        <v>3</v>
      </c>
      <c r="BD37" s="32">
        <f t="shared" si="15"/>
        <v>6.4285714285714279</v>
      </c>
      <c r="BE37" s="32">
        <f t="shared" si="16"/>
        <v>9</v>
      </c>
    </row>
    <row r="38" spans="1:57" ht="25.5" customHeight="1" x14ac:dyDescent="0.25">
      <c r="A38" s="33" t="s">
        <v>225</v>
      </c>
      <c r="B38" s="11" t="s">
        <v>31</v>
      </c>
      <c r="C38" s="34" t="s">
        <v>112</v>
      </c>
      <c r="D38" s="24">
        <f t="shared" si="0"/>
        <v>6</v>
      </c>
      <c r="E38" s="59">
        <f t="shared" si="1"/>
        <v>6.4285714285714279</v>
      </c>
      <c r="F38" s="59">
        <f t="shared" si="2"/>
        <v>9</v>
      </c>
      <c r="G38" s="11" t="s">
        <v>226</v>
      </c>
      <c r="H38" s="25" t="str">
        <f>IFERROR(IF($AQ38,INDEX(cpe!$C$2:$C$307,MATCH($AR38,cpe!$F$2:$F$307,0)),INDEX(cpe!$C$2:$C$307,MATCH($AR38,cpe!$D$2:$D$307,0))),"#N/D")</f>
        <v>#N/D</v>
      </c>
      <c r="I38" s="25" t="str">
        <f>IFERROR(IF($AQ38,INDEX(cpe!$B$2:$B$307,MATCH($AR38,cpe!$F$2:$F$307,0)),INDEX(cpe!$B$2:$B$307,MATCH($AR38,cpe!$D$2:$D$307,0))),"#N/D")</f>
        <v>#N/D</v>
      </c>
      <c r="J38" s="26" t="str">
        <f>IF($AQ38,"#N/D",IFERROR(INDEX(Olimpiadas!$B$2:$B$61,MATCH($AO38,Olimpiadas!$C$2:$C$61,0)),"#N/D"))</f>
        <v>#N/D</v>
      </c>
      <c r="K38" s="26" t="str">
        <f>IF($AQ38,"#N/D",IFERROR(INDEX(Olimpiadas!$A$2:$A$61,MATCH($AO38,Olimpiadas!$C$2:$C$61,0)),"#N/D"))</f>
        <v>#N/D</v>
      </c>
      <c r="L38" s="26" t="str">
        <f>IF($AQ38,"#N/D",IFERROR(INDEX(Minculturas!$A$2:$A$48,MATCH($AO38,Minculturas!$C$2:$C$48,0)),"#N/D"))</f>
        <v>#N/D</v>
      </c>
      <c r="M38" s="26" t="str">
        <f>IF($AQ38,"#N/D",IFERROR(INDEX(Minculturas!$B$2:$B$48,MATCH($AO38,Minculturas!$C$2:$C$48,0)),"#N/D"))</f>
        <v>#N/D</v>
      </c>
      <c r="N38" s="27">
        <v>5</v>
      </c>
      <c r="O38" s="28">
        <v>0</v>
      </c>
      <c r="P38" s="28">
        <v>1</v>
      </c>
      <c r="Q38" s="28">
        <v>0</v>
      </c>
      <c r="R38" s="28">
        <v>0</v>
      </c>
      <c r="S38" s="28">
        <v>2</v>
      </c>
      <c r="T38" s="28">
        <v>0</v>
      </c>
      <c r="U38" s="28">
        <v>1</v>
      </c>
      <c r="V38" s="28">
        <v>0</v>
      </c>
      <c r="W38" s="28">
        <v>0</v>
      </c>
      <c r="X38" s="28">
        <v>0</v>
      </c>
      <c r="Y38" s="28">
        <v>0</v>
      </c>
      <c r="Z38" s="28">
        <v>1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7">
        <f t="shared" si="3"/>
        <v>4</v>
      </c>
      <c r="AH38" s="28"/>
      <c r="AI38" s="28"/>
      <c r="AJ38" s="28">
        <v>55.9</v>
      </c>
      <c r="AK38" s="28"/>
      <c r="AL38" s="28"/>
      <c r="AM38" s="29" t="s">
        <v>114</v>
      </c>
      <c r="AO38" t="str">
        <f t="shared" si="4"/>
        <v>certegui</v>
      </c>
      <c r="AP38" t="str">
        <f t="shared" si="5"/>
        <v>choco</v>
      </c>
      <c r="AQ38" t="b">
        <f t="shared" si="6"/>
        <v>0</v>
      </c>
      <c r="AR38" t="str">
        <f t="shared" si="7"/>
        <v>certegui</v>
      </c>
      <c r="AS38" s="30">
        <f t="shared" si="8"/>
        <v>0</v>
      </c>
      <c r="AT38" s="30">
        <f t="shared" si="9"/>
        <v>4</v>
      </c>
      <c r="AU38" s="30">
        <f t="shared" si="10"/>
        <v>3</v>
      </c>
      <c r="AV38" s="30">
        <f t="shared" si="11"/>
        <v>3</v>
      </c>
      <c r="AZ38" s="31">
        <f t="shared" si="12"/>
        <v>3</v>
      </c>
      <c r="BA38" s="31">
        <f t="shared" si="13"/>
        <v>6</v>
      </c>
      <c r="BB38" s="32">
        <f>IFERROR(INDEX('Análisis general'!$E$4:$E$28,MATCH($B38,'Análisis general'!$B$4:$B$28,0)),"")</f>
        <v>30.8</v>
      </c>
      <c r="BC38" s="31">
        <f t="shared" si="14"/>
        <v>3</v>
      </c>
      <c r="BD38" s="32">
        <f t="shared" si="15"/>
        <v>6.4285714285714279</v>
      </c>
      <c r="BE38" s="32">
        <f t="shared" si="16"/>
        <v>9</v>
      </c>
    </row>
    <row r="39" spans="1:57" ht="25.5" customHeight="1" x14ac:dyDescent="0.25">
      <c r="A39" s="33" t="s">
        <v>238</v>
      </c>
      <c r="B39" s="11" t="s">
        <v>28</v>
      </c>
      <c r="C39" s="34" t="s">
        <v>112</v>
      </c>
      <c r="D39" s="24">
        <f t="shared" si="0"/>
        <v>6</v>
      </c>
      <c r="E39" s="59">
        <f t="shared" si="1"/>
        <v>6.4285714285714279</v>
      </c>
      <c r="F39" s="59">
        <f t="shared" si="2"/>
        <v>9</v>
      </c>
      <c r="G39" s="11" t="s">
        <v>239</v>
      </c>
      <c r="H39" s="25" t="str">
        <f>IFERROR(IF($AQ39,INDEX(cpe!$C$2:$C$307,MATCH($AR39,cpe!$F$2:$F$307,0)),INDEX(cpe!$C$2:$C$307,MATCH($AR39,cpe!$D$2:$D$307,0))),"#N/D")</f>
        <v>#N/D</v>
      </c>
      <c r="I39" s="25" t="str">
        <f>IFERROR(IF($AQ39,INDEX(cpe!$B$2:$B$307,MATCH($AR39,cpe!$F$2:$F$307,0)),INDEX(cpe!$B$2:$B$307,MATCH($AR39,cpe!$D$2:$D$307,0))),"#N/D")</f>
        <v>#N/D</v>
      </c>
      <c r="J39" s="26" t="str">
        <f>IF($AQ39,"#N/D",IFERROR(INDEX(Olimpiadas!$B$2:$B$61,MATCH($AO39,Olimpiadas!$C$2:$C$61,0)),"#N/D"))</f>
        <v>#N/D</v>
      </c>
      <c r="K39" s="26" t="str">
        <f>IF($AQ39,"#N/D",IFERROR(INDEX(Olimpiadas!$A$2:$A$61,MATCH($AO39,Olimpiadas!$C$2:$C$61,0)),"#N/D"))</f>
        <v>#N/D</v>
      </c>
      <c r="L39" s="26" t="str">
        <f>IF($AQ39,"#N/D",IFERROR(INDEX(Minculturas!$A$2:$A$48,MATCH($AO39,Minculturas!$C$2:$C$48,0)),"#N/D"))</f>
        <v>#N/D</v>
      </c>
      <c r="M39" s="26" t="str">
        <f>IF($AQ39,"#N/D",IFERROR(INDEX(Minculturas!$B$2:$B$48,MATCH($AO39,Minculturas!$C$2:$C$48,0)),"#N/D"))</f>
        <v>#N/D</v>
      </c>
      <c r="N39" s="27">
        <v>4</v>
      </c>
      <c r="O39" s="28">
        <v>0</v>
      </c>
      <c r="P39" s="28">
        <v>2</v>
      </c>
      <c r="Q39" s="28">
        <v>0</v>
      </c>
      <c r="R39" s="28">
        <v>0</v>
      </c>
      <c r="S39" s="28">
        <v>0</v>
      </c>
      <c r="T39" s="28">
        <v>1</v>
      </c>
      <c r="U39" s="28">
        <v>0</v>
      </c>
      <c r="V39" s="28">
        <v>0</v>
      </c>
      <c r="W39" s="28">
        <v>0</v>
      </c>
      <c r="X39" s="28">
        <v>1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7">
        <f t="shared" si="3"/>
        <v>4</v>
      </c>
      <c r="AH39" s="28"/>
      <c r="AI39" s="28"/>
      <c r="AJ39" s="28">
        <v>48.7</v>
      </c>
      <c r="AK39" s="28"/>
      <c r="AL39" s="28"/>
      <c r="AM39" s="29" t="s">
        <v>114</v>
      </c>
      <c r="AO39" t="str">
        <f t="shared" si="4"/>
        <v>morales</v>
      </c>
      <c r="AP39" t="str">
        <f t="shared" si="5"/>
        <v>cauca</v>
      </c>
      <c r="AQ39" t="b">
        <f t="shared" si="6"/>
        <v>0</v>
      </c>
      <c r="AR39" t="str">
        <f t="shared" si="7"/>
        <v>morales</v>
      </c>
      <c r="AS39" s="30">
        <f t="shared" si="8"/>
        <v>0</v>
      </c>
      <c r="AT39" s="30">
        <f t="shared" si="9"/>
        <v>4</v>
      </c>
      <c r="AU39" s="30">
        <f t="shared" si="10"/>
        <v>3</v>
      </c>
      <c r="AV39" s="30">
        <f t="shared" si="11"/>
        <v>3</v>
      </c>
      <c r="AZ39" s="31">
        <f t="shared" si="12"/>
        <v>3</v>
      </c>
      <c r="BA39" s="31">
        <f t="shared" si="13"/>
        <v>6</v>
      </c>
      <c r="BB39" s="32">
        <f>IFERROR(INDEX('Análisis general'!$E$4:$E$28,MATCH($B39,'Análisis general'!$B$4:$B$28,0)),"")</f>
        <v>13</v>
      </c>
      <c r="BC39" s="31">
        <f t="shared" si="14"/>
        <v>3</v>
      </c>
      <c r="BD39" s="32">
        <f t="shared" si="15"/>
        <v>6.4285714285714279</v>
      </c>
      <c r="BE39" s="32">
        <f t="shared" si="16"/>
        <v>9</v>
      </c>
    </row>
    <row r="40" spans="1:57" ht="25.5" customHeight="1" x14ac:dyDescent="0.25">
      <c r="A40" s="33" t="s">
        <v>219</v>
      </c>
      <c r="B40" s="11" t="s">
        <v>31</v>
      </c>
      <c r="C40" s="34" t="s">
        <v>112</v>
      </c>
      <c r="D40" s="24">
        <f t="shared" si="0"/>
        <v>6</v>
      </c>
      <c r="E40" s="59">
        <f t="shared" si="1"/>
        <v>6.4285714285714279</v>
      </c>
      <c r="F40" s="59">
        <f t="shared" si="2"/>
        <v>9</v>
      </c>
      <c r="G40" s="11" t="s">
        <v>220</v>
      </c>
      <c r="H40" s="25" t="str">
        <f>IFERROR(IF($AQ40,INDEX(cpe!$C$2:$C$307,MATCH($AR40,cpe!$F$2:$F$307,0)),INDEX(cpe!$C$2:$C$307,MATCH($AR40,cpe!$D$2:$D$307,0))),"#N/D")</f>
        <v>#N/D</v>
      </c>
      <c r="I40" s="25" t="str">
        <f>IFERROR(IF($AQ40,INDEX(cpe!$B$2:$B$307,MATCH($AR40,cpe!$F$2:$F$307,0)),INDEX(cpe!$B$2:$B$307,MATCH($AR40,cpe!$D$2:$D$307,0))),"#N/D")</f>
        <v>#N/D</v>
      </c>
      <c r="J40" s="26" t="str">
        <f>IF($AQ40,"#N/D",IFERROR(INDEX(Olimpiadas!$B$2:$B$61,MATCH($AO40,Olimpiadas!$C$2:$C$61,0)),"#N/D"))</f>
        <v>#N/D</v>
      </c>
      <c r="K40" s="26" t="str">
        <f>IF($AQ40,"#N/D",IFERROR(INDEX(Olimpiadas!$A$2:$A$61,MATCH($AO40,Olimpiadas!$C$2:$C$61,0)),"#N/D"))</f>
        <v>#N/D</v>
      </c>
      <c r="L40" s="26" t="str">
        <f>IF($AQ40,"#N/D",IFERROR(INDEX(Minculturas!$A$2:$A$48,MATCH($AO40,Minculturas!$C$2:$C$48,0)),"#N/D"))</f>
        <v>#N/D</v>
      </c>
      <c r="M40" s="26" t="str">
        <f>IF($AQ40,"#N/D",IFERROR(INDEX(Minculturas!$B$2:$B$48,MATCH($AO40,Minculturas!$C$2:$C$48,0)),"#N/D"))</f>
        <v>#N/D</v>
      </c>
      <c r="N40" s="27">
        <v>4</v>
      </c>
      <c r="O40" s="28">
        <v>0</v>
      </c>
      <c r="P40" s="28">
        <v>1</v>
      </c>
      <c r="Q40" s="28">
        <v>0</v>
      </c>
      <c r="R40" s="28">
        <v>1</v>
      </c>
      <c r="S40" s="28">
        <v>1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1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7">
        <f t="shared" si="3"/>
        <v>3</v>
      </c>
      <c r="AH40" s="28" t="s">
        <v>221</v>
      </c>
      <c r="AI40" s="28" t="s">
        <v>222</v>
      </c>
      <c r="AJ40" s="28">
        <v>90.6</v>
      </c>
      <c r="AK40" s="28"/>
      <c r="AL40" s="28"/>
      <c r="AM40" s="29" t="s">
        <v>114</v>
      </c>
      <c r="AO40" t="str">
        <f t="shared" si="4"/>
        <v>alto baudo</v>
      </c>
      <c r="AP40" t="str">
        <f t="shared" si="5"/>
        <v>choco</v>
      </c>
      <c r="AQ40" t="b">
        <f t="shared" si="6"/>
        <v>0</v>
      </c>
      <c r="AR40" t="str">
        <f t="shared" si="7"/>
        <v>alto baudo</v>
      </c>
      <c r="AS40" s="30">
        <f t="shared" si="8"/>
        <v>0</v>
      </c>
      <c r="AT40" s="30">
        <f t="shared" si="9"/>
        <v>3</v>
      </c>
      <c r="AU40" s="30">
        <f t="shared" si="10"/>
        <v>3</v>
      </c>
      <c r="AV40" s="30">
        <f t="shared" si="11"/>
        <v>3</v>
      </c>
      <c r="AZ40" s="31">
        <f t="shared" si="12"/>
        <v>3</v>
      </c>
      <c r="BA40" s="31">
        <f t="shared" si="13"/>
        <v>6</v>
      </c>
      <c r="BB40" s="32">
        <f>IFERROR(INDEX('Análisis general'!$E$4:$E$28,MATCH($B40,'Análisis general'!$B$4:$B$28,0)),"")</f>
        <v>30.8</v>
      </c>
      <c r="BC40" s="31">
        <f t="shared" si="14"/>
        <v>3</v>
      </c>
      <c r="BD40" s="32">
        <f t="shared" si="15"/>
        <v>6.4285714285714279</v>
      </c>
      <c r="BE40" s="32">
        <f t="shared" si="16"/>
        <v>9</v>
      </c>
    </row>
    <row r="41" spans="1:57" ht="25.5" customHeight="1" x14ac:dyDescent="0.25">
      <c r="A41" s="33" t="s">
        <v>227</v>
      </c>
      <c r="B41" s="11" t="s">
        <v>41</v>
      </c>
      <c r="C41" s="34" t="s">
        <v>112</v>
      </c>
      <c r="D41" s="24">
        <f t="shared" si="0"/>
        <v>6</v>
      </c>
      <c r="E41" s="59">
        <f t="shared" si="1"/>
        <v>6.4285714285714279</v>
      </c>
      <c r="F41" s="59">
        <f t="shared" si="2"/>
        <v>9</v>
      </c>
      <c r="G41" s="11" t="s">
        <v>228</v>
      </c>
      <c r="H41" s="25" t="str">
        <f>IFERROR(IF($AQ41,INDEX(cpe!$C$2:$C$307,MATCH($AR41,cpe!$F$2:$F$307,0)),INDEX(cpe!$C$2:$C$307,MATCH($AR41,cpe!$D$2:$D$307,0))),"#N/D")</f>
        <v>#N/D</v>
      </c>
      <c r="I41" s="25" t="str">
        <f>IFERROR(IF($AQ41,INDEX(cpe!$B$2:$B$307,MATCH($AR41,cpe!$F$2:$F$307,0)),INDEX(cpe!$B$2:$B$307,MATCH($AR41,cpe!$D$2:$D$307,0))),"#N/D")</f>
        <v>#N/D</v>
      </c>
      <c r="J41" s="26" t="str">
        <f>IF($AQ41,"#N/D",IFERROR(INDEX(Olimpiadas!$B$2:$B$61,MATCH($AO41,Olimpiadas!$C$2:$C$61,0)),"#N/D"))</f>
        <v>#N/D</v>
      </c>
      <c r="K41" s="26" t="str">
        <f>IF($AQ41,"#N/D",IFERROR(INDEX(Olimpiadas!$A$2:$A$61,MATCH($AO41,Olimpiadas!$C$2:$C$61,0)),"#N/D"))</f>
        <v>#N/D</v>
      </c>
      <c r="L41" s="26" t="str">
        <f>IF($AQ41,"#N/D",IFERROR(INDEX(Minculturas!$A$2:$A$48,MATCH($AO41,Minculturas!$C$2:$C$48,0)),"#N/D"))</f>
        <v>#N/D</v>
      </c>
      <c r="M41" s="26" t="str">
        <f>IF($AQ41,"#N/D",IFERROR(INDEX(Minculturas!$B$2:$B$48,MATCH($AO41,Minculturas!$C$2:$C$48,0)),"#N/D"))</f>
        <v>#N/D</v>
      </c>
      <c r="N41" s="27">
        <v>3</v>
      </c>
      <c r="O41" s="28">
        <v>0</v>
      </c>
      <c r="P41" s="28">
        <v>0</v>
      </c>
      <c r="Q41" s="28">
        <v>1</v>
      </c>
      <c r="R41" s="28">
        <v>0</v>
      </c>
      <c r="S41" s="28">
        <v>0</v>
      </c>
      <c r="T41" s="28">
        <v>1</v>
      </c>
      <c r="U41" s="28">
        <v>0</v>
      </c>
      <c r="V41" s="28">
        <v>0</v>
      </c>
      <c r="W41" s="28">
        <v>1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7">
        <f t="shared" si="3"/>
        <v>3</v>
      </c>
      <c r="AH41" s="28"/>
      <c r="AI41" s="28"/>
      <c r="AJ41" s="28">
        <v>32.200000000000003</v>
      </c>
      <c r="AK41" s="28"/>
      <c r="AL41" s="28"/>
      <c r="AM41" s="29" t="s">
        <v>114</v>
      </c>
      <c r="AO41" t="str">
        <f t="shared" si="4"/>
        <v>chachagüi</v>
      </c>
      <c r="AP41" t="str">
        <f t="shared" si="5"/>
        <v>narino</v>
      </c>
      <c r="AQ41" t="b">
        <f t="shared" si="6"/>
        <v>0</v>
      </c>
      <c r="AR41" t="str">
        <f t="shared" si="7"/>
        <v>chachagüi</v>
      </c>
      <c r="AS41" s="30">
        <f t="shared" si="8"/>
        <v>0</v>
      </c>
      <c r="AT41" s="30">
        <f t="shared" si="9"/>
        <v>3</v>
      </c>
      <c r="AU41" s="30">
        <f t="shared" si="10"/>
        <v>3</v>
      </c>
      <c r="AV41" s="30">
        <f t="shared" si="11"/>
        <v>3</v>
      </c>
      <c r="AZ41" s="31">
        <f t="shared" si="12"/>
        <v>3</v>
      </c>
      <c r="BA41" s="31">
        <f t="shared" si="13"/>
        <v>6</v>
      </c>
      <c r="BB41" s="32">
        <f>IFERROR(INDEX('Análisis general'!$E$4:$E$28,MATCH($B41,'Análisis general'!$B$4:$B$28,0)),"")</f>
        <v>13.2</v>
      </c>
      <c r="BC41" s="31">
        <f t="shared" si="14"/>
        <v>3</v>
      </c>
      <c r="BD41" s="32">
        <f t="shared" si="15"/>
        <v>6.4285714285714279</v>
      </c>
      <c r="BE41" s="32">
        <f t="shared" si="16"/>
        <v>9</v>
      </c>
    </row>
    <row r="42" spans="1:57" ht="25.5" customHeight="1" x14ac:dyDescent="0.25">
      <c r="A42" s="33" t="s">
        <v>213</v>
      </c>
      <c r="B42" s="11" t="s">
        <v>31</v>
      </c>
      <c r="C42" s="63" t="s">
        <v>1217</v>
      </c>
      <c r="D42" s="24">
        <f t="shared" si="0"/>
        <v>6</v>
      </c>
      <c r="E42" s="59">
        <f t="shared" si="1"/>
        <v>6.4285714285714279</v>
      </c>
      <c r="F42" s="59">
        <f t="shared" si="2"/>
        <v>9</v>
      </c>
      <c r="G42" s="11" t="s">
        <v>215</v>
      </c>
      <c r="H42" s="25" t="s">
        <v>106</v>
      </c>
      <c r="I42" s="25" t="s">
        <v>106</v>
      </c>
      <c r="J42" s="26" t="s">
        <v>106</v>
      </c>
      <c r="K42" s="26" t="str">
        <f>IF($AQ42,"#N/D",IFERROR(INDEX(Olimpiadas!$A$2:$A$61,MATCH($AO42,Olimpiadas!$C$2:$C$61,0)),"#N/D"))</f>
        <v>#N/D</v>
      </c>
      <c r="L42" s="26" t="str">
        <f>IF($AQ42,"#N/D",IFERROR(INDEX(Minculturas!$A$2:$A$48,MATCH($AO42,Minculturas!$C$2:$C$48,0)),"#N/D"))</f>
        <v>#N/D</v>
      </c>
      <c r="M42" s="26" t="str">
        <f>IF($AQ42,"#N/D",IFERROR(INDEX(Minculturas!$B$2:$B$48,MATCH($AO42,Minculturas!$C$2:$C$48,0)),"#N/D"))</f>
        <v>#N/D</v>
      </c>
      <c r="N42" s="27">
        <v>3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2</v>
      </c>
      <c r="Y42" s="28">
        <v>0</v>
      </c>
      <c r="Z42" s="28">
        <v>0</v>
      </c>
      <c r="AA42" s="28">
        <v>0</v>
      </c>
      <c r="AB42" s="28">
        <v>1</v>
      </c>
      <c r="AC42" s="28">
        <v>0</v>
      </c>
      <c r="AD42" s="28">
        <v>0</v>
      </c>
      <c r="AE42" s="28">
        <v>0</v>
      </c>
      <c r="AF42" s="28">
        <v>0</v>
      </c>
      <c r="AG42" s="27">
        <f t="shared" si="3"/>
        <v>2</v>
      </c>
      <c r="AH42" s="28" t="s">
        <v>216</v>
      </c>
      <c r="AI42" s="28" t="s">
        <v>217</v>
      </c>
      <c r="AJ42" s="28">
        <v>75.099999999999994</v>
      </c>
      <c r="AK42" s="28"/>
      <c r="AL42" s="28"/>
      <c r="AM42" s="29" t="s">
        <v>218</v>
      </c>
      <c r="AO42" t="str">
        <f t="shared" si="4"/>
        <v>rio iro</v>
      </c>
      <c r="AP42" t="str">
        <f t="shared" si="5"/>
        <v>choco</v>
      </c>
      <c r="AQ42" t="b">
        <f t="shared" si="6"/>
        <v>0</v>
      </c>
      <c r="AR42" t="str">
        <f t="shared" si="7"/>
        <v>rio iro</v>
      </c>
      <c r="AS42" s="30">
        <f t="shared" si="8"/>
        <v>0</v>
      </c>
      <c r="AT42" s="30">
        <f t="shared" si="9"/>
        <v>2</v>
      </c>
      <c r="AU42" s="30">
        <f t="shared" si="10"/>
        <v>3</v>
      </c>
      <c r="AV42" s="30">
        <f t="shared" si="11"/>
        <v>3</v>
      </c>
      <c r="AZ42" s="31">
        <f t="shared" si="12"/>
        <v>3</v>
      </c>
      <c r="BA42" s="31">
        <f t="shared" si="13"/>
        <v>6</v>
      </c>
      <c r="BB42" s="32">
        <f>IFERROR(INDEX('Análisis general'!$E$4:$E$28,MATCH($B42,'Análisis general'!$B$4:$B$28,0)),"")</f>
        <v>30.8</v>
      </c>
      <c r="BC42" s="31">
        <f t="shared" si="14"/>
        <v>3</v>
      </c>
      <c r="BD42" s="32">
        <f t="shared" si="15"/>
        <v>6.4285714285714279</v>
      </c>
      <c r="BE42" s="32">
        <f t="shared" si="16"/>
        <v>9</v>
      </c>
    </row>
    <row r="43" spans="1:57" ht="25.5" customHeight="1" x14ac:dyDescent="0.25">
      <c r="A43" s="33" t="s">
        <v>231</v>
      </c>
      <c r="B43" s="11" t="s">
        <v>31</v>
      </c>
      <c r="C43" s="34" t="s">
        <v>112</v>
      </c>
      <c r="D43" s="24">
        <f t="shared" si="0"/>
        <v>6</v>
      </c>
      <c r="E43" s="59">
        <f t="shared" si="1"/>
        <v>6.4285714285714279</v>
      </c>
      <c r="F43" s="59">
        <f t="shared" si="2"/>
        <v>9</v>
      </c>
      <c r="G43" s="11" t="s">
        <v>232</v>
      </c>
      <c r="H43" s="25" t="str">
        <f>IFERROR(IF($AQ43,INDEX(cpe!$C$2:$C$307,MATCH($AR43,cpe!$F$2:$F$307,0)),INDEX(cpe!$C$2:$C$307,MATCH($AR43,cpe!$D$2:$D$307,0))),"#N/D")</f>
        <v>#N/D</v>
      </c>
      <c r="I43" s="25" t="str">
        <f>IFERROR(IF($AQ43,INDEX(cpe!$B$2:$B$307,MATCH($AR43,cpe!$F$2:$F$307,0)),INDEX(cpe!$B$2:$B$307,MATCH($AR43,cpe!$D$2:$D$307,0))),"#N/D")</f>
        <v>#N/D</v>
      </c>
      <c r="J43" s="26" t="str">
        <f>IF($AQ43,"#N/D",IFERROR(INDEX(Olimpiadas!$B$2:$B$61,MATCH($AO43,Olimpiadas!$C$2:$C$61,0)),"#N/D"))</f>
        <v>#N/D</v>
      </c>
      <c r="K43" s="26" t="str">
        <f>IF($AQ43,"#N/D",IFERROR(INDEX(Olimpiadas!$A$2:$A$61,MATCH($AO43,Olimpiadas!$C$2:$C$61,0)),"#N/D"))</f>
        <v>#N/D</v>
      </c>
      <c r="L43" s="26" t="str">
        <f>IF($AQ43,"#N/D",IFERROR(INDEX(Minculturas!$A$2:$A$48,MATCH($AO43,Minculturas!$C$2:$C$48,0)),"#N/D"))</f>
        <v>#N/D</v>
      </c>
      <c r="M43" s="26" t="str">
        <f>IF($AQ43,"#N/D",IFERROR(INDEX(Minculturas!$B$2:$B$48,MATCH($AO43,Minculturas!$C$2:$C$48,0)),"#N/D"))</f>
        <v>#N/D</v>
      </c>
      <c r="N43" s="27">
        <v>3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2</v>
      </c>
      <c r="Y43" s="28">
        <v>0</v>
      </c>
      <c r="Z43" s="28">
        <v>0</v>
      </c>
      <c r="AA43" s="28">
        <v>0</v>
      </c>
      <c r="AB43" s="28">
        <v>1</v>
      </c>
      <c r="AC43" s="28">
        <v>0</v>
      </c>
      <c r="AD43" s="28">
        <v>0</v>
      </c>
      <c r="AE43" s="28">
        <v>0</v>
      </c>
      <c r="AF43" s="28">
        <v>0</v>
      </c>
      <c r="AG43" s="27">
        <f t="shared" si="3"/>
        <v>2</v>
      </c>
      <c r="AH43" s="28" t="s">
        <v>233</v>
      </c>
      <c r="AI43" s="28" t="s">
        <v>234</v>
      </c>
      <c r="AJ43" s="28">
        <v>60.2</v>
      </c>
      <c r="AK43" s="28"/>
      <c r="AL43" s="28"/>
      <c r="AM43" s="29" t="s">
        <v>235</v>
      </c>
      <c r="AO43" t="str">
        <f t="shared" si="4"/>
        <v>el canton del san pablo</v>
      </c>
      <c r="AP43" t="str">
        <f t="shared" si="5"/>
        <v>choco</v>
      </c>
      <c r="AQ43" t="b">
        <f t="shared" si="6"/>
        <v>0</v>
      </c>
      <c r="AR43" t="str">
        <f t="shared" si="7"/>
        <v>el canton del san pablo</v>
      </c>
      <c r="AS43" s="30">
        <f t="shared" si="8"/>
        <v>0</v>
      </c>
      <c r="AT43" s="30">
        <f t="shared" si="9"/>
        <v>2</v>
      </c>
      <c r="AU43" s="30">
        <f t="shared" si="10"/>
        <v>3</v>
      </c>
      <c r="AV43" s="30">
        <f t="shared" si="11"/>
        <v>3</v>
      </c>
      <c r="AZ43" s="31">
        <f t="shared" si="12"/>
        <v>3</v>
      </c>
      <c r="BA43" s="31">
        <f t="shared" si="13"/>
        <v>6</v>
      </c>
      <c r="BB43" s="32">
        <f>IFERROR(INDEX('Análisis general'!$E$4:$E$28,MATCH($B43,'Análisis general'!$B$4:$B$28,0)),"")</f>
        <v>30.8</v>
      </c>
      <c r="BC43" s="31">
        <f t="shared" si="14"/>
        <v>3</v>
      </c>
      <c r="BD43" s="32">
        <f t="shared" si="15"/>
        <v>6.4285714285714279</v>
      </c>
      <c r="BE43" s="32">
        <f t="shared" si="16"/>
        <v>9</v>
      </c>
    </row>
    <row r="44" spans="1:57" ht="25.5" customHeight="1" x14ac:dyDescent="0.25">
      <c r="A44" s="33" t="s">
        <v>236</v>
      </c>
      <c r="B44" s="11" t="s">
        <v>28</v>
      </c>
      <c r="C44" s="34" t="s">
        <v>112</v>
      </c>
      <c r="D44" s="24">
        <f t="shared" si="0"/>
        <v>6</v>
      </c>
      <c r="E44" s="59">
        <f t="shared" si="1"/>
        <v>6.4285714285714279</v>
      </c>
      <c r="F44" s="59">
        <f t="shared" si="2"/>
        <v>9</v>
      </c>
      <c r="G44" s="11" t="s">
        <v>237</v>
      </c>
      <c r="H44" s="25" t="str">
        <f>IFERROR(IF($AQ44,INDEX(cpe!$C$2:$C$307,MATCH($AR44,cpe!$F$2:$F$307,0)),INDEX(cpe!$C$2:$C$307,MATCH($AR44,cpe!$D$2:$D$307,0))),"#N/D")</f>
        <v>#N/D</v>
      </c>
      <c r="I44" s="25" t="str">
        <f>IFERROR(IF($AQ44,INDEX(cpe!$B$2:$B$307,MATCH($AR44,cpe!$F$2:$F$307,0)),INDEX(cpe!$B$2:$B$307,MATCH($AR44,cpe!$D$2:$D$307,0))),"#N/D")</f>
        <v>#N/D</v>
      </c>
      <c r="J44" s="26" t="str">
        <f>IF($AQ44,"#N/D",IFERROR(INDEX(Olimpiadas!$B$2:$B$61,MATCH($AO44,Olimpiadas!$C$2:$C$61,0)),"#N/D"))</f>
        <v>#N/D</v>
      </c>
      <c r="K44" s="26" t="str">
        <f>IF($AQ44,"#N/D",IFERROR(INDEX(Olimpiadas!$A$2:$A$61,MATCH($AO44,Olimpiadas!$C$2:$C$61,0)),"#N/D"))</f>
        <v>#N/D</v>
      </c>
      <c r="L44" s="26" t="str">
        <f>IF($AQ44,"#N/D",IFERROR(INDEX(Minculturas!$A$2:$A$48,MATCH($AO44,Minculturas!$C$2:$C$48,0)),"#N/D"))</f>
        <v>#N/D</v>
      </c>
      <c r="M44" s="26" t="str">
        <f>IF($AQ44,"#N/D",IFERROR(INDEX(Minculturas!$B$2:$B$48,MATCH($AO44,Minculturas!$C$2:$C$48,0)),"#N/D"))</f>
        <v>#N/D</v>
      </c>
      <c r="N44" s="27">
        <v>2</v>
      </c>
      <c r="O44" s="28">
        <v>0</v>
      </c>
      <c r="P44" s="28">
        <v>0</v>
      </c>
      <c r="Q44" s="28">
        <v>0</v>
      </c>
      <c r="R44" s="28">
        <v>1</v>
      </c>
      <c r="S44" s="28">
        <v>0</v>
      </c>
      <c r="T44" s="28">
        <v>1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7">
        <f t="shared" si="3"/>
        <v>2</v>
      </c>
      <c r="AH44" s="28"/>
      <c r="AI44" s="28"/>
      <c r="AJ44" s="28">
        <v>46</v>
      </c>
      <c r="AK44" s="28"/>
      <c r="AL44" s="28"/>
      <c r="AM44" s="29" t="s">
        <v>114</v>
      </c>
      <c r="AO44" t="str">
        <f t="shared" si="4"/>
        <v>el tambo</v>
      </c>
      <c r="AP44" t="str">
        <f t="shared" si="5"/>
        <v>cauca</v>
      </c>
      <c r="AQ44" t="b">
        <f t="shared" si="6"/>
        <v>0</v>
      </c>
      <c r="AR44" t="str">
        <f t="shared" si="7"/>
        <v>el tambo</v>
      </c>
      <c r="AS44" s="30">
        <f t="shared" si="8"/>
        <v>0</v>
      </c>
      <c r="AT44" s="30">
        <f t="shared" si="9"/>
        <v>2</v>
      </c>
      <c r="AU44" s="30">
        <f t="shared" si="10"/>
        <v>3</v>
      </c>
      <c r="AV44" s="30">
        <f t="shared" si="11"/>
        <v>3</v>
      </c>
      <c r="AZ44" s="31">
        <f t="shared" si="12"/>
        <v>3</v>
      </c>
      <c r="BA44" s="31">
        <f t="shared" si="13"/>
        <v>6</v>
      </c>
      <c r="BB44" s="32">
        <f>IFERROR(INDEX('Análisis general'!$E$4:$E$28,MATCH($B44,'Análisis general'!$B$4:$B$28,0)),"")</f>
        <v>13</v>
      </c>
      <c r="BC44" s="31">
        <f t="shared" si="14"/>
        <v>3</v>
      </c>
      <c r="BD44" s="32">
        <f t="shared" si="15"/>
        <v>6.4285714285714279</v>
      </c>
      <c r="BE44" s="32">
        <f t="shared" si="16"/>
        <v>9</v>
      </c>
    </row>
    <row r="45" spans="1:57" ht="25.5" customHeight="1" x14ac:dyDescent="0.25">
      <c r="A45" s="33" t="s">
        <v>240</v>
      </c>
      <c r="B45" s="11" t="s">
        <v>41</v>
      </c>
      <c r="C45" s="61" t="s">
        <v>1215</v>
      </c>
      <c r="D45" s="24">
        <f t="shared" si="0"/>
        <v>6</v>
      </c>
      <c r="E45" s="59">
        <f t="shared" si="1"/>
        <v>6.4285714285714279</v>
      </c>
      <c r="F45" s="59">
        <f t="shared" si="2"/>
        <v>9</v>
      </c>
      <c r="G45" s="11" t="s">
        <v>241</v>
      </c>
      <c r="H45" s="25" t="str">
        <f>IFERROR(IF($AQ45,INDEX(cpe!$C$2:$C$307,MATCH($AR45,cpe!$F$2:$F$307,0)),INDEX(cpe!$C$2:$C$307,MATCH($AR45,cpe!$D$2:$D$307,0))),"#N/D")</f>
        <v>#N/D</v>
      </c>
      <c r="I45" s="25" t="str">
        <f>IFERROR(IF($AQ45,INDEX(cpe!$B$2:$B$307,MATCH($AR45,cpe!$F$2:$F$307,0)),INDEX(cpe!$B$2:$B$307,MATCH($AR45,cpe!$D$2:$D$307,0))),"#N/D")</f>
        <v>#N/D</v>
      </c>
      <c r="J45" s="26" t="str">
        <f>IF($AQ45,"#N/D",IFERROR(INDEX(Olimpiadas!$B$2:$B$61,MATCH($AO45,Olimpiadas!$C$2:$C$61,0)),"#N/D"))</f>
        <v>#N/D</v>
      </c>
      <c r="K45" s="26" t="str">
        <f>IF($AQ45,"#N/D",IFERROR(INDEX(Olimpiadas!$A$2:$A$61,MATCH($AO45,Olimpiadas!$C$2:$C$61,0)),"#N/D"))</f>
        <v>#N/D</v>
      </c>
      <c r="L45" s="26" t="str">
        <f>IF($AQ45,"#N/D",IFERROR(INDEX(Minculturas!$A$2:$A$48,MATCH($AO45,Minculturas!$C$2:$C$48,0)),"#N/D"))</f>
        <v>#N/D</v>
      </c>
      <c r="M45" s="26" t="str">
        <f>IF($AQ45,"#N/D",IFERROR(INDEX(Minculturas!$B$2:$B$48,MATCH($AO45,Minculturas!$C$2:$C$48,0)),"#N/D"))</f>
        <v>#N/D</v>
      </c>
      <c r="N45" s="27">
        <v>2</v>
      </c>
      <c r="O45" s="28">
        <v>0</v>
      </c>
      <c r="P45" s="28">
        <v>1</v>
      </c>
      <c r="Q45" s="28">
        <v>0</v>
      </c>
      <c r="R45" s="28">
        <v>0</v>
      </c>
      <c r="S45" s="28">
        <v>0</v>
      </c>
      <c r="T45" s="28">
        <v>0</v>
      </c>
      <c r="U45" s="28">
        <v>1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7">
        <f t="shared" si="3"/>
        <v>2</v>
      </c>
      <c r="AH45" s="28"/>
      <c r="AI45" s="28"/>
      <c r="AJ45" s="28">
        <v>9.6</v>
      </c>
      <c r="AK45" s="28"/>
      <c r="AL45" s="28"/>
      <c r="AM45" s="29" t="s">
        <v>114</v>
      </c>
      <c r="AO45" t="str">
        <f t="shared" si="4"/>
        <v>mosquera</v>
      </c>
      <c r="AP45" t="str">
        <f t="shared" si="5"/>
        <v>narino</v>
      </c>
      <c r="AQ45" t="b">
        <f t="shared" si="6"/>
        <v>1</v>
      </c>
      <c r="AR45" t="str">
        <f t="shared" si="7"/>
        <v>mosquera|narino</v>
      </c>
      <c r="AS45" s="30">
        <f t="shared" si="8"/>
        <v>0</v>
      </c>
      <c r="AT45" s="30">
        <f t="shared" si="9"/>
        <v>2</v>
      </c>
      <c r="AU45" s="30">
        <f t="shared" si="10"/>
        <v>3</v>
      </c>
      <c r="AV45" s="30">
        <f t="shared" si="11"/>
        <v>3</v>
      </c>
      <c r="AZ45" s="31">
        <f t="shared" si="12"/>
        <v>3</v>
      </c>
      <c r="BA45" s="31">
        <f t="shared" si="13"/>
        <v>6</v>
      </c>
      <c r="BB45" s="32">
        <f>IFERROR(INDEX('Análisis general'!$E$4:$E$28,MATCH($B45,'Análisis general'!$B$4:$B$28,0)),"")</f>
        <v>13.2</v>
      </c>
      <c r="BC45" s="31">
        <f t="shared" si="14"/>
        <v>3</v>
      </c>
      <c r="BD45" s="32">
        <f t="shared" si="15"/>
        <v>6.4285714285714279</v>
      </c>
      <c r="BE45" s="32">
        <f t="shared" si="16"/>
        <v>9</v>
      </c>
    </row>
    <row r="46" spans="1:57" ht="25.5" customHeight="1" x14ac:dyDescent="0.25">
      <c r="A46" s="33" t="s">
        <v>242</v>
      </c>
      <c r="B46" s="11" t="s">
        <v>28</v>
      </c>
      <c r="C46" s="34" t="s">
        <v>112</v>
      </c>
      <c r="D46" s="24">
        <f t="shared" si="0"/>
        <v>6</v>
      </c>
      <c r="E46" s="59">
        <f t="shared" si="1"/>
        <v>6.4285714285714279</v>
      </c>
      <c r="F46" s="59">
        <f t="shared" si="2"/>
        <v>9</v>
      </c>
      <c r="G46" s="11" t="s">
        <v>243</v>
      </c>
      <c r="H46" s="25" t="s">
        <v>106</v>
      </c>
      <c r="I46" s="25" t="s">
        <v>106</v>
      </c>
      <c r="J46" s="26" t="s">
        <v>106</v>
      </c>
      <c r="K46" s="26" t="str">
        <f>IF($AQ46,"#N/D",IFERROR(INDEX(Olimpiadas!$A$2:$A$61,MATCH($AO46,Olimpiadas!$C$2:$C$61,0)),"#N/D"))</f>
        <v>#N/D</v>
      </c>
      <c r="L46" s="26" t="str">
        <f>IF($AQ46,"#N/D",IFERROR(INDEX(Minculturas!$A$2:$A$48,MATCH($AO46,Minculturas!$C$2:$C$48,0)),"#N/D"))</f>
        <v>#N/D</v>
      </c>
      <c r="M46" s="26" t="str">
        <f>IF($AQ46,"#N/D",IFERROR(INDEX(Minculturas!$B$2:$B$48,MATCH($AO46,Minculturas!$C$2:$C$48,0)),"#N/D"))</f>
        <v>#N/D</v>
      </c>
      <c r="N46" s="27">
        <v>2</v>
      </c>
      <c r="O46" s="28">
        <v>0</v>
      </c>
      <c r="P46" s="28">
        <v>0</v>
      </c>
      <c r="Q46" s="28">
        <v>1</v>
      </c>
      <c r="R46" s="28">
        <v>0</v>
      </c>
      <c r="S46" s="28">
        <v>0</v>
      </c>
      <c r="T46" s="28">
        <v>0</v>
      </c>
      <c r="U46" s="28">
        <v>1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7">
        <f t="shared" si="3"/>
        <v>2</v>
      </c>
      <c r="AH46" s="28"/>
      <c r="AI46" s="28"/>
      <c r="AJ46" s="28">
        <v>30.7</v>
      </c>
      <c r="AK46" s="28"/>
      <c r="AL46" s="28"/>
      <c r="AM46" s="29" t="s">
        <v>114</v>
      </c>
      <c r="AO46" t="str">
        <f t="shared" si="4"/>
        <v>piendamo</v>
      </c>
      <c r="AP46" t="str">
        <f t="shared" si="5"/>
        <v>cauca</v>
      </c>
      <c r="AQ46" t="b">
        <f t="shared" si="6"/>
        <v>0</v>
      </c>
      <c r="AR46" t="str">
        <f t="shared" si="7"/>
        <v>piendamo</v>
      </c>
      <c r="AS46" s="30">
        <f t="shared" si="8"/>
        <v>0</v>
      </c>
      <c r="AT46" s="30">
        <f t="shared" si="9"/>
        <v>2</v>
      </c>
      <c r="AU46" s="30">
        <f t="shared" si="10"/>
        <v>3</v>
      </c>
      <c r="AV46" s="30">
        <f t="shared" si="11"/>
        <v>3</v>
      </c>
      <c r="AZ46" s="31">
        <f t="shared" si="12"/>
        <v>3</v>
      </c>
      <c r="BA46" s="31">
        <f t="shared" si="13"/>
        <v>6</v>
      </c>
      <c r="BB46" s="32">
        <f>IFERROR(INDEX('Análisis general'!$E$4:$E$28,MATCH($B46,'Análisis general'!$B$4:$B$28,0)),"")</f>
        <v>13</v>
      </c>
      <c r="BC46" s="31">
        <f t="shared" si="14"/>
        <v>3</v>
      </c>
      <c r="BD46" s="32">
        <f t="shared" si="15"/>
        <v>6.4285714285714279</v>
      </c>
      <c r="BE46" s="32">
        <f t="shared" si="16"/>
        <v>9</v>
      </c>
    </row>
    <row r="47" spans="1:57" ht="25.5" customHeight="1" x14ac:dyDescent="0.25">
      <c r="A47" s="33" t="s">
        <v>244</v>
      </c>
      <c r="B47" s="11" t="s">
        <v>28</v>
      </c>
      <c r="C47" s="34" t="s">
        <v>112</v>
      </c>
      <c r="D47" s="24">
        <f t="shared" si="0"/>
        <v>6</v>
      </c>
      <c r="E47" s="59">
        <f t="shared" si="1"/>
        <v>6.4285714285714279</v>
      </c>
      <c r="F47" s="59">
        <f t="shared" si="2"/>
        <v>9</v>
      </c>
      <c r="G47" s="11" t="s">
        <v>245</v>
      </c>
      <c r="H47" s="25" t="s">
        <v>106</v>
      </c>
      <c r="I47" s="25" t="s">
        <v>106</v>
      </c>
      <c r="J47" s="26" t="s">
        <v>106</v>
      </c>
      <c r="K47" s="26" t="str">
        <f>IF($AQ47,"#N/D",IFERROR(INDEX(Olimpiadas!$A$2:$A$61,MATCH($AO47,Olimpiadas!$C$2:$C$61,0)),"#N/D"))</f>
        <v>#N/D</v>
      </c>
      <c r="L47" s="26" t="str">
        <f>IF($AQ47,"#N/D",IFERROR(INDEX(Minculturas!$A$2:$A$48,MATCH($AO47,Minculturas!$C$2:$C$48,0)),"#N/D"))</f>
        <v>#N/D</v>
      </c>
      <c r="M47" s="26" t="str">
        <f>IF($AQ47,"#N/D",IFERROR(INDEX(Minculturas!$B$2:$B$48,MATCH($AO47,Minculturas!$C$2:$C$48,0)),"#N/D"))</f>
        <v>#N/D</v>
      </c>
      <c r="N47" s="27">
        <v>2</v>
      </c>
      <c r="O47" s="28">
        <v>0</v>
      </c>
      <c r="P47" s="28">
        <v>1</v>
      </c>
      <c r="Q47" s="28">
        <v>0</v>
      </c>
      <c r="R47" s="28">
        <v>0</v>
      </c>
      <c r="S47" s="28">
        <v>1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7">
        <f t="shared" si="3"/>
        <v>2</v>
      </c>
      <c r="AH47" s="28"/>
      <c r="AI47" s="28"/>
      <c r="AJ47" s="28">
        <v>43.2</v>
      </c>
      <c r="AK47" s="28"/>
      <c r="AL47" s="28"/>
      <c r="AM47" s="29" t="s">
        <v>246</v>
      </c>
      <c r="AO47" t="str">
        <f t="shared" si="4"/>
        <v>rosas</v>
      </c>
      <c r="AP47" t="str">
        <f t="shared" si="5"/>
        <v>cauca</v>
      </c>
      <c r="AQ47" t="b">
        <f t="shared" si="6"/>
        <v>0</v>
      </c>
      <c r="AR47" t="str">
        <f t="shared" si="7"/>
        <v>rosas</v>
      </c>
      <c r="AS47" s="30">
        <f t="shared" si="8"/>
        <v>0</v>
      </c>
      <c r="AT47" s="30">
        <f t="shared" si="9"/>
        <v>2</v>
      </c>
      <c r="AU47" s="30">
        <f t="shared" si="10"/>
        <v>3</v>
      </c>
      <c r="AV47" s="30">
        <f t="shared" si="11"/>
        <v>3</v>
      </c>
      <c r="AZ47" s="31">
        <f t="shared" si="12"/>
        <v>3</v>
      </c>
      <c r="BA47" s="31">
        <f t="shared" si="13"/>
        <v>6</v>
      </c>
      <c r="BB47" s="32">
        <f>IFERROR(INDEX('Análisis general'!$E$4:$E$28,MATCH($B47,'Análisis general'!$B$4:$B$28,0)),"")</f>
        <v>13</v>
      </c>
      <c r="BC47" s="31">
        <f t="shared" si="14"/>
        <v>3</v>
      </c>
      <c r="BD47" s="32">
        <f t="shared" si="15"/>
        <v>6.4285714285714279</v>
      </c>
      <c r="BE47" s="32">
        <f t="shared" si="16"/>
        <v>9</v>
      </c>
    </row>
    <row r="48" spans="1:57" ht="25.5" customHeight="1" x14ac:dyDescent="0.25">
      <c r="A48" s="33" t="s">
        <v>247</v>
      </c>
      <c r="B48" s="11" t="s">
        <v>42</v>
      </c>
      <c r="C48" s="34" t="s">
        <v>112</v>
      </c>
      <c r="D48" s="24">
        <f t="shared" si="0"/>
        <v>6</v>
      </c>
      <c r="E48" s="59">
        <f t="shared" si="1"/>
        <v>6.4285714285714279</v>
      </c>
      <c r="F48" s="59">
        <f t="shared" si="2"/>
        <v>9</v>
      </c>
      <c r="G48" s="11" t="s">
        <v>248</v>
      </c>
      <c r="H48" s="25" t="s">
        <v>106</v>
      </c>
      <c r="I48" s="25" t="s">
        <v>106</v>
      </c>
      <c r="J48" s="26" t="s">
        <v>106</v>
      </c>
      <c r="K48" s="26" t="str">
        <f>IF($AQ48,"#N/D",IFERROR(INDEX(Olimpiadas!$A$2:$A$61,MATCH($AO48,Olimpiadas!$C$2:$C$61,0)),"#N/D"))</f>
        <v>#N/D</v>
      </c>
      <c r="L48" s="26" t="str">
        <f>IF($AQ48,"#N/D",IFERROR(INDEX(Minculturas!$A$2:$A$48,MATCH($AO48,Minculturas!$C$2:$C$48,0)),"#N/D"))</f>
        <v>#N/D</v>
      </c>
      <c r="M48" s="26" t="str">
        <f>IF($AQ48,"#N/D",IFERROR(INDEX(Minculturas!$B$2:$B$48,MATCH($AO48,Minculturas!$C$2:$C$48,0)),"#N/D"))</f>
        <v>#N/D</v>
      </c>
      <c r="N48" s="27">
        <v>2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2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7">
        <f t="shared" si="3"/>
        <v>2</v>
      </c>
      <c r="AH48" s="28"/>
      <c r="AI48" s="28"/>
      <c r="AJ48" s="28">
        <v>46.6</v>
      </c>
      <c r="AK48" s="28"/>
      <c r="AL48" s="28"/>
      <c r="AM48" s="29" t="s">
        <v>114</v>
      </c>
      <c r="AO48" t="str">
        <f t="shared" si="4"/>
        <v>silos</v>
      </c>
      <c r="AP48" t="str">
        <f t="shared" si="5"/>
        <v>norte de santander</v>
      </c>
      <c r="AQ48" t="b">
        <f t="shared" si="6"/>
        <v>0</v>
      </c>
      <c r="AR48" t="str">
        <f t="shared" si="7"/>
        <v>silos</v>
      </c>
      <c r="AS48" s="30">
        <f t="shared" si="8"/>
        <v>0</v>
      </c>
      <c r="AT48" s="30">
        <f t="shared" si="9"/>
        <v>2</v>
      </c>
      <c r="AU48" s="30">
        <f t="shared" si="10"/>
        <v>3</v>
      </c>
      <c r="AV48" s="30">
        <f t="shared" si="11"/>
        <v>3</v>
      </c>
      <c r="AZ48" s="31">
        <f t="shared" si="12"/>
        <v>3</v>
      </c>
      <c r="BA48" s="31">
        <f t="shared" si="13"/>
        <v>6</v>
      </c>
      <c r="BB48" s="32">
        <f>IFERROR(INDEX('Análisis general'!$E$4:$E$28,MATCH($B48,'Análisis general'!$B$4:$B$28,0)),"")</f>
        <v>13.3</v>
      </c>
      <c r="BC48" s="31">
        <f t="shared" si="14"/>
        <v>3</v>
      </c>
      <c r="BD48" s="32">
        <f t="shared" si="15"/>
        <v>6.4285714285714279</v>
      </c>
      <c r="BE48" s="32">
        <f t="shared" si="16"/>
        <v>9</v>
      </c>
    </row>
    <row r="49" spans="1:57" ht="25.5" customHeight="1" x14ac:dyDescent="0.25">
      <c r="A49" s="33" t="s">
        <v>249</v>
      </c>
      <c r="B49" s="11" t="s">
        <v>28</v>
      </c>
      <c r="C49" s="34" t="s">
        <v>112</v>
      </c>
      <c r="D49" s="24">
        <f t="shared" si="0"/>
        <v>6</v>
      </c>
      <c r="E49" s="59">
        <f t="shared" si="1"/>
        <v>6.4285714285714279</v>
      </c>
      <c r="F49" s="59">
        <f t="shared" si="2"/>
        <v>9</v>
      </c>
      <c r="G49" s="11" t="s">
        <v>250</v>
      </c>
      <c r="H49" s="25" t="s">
        <v>106</v>
      </c>
      <c r="I49" s="25" t="s">
        <v>106</v>
      </c>
      <c r="J49" s="26" t="s">
        <v>106</v>
      </c>
      <c r="K49" s="26" t="str">
        <f>IF($AQ49,"#N/D",IFERROR(INDEX(Olimpiadas!$A$2:$A$61,MATCH($AO49,Olimpiadas!$C$2:$C$61,0)),"#N/D"))</f>
        <v>#N/D</v>
      </c>
      <c r="L49" s="26" t="str">
        <f>IF($AQ49,"#N/D",IFERROR(INDEX(Minculturas!$A$2:$A$48,MATCH($AO49,Minculturas!$C$2:$C$48,0)),"#N/D"))</f>
        <v>#N/D</v>
      </c>
      <c r="M49" s="26" t="str">
        <f>IF($AQ49,"#N/D",IFERROR(INDEX(Minculturas!$B$2:$B$48,MATCH($AO49,Minculturas!$C$2:$C$48,0)),"#N/D"))</f>
        <v>#N/D</v>
      </c>
      <c r="N49" s="27">
        <v>2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1</v>
      </c>
      <c r="U49" s="28">
        <v>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7">
        <f t="shared" si="3"/>
        <v>2</v>
      </c>
      <c r="AH49" s="28"/>
      <c r="AI49" s="28"/>
      <c r="AJ49" s="28">
        <v>55.1</v>
      </c>
      <c r="AK49" s="28"/>
      <c r="AL49" s="28"/>
      <c r="AM49" s="29" t="s">
        <v>114</v>
      </c>
      <c r="AO49" t="str">
        <f t="shared" si="4"/>
        <v>totoro</v>
      </c>
      <c r="AP49" t="str">
        <f t="shared" si="5"/>
        <v>cauca</v>
      </c>
      <c r="AQ49" t="b">
        <f t="shared" si="6"/>
        <v>0</v>
      </c>
      <c r="AR49" t="str">
        <f t="shared" si="7"/>
        <v>totoro</v>
      </c>
      <c r="AS49" s="30">
        <f t="shared" si="8"/>
        <v>0</v>
      </c>
      <c r="AT49" s="30">
        <f t="shared" si="9"/>
        <v>2</v>
      </c>
      <c r="AU49" s="30">
        <f t="shared" si="10"/>
        <v>3</v>
      </c>
      <c r="AV49" s="30">
        <f t="shared" si="11"/>
        <v>3</v>
      </c>
      <c r="AZ49" s="31">
        <f t="shared" si="12"/>
        <v>3</v>
      </c>
      <c r="BA49" s="31">
        <f t="shared" si="13"/>
        <v>6</v>
      </c>
      <c r="BB49" s="32">
        <f>IFERROR(INDEX('Análisis general'!$E$4:$E$28,MATCH($B49,'Análisis general'!$B$4:$B$28,0)),"")</f>
        <v>13</v>
      </c>
      <c r="BC49" s="31">
        <f t="shared" si="14"/>
        <v>3</v>
      </c>
      <c r="BD49" s="32">
        <f t="shared" si="15"/>
        <v>6.4285714285714279</v>
      </c>
      <c r="BE49" s="32">
        <f t="shared" si="16"/>
        <v>9</v>
      </c>
    </row>
    <row r="50" spans="1:57" ht="25.5" customHeight="1" x14ac:dyDescent="0.25">
      <c r="A50" s="33" t="s">
        <v>436</v>
      </c>
      <c r="B50" s="11" t="s">
        <v>31</v>
      </c>
      <c r="C50" s="34" t="s">
        <v>112</v>
      </c>
      <c r="D50" s="24">
        <f t="shared" si="0"/>
        <v>6</v>
      </c>
      <c r="E50" s="59">
        <f t="shared" si="1"/>
        <v>6.4285714285714279</v>
      </c>
      <c r="F50" s="59">
        <f t="shared" si="2"/>
        <v>9</v>
      </c>
      <c r="G50" s="11" t="s">
        <v>437</v>
      </c>
      <c r="H50" s="25" t="str">
        <f>IFERROR(IF($AQ50,INDEX(cpe!$C$2:$C$307,MATCH($AR50,cpe!$F$2:$F$307,0)),INDEX(cpe!$C$2:$C$307,MATCH($AR50,cpe!$D$2:$D$307,0))),"#N/D")</f>
        <v>#N/D</v>
      </c>
      <c r="I50" s="25" t="str">
        <f>IFERROR(IF($AQ50,INDEX(cpe!$B$2:$B$307,MATCH($AR50,cpe!$F$2:$F$307,0)),INDEX(cpe!$B$2:$B$307,MATCH($AR50,cpe!$D$2:$D$307,0))),"#N/D")</f>
        <v>#N/D</v>
      </c>
      <c r="J50" s="26" t="str">
        <f>IF($AQ50,"#N/D",IFERROR(INDEX(Olimpiadas!$B$2:$B$61,MATCH($AO50,Olimpiadas!$C$2:$C$61,0)),"#N/D"))</f>
        <v>#N/D</v>
      </c>
      <c r="K50" s="26" t="str">
        <f>IF($AQ50,"#N/D",IFERROR(INDEX(Olimpiadas!$A$2:$A$61,MATCH($AO50,Olimpiadas!$C$2:$C$61,0)),"#N/D"))</f>
        <v>#N/D</v>
      </c>
      <c r="L50" s="26" t="str">
        <f>IF($AQ50,"#N/D",IFERROR(INDEX(Minculturas!$A$2:$A$48,MATCH($AO50,Minculturas!$C$2:$C$48,0)),"#N/D"))</f>
        <v>#N/D</v>
      </c>
      <c r="M50" s="26" t="str">
        <f>IF($AQ50,"#N/D",IFERROR(INDEX(Minculturas!$B$2:$B$48,MATCH($AO50,Minculturas!$C$2:$C$48,0)),"#N/D"))</f>
        <v>#N/D</v>
      </c>
      <c r="N50" s="27">
        <v>2</v>
      </c>
      <c r="O50" s="28">
        <v>0</v>
      </c>
      <c r="P50" s="28">
        <v>0</v>
      </c>
      <c r="Q50" s="28">
        <v>1</v>
      </c>
      <c r="R50" s="28">
        <v>0</v>
      </c>
      <c r="S50" s="28">
        <v>0</v>
      </c>
      <c r="T50" s="28">
        <v>1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7">
        <f t="shared" si="3"/>
        <v>2</v>
      </c>
      <c r="AH50" s="28" t="s">
        <v>438</v>
      </c>
      <c r="AI50" s="28" t="s">
        <v>439</v>
      </c>
      <c r="AJ50" s="28">
        <v>76.599999999999994</v>
      </c>
      <c r="AK50" s="28"/>
      <c r="AL50" s="28"/>
      <c r="AM50" s="29" t="s">
        <v>246</v>
      </c>
      <c r="AO50" t="str">
        <f t="shared" si="4"/>
        <v>medio atrato</v>
      </c>
      <c r="AP50" t="str">
        <f t="shared" si="5"/>
        <v>choco</v>
      </c>
      <c r="AQ50" t="b">
        <f t="shared" si="6"/>
        <v>0</v>
      </c>
      <c r="AR50" t="str">
        <f t="shared" si="7"/>
        <v>medio atrato</v>
      </c>
      <c r="AS50" s="30">
        <f t="shared" si="8"/>
        <v>0</v>
      </c>
      <c r="AT50" s="30">
        <f t="shared" si="9"/>
        <v>2</v>
      </c>
      <c r="AU50" s="30">
        <f t="shared" si="10"/>
        <v>3</v>
      </c>
      <c r="AV50" s="30">
        <f t="shared" si="11"/>
        <v>3</v>
      </c>
      <c r="AZ50" s="31">
        <f t="shared" si="12"/>
        <v>3</v>
      </c>
      <c r="BA50" s="31">
        <f t="shared" si="13"/>
        <v>6</v>
      </c>
      <c r="BB50" s="32">
        <f>IFERROR(INDEX('Análisis general'!$E$4:$E$28,MATCH($B50,'Análisis general'!$B$4:$B$28,0)),"")</f>
        <v>30.8</v>
      </c>
      <c r="BC50" s="31">
        <f t="shared" si="14"/>
        <v>3</v>
      </c>
      <c r="BD50" s="32">
        <f t="shared" si="15"/>
        <v>6.4285714285714279</v>
      </c>
      <c r="BE50" s="32">
        <f t="shared" si="16"/>
        <v>9</v>
      </c>
    </row>
    <row r="51" spans="1:57" ht="25.5" customHeight="1" x14ac:dyDescent="0.25">
      <c r="A51" s="33" t="s">
        <v>446</v>
      </c>
      <c r="B51" s="11" t="s">
        <v>28</v>
      </c>
      <c r="C51" s="34" t="s">
        <v>112</v>
      </c>
      <c r="D51" s="24">
        <f t="shared" si="0"/>
        <v>6</v>
      </c>
      <c r="E51" s="59">
        <f t="shared" si="1"/>
        <v>6.4285714285714279</v>
      </c>
      <c r="F51" s="59">
        <f t="shared" si="2"/>
        <v>9</v>
      </c>
      <c r="G51" s="11" t="s">
        <v>447</v>
      </c>
      <c r="H51" s="25" t="s">
        <v>106</v>
      </c>
      <c r="I51" s="25" t="s">
        <v>106</v>
      </c>
      <c r="J51" s="26" t="s">
        <v>106</v>
      </c>
      <c r="K51" s="26" t="str">
        <f>IF($AQ51,"#N/D",IFERROR(INDEX(Olimpiadas!$A$2:$A$61,MATCH($AO51,Olimpiadas!$C$2:$C$61,0)),"#N/D"))</f>
        <v>#N/D</v>
      </c>
      <c r="L51" s="26" t="str">
        <f>IF($AQ51,"#N/D",IFERROR(INDEX(Minculturas!$A$2:$A$48,MATCH($AO51,Minculturas!$C$2:$C$48,0)),"#N/D"))</f>
        <v>#N/D</v>
      </c>
      <c r="M51" s="26" t="str">
        <f>IF($AQ51,"#N/D",IFERROR(INDEX(Minculturas!$B$2:$B$48,MATCH($AO51,Minculturas!$C$2:$C$48,0)),"#N/D"))</f>
        <v>#N/D</v>
      </c>
      <c r="N51" s="27">
        <v>3</v>
      </c>
      <c r="O51" s="28">
        <v>0</v>
      </c>
      <c r="P51" s="28">
        <v>0</v>
      </c>
      <c r="Q51" s="28">
        <v>0</v>
      </c>
      <c r="R51" s="28">
        <v>0</v>
      </c>
      <c r="S51" s="28">
        <v>1</v>
      </c>
      <c r="T51" s="28">
        <v>0</v>
      </c>
      <c r="U51" s="28">
        <v>1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1</v>
      </c>
      <c r="AC51" s="28">
        <v>0</v>
      </c>
      <c r="AD51" s="28">
        <v>0</v>
      </c>
      <c r="AE51" s="28">
        <v>0</v>
      </c>
      <c r="AF51" s="28">
        <v>0</v>
      </c>
      <c r="AG51" s="27">
        <f t="shared" si="3"/>
        <v>2</v>
      </c>
      <c r="AH51" s="28"/>
      <c r="AI51" s="28"/>
      <c r="AJ51" s="28">
        <v>44.1</v>
      </c>
      <c r="AK51" s="28"/>
      <c r="AL51" s="28"/>
      <c r="AM51" s="29" t="s">
        <v>114</v>
      </c>
      <c r="AO51" t="str">
        <f t="shared" si="4"/>
        <v>suarez</v>
      </c>
      <c r="AP51" t="str">
        <f t="shared" si="5"/>
        <v>cauca</v>
      </c>
      <c r="AQ51" t="b">
        <f t="shared" si="6"/>
        <v>1</v>
      </c>
      <c r="AR51" t="str">
        <f t="shared" si="7"/>
        <v>suarez|cauca</v>
      </c>
      <c r="AS51" s="30">
        <f t="shared" si="8"/>
        <v>0</v>
      </c>
      <c r="AT51" s="30">
        <f t="shared" si="9"/>
        <v>2</v>
      </c>
      <c r="AU51" s="30">
        <f t="shared" si="10"/>
        <v>3</v>
      </c>
      <c r="AV51" s="30">
        <f t="shared" si="11"/>
        <v>3</v>
      </c>
      <c r="AZ51" s="31">
        <f t="shared" si="12"/>
        <v>3</v>
      </c>
      <c r="BA51" s="31">
        <f t="shared" si="13"/>
        <v>6</v>
      </c>
      <c r="BB51" s="32">
        <f>IFERROR(INDEX('Análisis general'!$E$4:$E$28,MATCH($B51,'Análisis general'!$B$4:$B$28,0)),"")</f>
        <v>13</v>
      </c>
      <c r="BC51" s="31">
        <f t="shared" si="14"/>
        <v>3</v>
      </c>
      <c r="BD51" s="32">
        <f t="shared" si="15"/>
        <v>6.4285714285714279</v>
      </c>
      <c r="BE51" s="32">
        <f t="shared" si="16"/>
        <v>9</v>
      </c>
    </row>
    <row r="52" spans="1:57" ht="25.5" customHeight="1" x14ac:dyDescent="0.25">
      <c r="A52" s="33" t="s">
        <v>257</v>
      </c>
      <c r="B52" s="11" t="s">
        <v>49</v>
      </c>
      <c r="C52" s="62" t="s">
        <v>1216</v>
      </c>
      <c r="D52" s="24">
        <f t="shared" si="0"/>
        <v>7</v>
      </c>
      <c r="E52" s="59">
        <f t="shared" si="1"/>
        <v>7.2857142857142856</v>
      </c>
      <c r="F52" s="59">
        <f t="shared" si="2"/>
        <v>9</v>
      </c>
      <c r="G52" s="11" t="s">
        <v>258</v>
      </c>
      <c r="H52" s="25" t="str">
        <f>IFERROR(IF($AQ52,INDEX(cpe!$C$2:$C$307,MATCH($AR52,cpe!$F$2:$F$307,0)),INDEX(cpe!$C$2:$C$307,MATCH($AR52,cpe!$D$2:$D$307,0))),"#N/D")</f>
        <v>Colegio Externado Nacional Camilo Torres (ied)</v>
      </c>
      <c r="I52" s="25" t="str">
        <f>IFERROR(IF($AQ52,INDEX(cpe!$B$2:$B$307,MATCH($AR52,cpe!$F$2:$F$307,0)),INDEX(cpe!$B$2:$B$307,MATCH($AR52,cpe!$D$2:$D$307,0))),"#N/D")</f>
        <v>Calima-El Darién</v>
      </c>
      <c r="J52" s="26" t="str">
        <f>IF($AQ52,"#N/D",IFERROR(INDEX(Olimpiadas!$B$2:$B$61,MATCH($AO52,Olimpiadas!$C$2:$C$61,0)),"#N/D"))</f>
        <v>#N/D</v>
      </c>
      <c r="K52" s="26" t="str">
        <f>IF($AQ52,"#N/D",IFERROR(INDEX(Olimpiadas!$A$2:$A$61,MATCH($AO52,Olimpiadas!$C$2:$C$61,0)),"#N/D"))</f>
        <v>#N/D</v>
      </c>
      <c r="L52" s="26" t="str">
        <f>IF($AQ52,"#N/D",IFERROR(INDEX(Minculturas!$A$2:$A$48,MATCH($AO52,Minculturas!$C$2:$C$48,0)),"#N/D"))</f>
        <v>#N/D</v>
      </c>
      <c r="M52" s="26" t="str">
        <f>IF($AQ52,"#N/D",IFERROR(INDEX(Minculturas!$B$2:$B$48,MATCH($AO52,Minculturas!$C$2:$C$48,0)),"#N/D"))</f>
        <v>#N/D</v>
      </c>
      <c r="N52" s="27">
        <v>14</v>
      </c>
      <c r="O52" s="28">
        <v>1</v>
      </c>
      <c r="P52" s="28">
        <v>4</v>
      </c>
      <c r="Q52" s="28">
        <v>3</v>
      </c>
      <c r="R52" s="28">
        <v>1</v>
      </c>
      <c r="S52" s="28">
        <v>2</v>
      </c>
      <c r="T52" s="28">
        <v>1</v>
      </c>
      <c r="U52" s="28">
        <v>0</v>
      </c>
      <c r="V52" s="28">
        <v>0</v>
      </c>
      <c r="W52" s="28">
        <v>0</v>
      </c>
      <c r="X52" s="28">
        <v>1</v>
      </c>
      <c r="Y52" s="28">
        <v>0</v>
      </c>
      <c r="Z52" s="28">
        <v>1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7">
        <f t="shared" si="3"/>
        <v>13</v>
      </c>
      <c r="AH52" s="28" t="s">
        <v>259</v>
      </c>
      <c r="AI52" s="28" t="s">
        <v>260</v>
      </c>
      <c r="AJ52" s="28">
        <v>25.7</v>
      </c>
      <c r="AK52" s="28"/>
      <c r="AL52" s="28"/>
      <c r="AM52" s="29" t="s">
        <v>261</v>
      </c>
      <c r="AO52" t="str">
        <f t="shared" si="4"/>
        <v>calima el darien</v>
      </c>
      <c r="AP52" t="str">
        <f t="shared" si="5"/>
        <v>valle del cauca</v>
      </c>
      <c r="AQ52" t="b">
        <f t="shared" si="6"/>
        <v>0</v>
      </c>
      <c r="AR52" t="str">
        <f t="shared" si="7"/>
        <v>calima el darien</v>
      </c>
      <c r="AS52" s="30">
        <f t="shared" si="8"/>
        <v>1</v>
      </c>
      <c r="AT52" s="30">
        <f t="shared" si="9"/>
        <v>13</v>
      </c>
      <c r="AU52" s="30">
        <f t="shared" si="10"/>
        <v>3</v>
      </c>
      <c r="AV52" s="30">
        <f t="shared" si="11"/>
        <v>3</v>
      </c>
      <c r="AZ52" s="31">
        <f t="shared" si="12"/>
        <v>3</v>
      </c>
      <c r="BA52" s="31">
        <f t="shared" si="13"/>
        <v>7</v>
      </c>
      <c r="BB52" s="32">
        <f>IFERROR(INDEX('Análisis general'!$E$4:$E$28,MATCH($B52,'Análisis general'!$B$4:$B$28,0)),"")</f>
        <v>4.9000000000000004</v>
      </c>
      <c r="BC52" s="31">
        <f t="shared" si="14"/>
        <v>3</v>
      </c>
      <c r="BD52" s="32">
        <f t="shared" si="15"/>
        <v>7.2857142857142856</v>
      </c>
      <c r="BE52" s="32">
        <f t="shared" si="16"/>
        <v>9</v>
      </c>
    </row>
    <row r="53" spans="1:57" ht="25.5" customHeight="1" x14ac:dyDescent="0.25">
      <c r="A53" s="33" t="s">
        <v>262</v>
      </c>
      <c r="B53" s="11" t="s">
        <v>49</v>
      </c>
      <c r="C53" s="34" t="s">
        <v>112</v>
      </c>
      <c r="D53" s="24">
        <f t="shared" si="0"/>
        <v>7</v>
      </c>
      <c r="E53" s="59">
        <f t="shared" si="1"/>
        <v>7.2857142857142856</v>
      </c>
      <c r="F53" s="59">
        <f t="shared" si="2"/>
        <v>9</v>
      </c>
      <c r="G53" s="11" t="s">
        <v>263</v>
      </c>
      <c r="H53" s="25" t="str">
        <f>IFERROR(IF($AQ53,INDEX(cpe!$C$2:$C$307,MATCH($AR53,cpe!$F$2:$F$307,0)),INDEX(cpe!$C$2:$C$307,MATCH($AR53,cpe!$D$2:$D$307,0))),"#N/D")</f>
        <v>#N/D</v>
      </c>
      <c r="I53" s="25" t="str">
        <f>IFERROR(IF($AQ53,INDEX(cpe!$B$2:$B$307,MATCH($AR53,cpe!$F$2:$F$307,0)),INDEX(cpe!$B$2:$B$307,MATCH($AR53,cpe!$D$2:$D$307,0))),"#N/D")</f>
        <v>#N/D</v>
      </c>
      <c r="J53" s="26" t="str">
        <f>IF($AQ53,"#N/D",IFERROR(INDEX(Olimpiadas!$B$2:$B$61,MATCH($AO53,Olimpiadas!$C$2:$C$61,0)),"#N/D"))</f>
        <v>Caicedonia</v>
      </c>
      <c r="K53" s="42" t="str">
        <f>IF($AQ53,"#N/D",IFERROR(INDEX(Olimpiadas!$A$2:$A$61,MATCH($AO53,Olimpiadas!$C$2:$C$61,0)),"#N/D"))</f>
        <v>INSTITUCIÓN EDUCATIVA LA CONSOLITA</v>
      </c>
      <c r="L53" s="42" t="str">
        <f>IF($AQ53,"#N/D",IFERROR(INDEX(Minculturas!$A$2:$A$48,MATCH($AO53,Minculturas!$C$2:$C$48,0)),"#N/D"))</f>
        <v>#N/D</v>
      </c>
      <c r="M53" s="42" t="str">
        <f>IF($AQ53,"#N/D",IFERROR(INDEX(Minculturas!$B$2:$B$48,MATCH($AO53,Minculturas!$C$2:$C$48,0)),"#N/D"))</f>
        <v>#N/D</v>
      </c>
      <c r="N53" s="27">
        <v>11</v>
      </c>
      <c r="O53" s="28">
        <v>0</v>
      </c>
      <c r="P53" s="28">
        <v>2</v>
      </c>
      <c r="Q53" s="28">
        <v>5</v>
      </c>
      <c r="R53" s="28">
        <v>0</v>
      </c>
      <c r="S53" s="28">
        <v>0</v>
      </c>
      <c r="T53" s="28">
        <v>1</v>
      </c>
      <c r="U53" s="28">
        <v>0</v>
      </c>
      <c r="V53" s="28">
        <v>0</v>
      </c>
      <c r="W53" s="28">
        <v>0</v>
      </c>
      <c r="X53" s="28">
        <v>1</v>
      </c>
      <c r="Y53" s="28">
        <v>0</v>
      </c>
      <c r="Z53" s="28">
        <v>1</v>
      </c>
      <c r="AA53" s="28">
        <v>0</v>
      </c>
      <c r="AB53" s="28">
        <v>1</v>
      </c>
      <c r="AC53" s="28">
        <v>0</v>
      </c>
      <c r="AD53" s="28">
        <v>0</v>
      </c>
      <c r="AE53" s="28">
        <v>0</v>
      </c>
      <c r="AF53" s="28">
        <v>0</v>
      </c>
      <c r="AG53" s="27">
        <f t="shared" si="3"/>
        <v>9</v>
      </c>
      <c r="AH53" s="28" t="s">
        <v>264</v>
      </c>
      <c r="AI53" s="28" t="s">
        <v>265</v>
      </c>
      <c r="AJ53" s="28">
        <v>24.6</v>
      </c>
      <c r="AK53" s="28"/>
      <c r="AL53" s="28"/>
      <c r="AM53" s="29" t="s">
        <v>114</v>
      </c>
      <c r="AO53" t="str">
        <f t="shared" si="4"/>
        <v>caicedonia</v>
      </c>
      <c r="AP53" t="str">
        <f t="shared" si="5"/>
        <v>valle del cauca</v>
      </c>
      <c r="AQ53" t="b">
        <f t="shared" si="6"/>
        <v>0</v>
      </c>
      <c r="AR53" t="str">
        <f t="shared" si="7"/>
        <v>caicedonia</v>
      </c>
      <c r="AS53" s="30">
        <f t="shared" si="8"/>
        <v>1</v>
      </c>
      <c r="AT53" s="30">
        <f t="shared" si="9"/>
        <v>9</v>
      </c>
      <c r="AU53" s="30">
        <f t="shared" si="10"/>
        <v>3</v>
      </c>
      <c r="AV53" s="30">
        <f t="shared" si="11"/>
        <v>3</v>
      </c>
      <c r="AZ53" s="31">
        <f t="shared" si="12"/>
        <v>3</v>
      </c>
      <c r="BA53" s="31">
        <f t="shared" si="13"/>
        <v>7</v>
      </c>
      <c r="BB53" s="32">
        <f>IFERROR(INDEX('Análisis general'!$E$4:$E$28,MATCH($B53,'Análisis general'!$B$4:$B$28,0)),"")</f>
        <v>4.9000000000000004</v>
      </c>
      <c r="BC53" s="31">
        <f t="shared" si="14"/>
        <v>3</v>
      </c>
      <c r="BD53" s="32">
        <f t="shared" si="15"/>
        <v>7.2857142857142856</v>
      </c>
      <c r="BE53" s="32">
        <f t="shared" si="16"/>
        <v>9</v>
      </c>
    </row>
    <row r="54" spans="1:57" ht="25.5" customHeight="1" x14ac:dyDescent="0.25">
      <c r="A54" s="33" t="s">
        <v>266</v>
      </c>
      <c r="B54" s="11" t="s">
        <v>49</v>
      </c>
      <c r="C54" s="34" t="s">
        <v>112</v>
      </c>
      <c r="D54" s="24">
        <f t="shared" si="0"/>
        <v>7</v>
      </c>
      <c r="E54" s="59">
        <f t="shared" si="1"/>
        <v>7.2857142857142856</v>
      </c>
      <c r="F54" s="59">
        <f t="shared" si="2"/>
        <v>9</v>
      </c>
      <c r="G54" s="11" t="s">
        <v>267</v>
      </c>
      <c r="H54" s="25" t="str">
        <f>IFERROR(IF($AQ54,INDEX(cpe!$C$2:$C$307,MATCH($AR54,cpe!$F$2:$F$307,0)),INDEX(cpe!$C$2:$C$307,MATCH($AR54,cpe!$D$2:$D$307,0))),"#N/D")</f>
        <v>I.E. Marco Fidel Suarez</v>
      </c>
      <c r="I54" s="25" t="str">
        <f>IFERROR(IF($AQ54,INDEX(cpe!$B$2:$B$307,MATCH($AR54,cpe!$F$2:$F$307,0)),INDEX(cpe!$B$2:$B$307,MATCH($AR54,cpe!$D$2:$D$307,0))),"#N/D")</f>
        <v>El Cerrito</v>
      </c>
      <c r="J54" s="26" t="str">
        <f>IF($AQ54,"#N/D",IFERROR(INDEX(Olimpiadas!$B$2:$B$61,MATCH($AO54,Olimpiadas!$C$2:$C$61,0)),"#N/D"))</f>
        <v>#N/D</v>
      </c>
      <c r="K54" s="26" t="str">
        <f>IF($AQ54,"#N/D",IFERROR(INDEX(Olimpiadas!$A$2:$A$61,MATCH($AO54,Olimpiadas!$C$2:$C$61,0)),"#N/D"))</f>
        <v>#N/D</v>
      </c>
      <c r="L54" s="26" t="str">
        <f>IF($AQ54,"#N/D",IFERROR(INDEX(Minculturas!$A$2:$A$48,MATCH($AO54,Minculturas!$C$2:$C$48,0)),"#N/D"))</f>
        <v>#N/D</v>
      </c>
      <c r="M54" s="26" t="str">
        <f>IF($AQ54,"#N/D",IFERROR(INDEX(Minculturas!$B$2:$B$48,MATCH($AO54,Minculturas!$C$2:$C$48,0)),"#N/D"))</f>
        <v>#N/D</v>
      </c>
      <c r="N54" s="27">
        <v>6</v>
      </c>
      <c r="O54" s="28">
        <v>0</v>
      </c>
      <c r="P54" s="28">
        <v>2</v>
      </c>
      <c r="Q54" s="28">
        <v>0</v>
      </c>
      <c r="R54" s="28">
        <v>1</v>
      </c>
      <c r="S54" s="28">
        <v>0</v>
      </c>
      <c r="T54" s="28">
        <v>2</v>
      </c>
      <c r="U54" s="28">
        <v>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7">
        <f t="shared" si="3"/>
        <v>6</v>
      </c>
      <c r="AH54" s="28"/>
      <c r="AI54" s="28"/>
      <c r="AJ54" s="28">
        <v>15.2</v>
      </c>
      <c r="AK54" s="28"/>
      <c r="AL54" s="28"/>
      <c r="AM54" s="29" t="s">
        <v>114</v>
      </c>
      <c r="AO54" t="str">
        <f t="shared" si="4"/>
        <v>el cerrito</v>
      </c>
      <c r="AP54" t="str">
        <f t="shared" si="5"/>
        <v>valle del cauca</v>
      </c>
      <c r="AQ54" t="b">
        <f t="shared" si="6"/>
        <v>0</v>
      </c>
      <c r="AR54" t="str">
        <f t="shared" si="7"/>
        <v>el cerrito</v>
      </c>
      <c r="AS54" s="30">
        <f t="shared" si="8"/>
        <v>1</v>
      </c>
      <c r="AT54" s="30">
        <f t="shared" si="9"/>
        <v>6</v>
      </c>
      <c r="AU54" s="30">
        <f t="shared" si="10"/>
        <v>3</v>
      </c>
      <c r="AV54" s="30">
        <f t="shared" si="11"/>
        <v>3</v>
      </c>
      <c r="AZ54" s="31">
        <f t="shared" si="12"/>
        <v>3</v>
      </c>
      <c r="BA54" s="31">
        <f t="shared" si="13"/>
        <v>7</v>
      </c>
      <c r="BB54" s="32">
        <f>IFERROR(INDEX('Análisis general'!$E$4:$E$28,MATCH($B54,'Análisis general'!$B$4:$B$28,0)),"")</f>
        <v>4.9000000000000004</v>
      </c>
      <c r="BC54" s="31">
        <f t="shared" si="14"/>
        <v>3</v>
      </c>
      <c r="BD54" s="32">
        <f t="shared" si="15"/>
        <v>7.2857142857142856</v>
      </c>
      <c r="BE54" s="32">
        <f t="shared" si="16"/>
        <v>9</v>
      </c>
    </row>
    <row r="55" spans="1:57" ht="25.5" customHeight="1" x14ac:dyDescent="0.25">
      <c r="A55" s="33" t="s">
        <v>268</v>
      </c>
      <c r="B55" s="11" t="s">
        <v>35</v>
      </c>
      <c r="C55" s="34" t="s">
        <v>112</v>
      </c>
      <c r="D55" s="24">
        <f t="shared" si="0"/>
        <v>7</v>
      </c>
      <c r="E55" s="59">
        <f t="shared" si="1"/>
        <v>7.2857142857142856</v>
      </c>
      <c r="F55" s="59">
        <f t="shared" si="2"/>
        <v>9</v>
      </c>
      <c r="G55" s="11" t="s">
        <v>269</v>
      </c>
      <c r="H55" s="25" t="s">
        <v>270</v>
      </c>
      <c r="I55" s="25" t="s">
        <v>269</v>
      </c>
      <c r="J55" s="26" t="s">
        <v>106</v>
      </c>
      <c r="K55" s="26" t="str">
        <f>IF($AQ55,"#N/D",IFERROR(INDEX(Olimpiadas!$A$2:$A$61,MATCH($AO55,Olimpiadas!$C$2:$C$61,0)),"#N/D"))</f>
        <v>#N/D</v>
      </c>
      <c r="L55" s="26" t="str">
        <f>IF($AQ55,"#N/D",IFERROR(INDEX(Minculturas!$A$2:$A$48,MATCH($AO55,Minculturas!$C$2:$C$48,0)),"#N/D"))</f>
        <v>#N/D</v>
      </c>
      <c r="M55" s="26" t="str">
        <f>IF($AQ55,"#N/D",IFERROR(INDEX(Minculturas!$B$2:$B$48,MATCH($AO55,Minculturas!$C$2:$C$48,0)),"#N/D"))</f>
        <v>#N/D</v>
      </c>
      <c r="N55" s="27">
        <v>5</v>
      </c>
      <c r="O55" s="28">
        <v>0</v>
      </c>
      <c r="P55" s="28">
        <v>2</v>
      </c>
      <c r="Q55" s="28">
        <v>0</v>
      </c>
      <c r="R55" s="28">
        <v>0</v>
      </c>
      <c r="S55" s="28">
        <v>3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7">
        <f t="shared" si="3"/>
        <v>5</v>
      </c>
      <c r="AH55" s="28"/>
      <c r="AI55" s="28"/>
      <c r="AJ55" s="28">
        <v>47</v>
      </c>
      <c r="AK55" s="28"/>
      <c r="AL55" s="28"/>
      <c r="AM55" s="29" t="s">
        <v>246</v>
      </c>
      <c r="AO55" t="str">
        <f t="shared" si="4"/>
        <v>ubala</v>
      </c>
      <c r="AP55" t="str">
        <f t="shared" si="5"/>
        <v>cundinamarca</v>
      </c>
      <c r="AQ55" t="b">
        <f t="shared" si="6"/>
        <v>0</v>
      </c>
      <c r="AR55" t="str">
        <f t="shared" si="7"/>
        <v>ubala</v>
      </c>
      <c r="AS55" s="30">
        <f t="shared" si="8"/>
        <v>1</v>
      </c>
      <c r="AT55" s="30">
        <f t="shared" si="9"/>
        <v>5</v>
      </c>
      <c r="AU55" s="30">
        <f t="shared" si="10"/>
        <v>3</v>
      </c>
      <c r="AV55" s="30">
        <f t="shared" si="11"/>
        <v>3</v>
      </c>
      <c r="AZ55" s="31">
        <f t="shared" si="12"/>
        <v>3</v>
      </c>
      <c r="BA55" s="31">
        <f t="shared" si="13"/>
        <v>7</v>
      </c>
      <c r="BB55" s="32">
        <f>IFERROR(INDEX('Análisis general'!$E$4:$E$28,MATCH($B55,'Análisis general'!$B$4:$B$28,0)),"")</f>
        <v>4.0999999999999996</v>
      </c>
      <c r="BC55" s="31">
        <f t="shared" si="14"/>
        <v>3</v>
      </c>
      <c r="BD55" s="32">
        <f t="shared" si="15"/>
        <v>7.2857142857142856</v>
      </c>
      <c r="BE55" s="32">
        <f t="shared" si="16"/>
        <v>9</v>
      </c>
    </row>
    <row r="56" spans="1:57" ht="25.5" customHeight="1" x14ac:dyDescent="0.25">
      <c r="A56" s="33" t="s">
        <v>271</v>
      </c>
      <c r="B56" s="11" t="s">
        <v>49</v>
      </c>
      <c r="C56" s="34" t="s">
        <v>112</v>
      </c>
      <c r="D56" s="24">
        <f t="shared" si="0"/>
        <v>7</v>
      </c>
      <c r="E56" s="59">
        <f t="shared" si="1"/>
        <v>7.2857142857142856</v>
      </c>
      <c r="F56" s="59">
        <f t="shared" si="2"/>
        <v>9</v>
      </c>
      <c r="G56" s="11" t="s">
        <v>272</v>
      </c>
      <c r="H56" s="25" t="s">
        <v>273</v>
      </c>
      <c r="I56" s="25" t="s">
        <v>272</v>
      </c>
      <c r="J56" s="26" t="s">
        <v>106</v>
      </c>
      <c r="K56" s="26" t="str">
        <f>IF($AQ56,"#N/D",IFERROR(INDEX(Olimpiadas!$A$2:$A$61,MATCH($AO56,Olimpiadas!$C$2:$C$61,0)),"#N/D"))</f>
        <v>#N/D</v>
      </c>
      <c r="L56" s="26" t="str">
        <f>IF($AQ56,"#N/D",IFERROR(INDEX(Minculturas!$A$2:$A$48,MATCH($AO56,Minculturas!$C$2:$C$48,0)),"#N/D"))</f>
        <v>#N/D</v>
      </c>
      <c r="M56" s="26" t="str">
        <f>IF($AQ56,"#N/D",IFERROR(INDEX(Minculturas!$B$2:$B$48,MATCH($AO56,Minculturas!$C$2:$C$48,0)),"#N/D"))</f>
        <v>#N/D</v>
      </c>
      <c r="N56" s="27">
        <v>5</v>
      </c>
      <c r="O56" s="28">
        <v>0</v>
      </c>
      <c r="P56" s="28">
        <v>1</v>
      </c>
      <c r="Q56" s="28">
        <v>1</v>
      </c>
      <c r="R56" s="28">
        <v>0</v>
      </c>
      <c r="S56" s="28">
        <v>0</v>
      </c>
      <c r="T56" s="28">
        <v>1</v>
      </c>
      <c r="U56" s="28">
        <v>0</v>
      </c>
      <c r="V56" s="28">
        <v>1</v>
      </c>
      <c r="W56" s="28">
        <v>0</v>
      </c>
      <c r="X56" s="28">
        <v>1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7">
        <f t="shared" si="3"/>
        <v>5</v>
      </c>
      <c r="AH56" s="28"/>
      <c r="AI56" s="28"/>
      <c r="AJ56" s="28">
        <v>19</v>
      </c>
      <c r="AK56" s="28"/>
      <c r="AL56" s="28"/>
      <c r="AM56" s="29" t="s">
        <v>246</v>
      </c>
      <c r="AO56" t="str">
        <f t="shared" si="4"/>
        <v>vijes</v>
      </c>
      <c r="AP56" t="str">
        <f t="shared" si="5"/>
        <v>valle del cauca</v>
      </c>
      <c r="AQ56" t="b">
        <f t="shared" si="6"/>
        <v>0</v>
      </c>
      <c r="AR56" t="str">
        <f t="shared" si="7"/>
        <v>vijes</v>
      </c>
      <c r="AS56" s="30">
        <f t="shared" si="8"/>
        <v>1</v>
      </c>
      <c r="AT56" s="30">
        <f t="shared" si="9"/>
        <v>5</v>
      </c>
      <c r="AU56" s="30">
        <f t="shared" si="10"/>
        <v>3</v>
      </c>
      <c r="AV56" s="30">
        <f t="shared" si="11"/>
        <v>3</v>
      </c>
      <c r="AZ56" s="31">
        <f t="shared" si="12"/>
        <v>3</v>
      </c>
      <c r="BA56" s="31">
        <f t="shared" si="13"/>
        <v>7</v>
      </c>
      <c r="BB56" s="32">
        <f>IFERROR(INDEX('Análisis general'!$E$4:$E$28,MATCH($B56,'Análisis general'!$B$4:$B$28,0)),"")</f>
        <v>4.9000000000000004</v>
      </c>
      <c r="BC56" s="31">
        <f t="shared" si="14"/>
        <v>3</v>
      </c>
      <c r="BD56" s="32">
        <f t="shared" si="15"/>
        <v>7.2857142857142856</v>
      </c>
      <c r="BE56" s="32">
        <f t="shared" si="16"/>
        <v>9</v>
      </c>
    </row>
    <row r="57" spans="1:57" ht="25.5" customHeight="1" x14ac:dyDescent="0.25">
      <c r="A57" s="33" t="s">
        <v>282</v>
      </c>
      <c r="B57" s="11" t="s">
        <v>48</v>
      </c>
      <c r="C57" s="34" t="s">
        <v>112</v>
      </c>
      <c r="D57" s="24">
        <f t="shared" si="0"/>
        <v>7</v>
      </c>
      <c r="E57" s="59">
        <f t="shared" si="1"/>
        <v>7.2857142857142856</v>
      </c>
      <c r="F57" s="59">
        <f t="shared" si="2"/>
        <v>9</v>
      </c>
      <c r="G57" s="11" t="s">
        <v>283</v>
      </c>
      <c r="H57" s="25" t="str">
        <f>IFERROR(IF($AQ57,INDEX(cpe!$C$2:$C$307,MATCH($AR57,cpe!$F$2:$F$307,0)),INDEX(cpe!$C$2:$C$307,MATCH($AR57,cpe!$D$2:$D$307,0))),"#N/D")</f>
        <v>Inst. Educativa Monse¿or Sarmiento Peralta</v>
      </c>
      <c r="I57" s="25" t="str">
        <f>IFERROR(IF($AQ57,INDEX(cpe!$B$2:$B$307,MATCH($AR57,cpe!$F$2:$F$307,0)),INDEX(cpe!$B$2:$B$307,MATCH($AR57,cpe!$D$2:$D$307,0))),"#N/D")</f>
        <v>Fresno</v>
      </c>
      <c r="J57" s="26" t="str">
        <f>IF($AQ57,"#N/D",IFERROR(INDEX(Olimpiadas!$B$2:$B$61,MATCH($AO57,Olimpiadas!$C$2:$C$61,0)),"#N/D"))</f>
        <v>#N/D</v>
      </c>
      <c r="K57" s="26" t="str">
        <f>IF($AQ57,"#N/D",IFERROR(INDEX(Olimpiadas!$A$2:$A$61,MATCH($AO57,Olimpiadas!$C$2:$C$61,0)),"#N/D"))</f>
        <v>#N/D</v>
      </c>
      <c r="L57" s="26" t="str">
        <f>IF($AQ57,"#N/D",IFERROR(INDEX(Minculturas!$A$2:$A$48,MATCH($AO57,Minculturas!$C$2:$C$48,0)),"#N/D"))</f>
        <v>#N/D</v>
      </c>
      <c r="M57" s="26" t="str">
        <f>IF($AQ57,"#N/D",IFERROR(INDEX(Minculturas!$B$2:$B$48,MATCH($AO57,Minculturas!$C$2:$C$48,0)),"#N/D"))</f>
        <v>#N/D</v>
      </c>
      <c r="N57" s="27">
        <v>4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3</v>
      </c>
      <c r="W57" s="28">
        <v>0</v>
      </c>
      <c r="X57" s="28">
        <v>1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7">
        <f t="shared" si="3"/>
        <v>4</v>
      </c>
      <c r="AH57" s="28"/>
      <c r="AI57" s="28"/>
      <c r="AJ57" s="28">
        <v>33.6</v>
      </c>
      <c r="AK57" s="28"/>
      <c r="AL57" s="28"/>
      <c r="AM57" s="29" t="s">
        <v>114</v>
      </c>
      <c r="AO57" t="str">
        <f t="shared" si="4"/>
        <v>fresno</v>
      </c>
      <c r="AP57" t="str">
        <f t="shared" si="5"/>
        <v>tolima</v>
      </c>
      <c r="AQ57" t="b">
        <f t="shared" si="6"/>
        <v>0</v>
      </c>
      <c r="AR57" t="str">
        <f t="shared" si="7"/>
        <v>fresno</v>
      </c>
      <c r="AS57" s="30">
        <f t="shared" si="8"/>
        <v>1</v>
      </c>
      <c r="AT57" s="30">
        <f t="shared" si="9"/>
        <v>4</v>
      </c>
      <c r="AU57" s="30">
        <f t="shared" si="10"/>
        <v>3</v>
      </c>
      <c r="AV57" s="30">
        <f t="shared" si="11"/>
        <v>3</v>
      </c>
      <c r="AZ57" s="31">
        <f t="shared" si="12"/>
        <v>3</v>
      </c>
      <c r="BA57" s="31">
        <f t="shared" si="13"/>
        <v>7</v>
      </c>
      <c r="BB57" s="32">
        <f>IFERROR(INDEX('Análisis general'!$E$4:$E$28,MATCH($B57,'Análisis general'!$B$4:$B$28,0)),"")</f>
        <v>12.2</v>
      </c>
      <c r="BC57" s="31">
        <f t="shared" si="14"/>
        <v>3</v>
      </c>
      <c r="BD57" s="32">
        <f t="shared" si="15"/>
        <v>7.2857142857142856</v>
      </c>
      <c r="BE57" s="32">
        <f t="shared" si="16"/>
        <v>9</v>
      </c>
    </row>
    <row r="58" spans="1:57" ht="25.5" customHeight="1" x14ac:dyDescent="0.25">
      <c r="A58" s="33" t="s">
        <v>286</v>
      </c>
      <c r="B58" s="11" t="s">
        <v>48</v>
      </c>
      <c r="C58" s="34" t="s">
        <v>112</v>
      </c>
      <c r="D58" s="24">
        <f t="shared" si="0"/>
        <v>7</v>
      </c>
      <c r="E58" s="59">
        <f t="shared" si="1"/>
        <v>7.2857142857142856</v>
      </c>
      <c r="F58" s="59">
        <f t="shared" si="2"/>
        <v>9</v>
      </c>
      <c r="G58" s="11" t="s">
        <v>287</v>
      </c>
      <c r="H58" s="25" t="str">
        <f>IFERROR(IF($AQ58,INDEX(cpe!$C$2:$C$307,MATCH($AR58,cpe!$F$2:$F$307,0)),INDEX(cpe!$C$2:$C$307,MATCH($AR58,cpe!$D$2:$D$307,0))),"#N/D")</f>
        <v>Institucion Educativa Sucre</v>
      </c>
      <c r="I58" s="25" t="str">
        <f>IFERROR(IF($AQ58,INDEX(cpe!$B$2:$B$307,MATCH($AR58,cpe!$F$2:$F$307,0)),INDEX(cpe!$B$2:$B$307,MATCH($AR58,cpe!$D$2:$D$307,0))),"#N/D")</f>
        <v>Palocabildo</v>
      </c>
      <c r="J58" s="26" t="str">
        <f>IF($AQ58,"#N/D",IFERROR(INDEX(Olimpiadas!$B$2:$B$61,MATCH($AO58,Olimpiadas!$C$2:$C$61,0)),"#N/D"))</f>
        <v>#N/D</v>
      </c>
      <c r="K58" s="26" t="str">
        <f>IF($AQ58,"#N/D",IFERROR(INDEX(Olimpiadas!$A$2:$A$61,MATCH($AO58,Olimpiadas!$C$2:$C$61,0)),"#N/D"))</f>
        <v>#N/D</v>
      </c>
      <c r="L58" s="26" t="str">
        <f>IF($AQ58,"#N/D",IFERROR(INDEX(Minculturas!$A$2:$A$48,MATCH($AO58,Minculturas!$C$2:$C$48,0)),"#N/D"))</f>
        <v>#N/D</v>
      </c>
      <c r="M58" s="26" t="str">
        <f>IF($AQ58,"#N/D",IFERROR(INDEX(Minculturas!$B$2:$B$48,MATCH($AO58,Minculturas!$C$2:$C$48,0)),"#N/D"))</f>
        <v>#N/D</v>
      </c>
      <c r="N58" s="27">
        <v>4</v>
      </c>
      <c r="O58" s="28">
        <v>0</v>
      </c>
      <c r="P58" s="28">
        <v>0</v>
      </c>
      <c r="Q58" s="28">
        <v>0</v>
      </c>
      <c r="R58" s="28">
        <v>1</v>
      </c>
      <c r="S58" s="28">
        <v>1</v>
      </c>
      <c r="T58" s="28">
        <v>0</v>
      </c>
      <c r="U58" s="28">
        <v>1</v>
      </c>
      <c r="V58" s="28">
        <v>1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7">
        <f t="shared" si="3"/>
        <v>4</v>
      </c>
      <c r="AH58" s="28"/>
      <c r="AI58" s="28"/>
      <c r="AJ58" s="28">
        <v>45.5</v>
      </c>
      <c r="AK58" s="28"/>
      <c r="AL58" s="28"/>
      <c r="AM58" s="29" t="s">
        <v>114</v>
      </c>
      <c r="AO58" t="str">
        <f t="shared" si="4"/>
        <v>palocabildo</v>
      </c>
      <c r="AP58" t="str">
        <f t="shared" si="5"/>
        <v>tolima</v>
      </c>
      <c r="AQ58" t="b">
        <f t="shared" si="6"/>
        <v>0</v>
      </c>
      <c r="AR58" t="str">
        <f t="shared" si="7"/>
        <v>palocabildo</v>
      </c>
      <c r="AS58" s="30">
        <f t="shared" si="8"/>
        <v>1</v>
      </c>
      <c r="AT58" s="30">
        <f t="shared" si="9"/>
        <v>4</v>
      </c>
      <c r="AU58" s="30">
        <f t="shared" si="10"/>
        <v>3</v>
      </c>
      <c r="AV58" s="30">
        <f t="shared" si="11"/>
        <v>3</v>
      </c>
      <c r="AZ58" s="31">
        <f t="shared" si="12"/>
        <v>3</v>
      </c>
      <c r="BA58" s="31">
        <f t="shared" si="13"/>
        <v>7</v>
      </c>
      <c r="BB58" s="32">
        <f>IFERROR(INDEX('Análisis general'!$E$4:$E$28,MATCH($B58,'Análisis general'!$B$4:$B$28,0)),"")</f>
        <v>12.2</v>
      </c>
      <c r="BC58" s="31">
        <f t="shared" si="14"/>
        <v>3</v>
      </c>
      <c r="BD58" s="32">
        <f t="shared" si="15"/>
        <v>7.2857142857142856</v>
      </c>
      <c r="BE58" s="32">
        <f t="shared" si="16"/>
        <v>9</v>
      </c>
    </row>
    <row r="59" spans="1:57" ht="25.5" customHeight="1" x14ac:dyDescent="0.25">
      <c r="A59" s="33" t="s">
        <v>276</v>
      </c>
      <c r="B59" s="11" t="s">
        <v>37</v>
      </c>
      <c r="C59" s="34" t="s">
        <v>112</v>
      </c>
      <c r="D59" s="24">
        <f t="shared" si="0"/>
        <v>7</v>
      </c>
      <c r="E59" s="59">
        <f t="shared" si="1"/>
        <v>7.2857142857142856</v>
      </c>
      <c r="F59" s="59">
        <f t="shared" si="2"/>
        <v>9</v>
      </c>
      <c r="G59" s="11" t="s">
        <v>277</v>
      </c>
      <c r="H59" s="25" t="str">
        <f>IFERROR(IF($AQ59,INDEX(cpe!$C$2:$C$307,MATCH($AR59,cpe!$F$2:$F$307,0)),INDEX(cpe!$C$2:$C$307,MATCH($AR59,cpe!$D$2:$D$307,0))),"#N/D")</f>
        <v>Institucion Educativa Santa Lucia</v>
      </c>
      <c r="I59" s="25" t="str">
        <f>IFERROR(IF($AQ59,INDEX(cpe!$B$2:$B$307,MATCH($AR59,cpe!$F$2:$F$307,0)),INDEX(cpe!$B$2:$B$307,MATCH($AR59,cpe!$D$2:$D$307,0))),"#N/D")</f>
        <v>Aipe</v>
      </c>
      <c r="J59" s="26" t="str">
        <f>IF($AQ59,"#N/D",IFERROR(INDEX(Olimpiadas!$B$2:$B$61,MATCH($AO59,Olimpiadas!$C$2:$C$61,0)),"#N/D"))</f>
        <v>#N/D</v>
      </c>
      <c r="K59" s="26" t="str">
        <f>IF($AQ59,"#N/D",IFERROR(INDEX(Olimpiadas!$A$2:$A$61,MATCH($AO59,Olimpiadas!$C$2:$C$61,0)),"#N/D"))</f>
        <v>#N/D</v>
      </c>
      <c r="L59" s="26" t="str">
        <f>IF($AQ59,"#N/D",IFERROR(INDEX(Minculturas!$A$2:$A$48,MATCH($AO59,Minculturas!$C$2:$C$48,0)),"#N/D"))</f>
        <v>#N/D</v>
      </c>
      <c r="M59" s="26" t="str">
        <f>IF($AQ59,"#N/D",IFERROR(INDEX(Minculturas!$B$2:$B$48,MATCH($AO59,Minculturas!$C$2:$C$48,0)),"#N/D"))</f>
        <v>#N/D</v>
      </c>
      <c r="N59" s="27">
        <v>3</v>
      </c>
      <c r="O59" s="28">
        <v>0</v>
      </c>
      <c r="P59" s="28">
        <v>0</v>
      </c>
      <c r="Q59" s="28">
        <v>3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7">
        <f t="shared" si="3"/>
        <v>3</v>
      </c>
      <c r="AH59" s="28"/>
      <c r="AI59" s="28"/>
      <c r="AJ59" s="28">
        <v>35.4</v>
      </c>
      <c r="AK59" s="28"/>
      <c r="AL59" s="28"/>
      <c r="AM59" s="29" t="s">
        <v>114</v>
      </c>
      <c r="AO59" t="str">
        <f t="shared" si="4"/>
        <v>aipe</v>
      </c>
      <c r="AP59" t="str">
        <f t="shared" si="5"/>
        <v>huila</v>
      </c>
      <c r="AQ59" t="b">
        <f t="shared" si="6"/>
        <v>0</v>
      </c>
      <c r="AR59" t="str">
        <f t="shared" si="7"/>
        <v>aipe</v>
      </c>
      <c r="AS59" s="30">
        <f t="shared" si="8"/>
        <v>1</v>
      </c>
      <c r="AT59" s="30">
        <f t="shared" si="9"/>
        <v>3</v>
      </c>
      <c r="AU59" s="30">
        <f t="shared" si="10"/>
        <v>3</v>
      </c>
      <c r="AV59" s="30">
        <f t="shared" si="11"/>
        <v>3</v>
      </c>
      <c r="AZ59" s="31">
        <f t="shared" si="12"/>
        <v>3</v>
      </c>
      <c r="BA59" s="31">
        <f t="shared" si="13"/>
        <v>7</v>
      </c>
      <c r="BB59" s="32">
        <f>IFERROR(INDEX('Análisis general'!$E$4:$E$28,MATCH($B59,'Análisis general'!$B$4:$B$28,0)),"")</f>
        <v>9.6999999999999993</v>
      </c>
      <c r="BC59" s="31">
        <f t="shared" si="14"/>
        <v>3</v>
      </c>
      <c r="BD59" s="32">
        <f t="shared" si="15"/>
        <v>7.2857142857142856</v>
      </c>
      <c r="BE59" s="32">
        <f t="shared" si="16"/>
        <v>9</v>
      </c>
    </row>
    <row r="60" spans="1:57" ht="25.5" customHeight="1" x14ac:dyDescent="0.25">
      <c r="A60" s="33" t="s">
        <v>280</v>
      </c>
      <c r="B60" s="11" t="s">
        <v>48</v>
      </c>
      <c r="C60" s="34" t="s">
        <v>112</v>
      </c>
      <c r="D60" s="24">
        <f t="shared" si="0"/>
        <v>7</v>
      </c>
      <c r="E60" s="59">
        <f t="shared" si="1"/>
        <v>7.2857142857142856</v>
      </c>
      <c r="F60" s="59">
        <f t="shared" si="2"/>
        <v>9</v>
      </c>
      <c r="G60" s="11" t="s">
        <v>281</v>
      </c>
      <c r="H60" s="25" t="str">
        <f>IFERROR(IF($AQ60,INDEX(cpe!$C$2:$C$307,MATCH($AR60,cpe!$F$2:$F$307,0)),INDEX(cpe!$C$2:$C$307,MATCH($AR60,cpe!$D$2:$D$307,0))),"#N/D")</f>
        <v>Intitución Educativa Maria Auxiliadora</v>
      </c>
      <c r="I60" s="25" t="str">
        <f>IFERROR(IF($AQ60,INDEX(cpe!$B$2:$B$307,MATCH($AR60,cpe!$F$2:$F$307,0)),INDEX(cpe!$B$2:$B$307,MATCH($AR60,cpe!$D$2:$D$307,0))),"#N/D")</f>
        <v>Dolores</v>
      </c>
      <c r="J60" s="26" t="str">
        <f>IF($AQ60,"#N/D",IFERROR(INDEX(Olimpiadas!$B$2:$B$61,MATCH($AO60,Olimpiadas!$C$2:$C$61,0)),"#N/D"))</f>
        <v>#N/D</v>
      </c>
      <c r="K60" s="26" t="str">
        <f>IF($AQ60,"#N/D",IFERROR(INDEX(Olimpiadas!$A$2:$A$61,MATCH($AO60,Olimpiadas!$C$2:$C$61,0)),"#N/D"))</f>
        <v>#N/D</v>
      </c>
      <c r="L60" s="26" t="str">
        <f>IF($AQ60,"#N/D",IFERROR(INDEX(Minculturas!$A$2:$A$48,MATCH($AO60,Minculturas!$C$2:$C$48,0)),"#N/D"))</f>
        <v>#N/D</v>
      </c>
      <c r="M60" s="26" t="str">
        <f>IF($AQ60,"#N/D",IFERROR(INDEX(Minculturas!$B$2:$B$48,MATCH($AO60,Minculturas!$C$2:$C$48,0)),"#N/D"))</f>
        <v>#N/D</v>
      </c>
      <c r="N60" s="27">
        <v>3</v>
      </c>
      <c r="O60" s="28">
        <v>0</v>
      </c>
      <c r="P60" s="28">
        <v>1</v>
      </c>
      <c r="Q60" s="28">
        <v>0</v>
      </c>
      <c r="R60" s="28">
        <v>0</v>
      </c>
      <c r="S60" s="28">
        <v>0</v>
      </c>
      <c r="T60" s="28">
        <v>1</v>
      </c>
      <c r="U60" s="28">
        <v>1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7">
        <f t="shared" si="3"/>
        <v>3</v>
      </c>
      <c r="AH60" s="28"/>
      <c r="AI60" s="28"/>
      <c r="AJ60" s="28">
        <v>32.799999999999997</v>
      </c>
      <c r="AK60" s="28"/>
      <c r="AL60" s="28"/>
      <c r="AM60" s="29" t="s">
        <v>114</v>
      </c>
      <c r="AO60" t="str">
        <f t="shared" si="4"/>
        <v>dolores</v>
      </c>
      <c r="AP60" t="str">
        <f t="shared" si="5"/>
        <v>tolima</v>
      </c>
      <c r="AQ60" t="b">
        <f t="shared" si="6"/>
        <v>0</v>
      </c>
      <c r="AR60" t="str">
        <f t="shared" si="7"/>
        <v>dolores</v>
      </c>
      <c r="AS60" s="30">
        <f t="shared" si="8"/>
        <v>1</v>
      </c>
      <c r="AT60" s="30">
        <f t="shared" si="9"/>
        <v>3</v>
      </c>
      <c r="AU60" s="30">
        <f t="shared" si="10"/>
        <v>3</v>
      </c>
      <c r="AV60" s="30">
        <f t="shared" si="11"/>
        <v>3</v>
      </c>
      <c r="AZ60" s="31">
        <f t="shared" si="12"/>
        <v>3</v>
      </c>
      <c r="BA60" s="31">
        <f t="shared" si="13"/>
        <v>7</v>
      </c>
      <c r="BB60" s="32">
        <f>IFERROR(INDEX('Análisis general'!$E$4:$E$28,MATCH($B60,'Análisis general'!$B$4:$B$28,0)),"")</f>
        <v>12.2</v>
      </c>
      <c r="BC60" s="31">
        <f t="shared" si="14"/>
        <v>3</v>
      </c>
      <c r="BD60" s="32">
        <f t="shared" si="15"/>
        <v>7.2857142857142856</v>
      </c>
      <c r="BE60" s="32">
        <f t="shared" si="16"/>
        <v>9</v>
      </c>
    </row>
    <row r="61" spans="1:57" ht="25.5" customHeight="1" x14ac:dyDescent="0.25">
      <c r="A61" s="33" t="s">
        <v>288</v>
      </c>
      <c r="B61" s="11" t="s">
        <v>48</v>
      </c>
      <c r="C61" s="34" t="s">
        <v>112</v>
      </c>
      <c r="D61" s="24">
        <f t="shared" si="0"/>
        <v>7</v>
      </c>
      <c r="E61" s="59">
        <f t="shared" si="1"/>
        <v>7.2857142857142856</v>
      </c>
      <c r="F61" s="59">
        <f t="shared" si="2"/>
        <v>9</v>
      </c>
      <c r="G61" s="11" t="s">
        <v>289</v>
      </c>
      <c r="H61" s="25" t="s">
        <v>290</v>
      </c>
      <c r="I61" s="25" t="s">
        <v>289</v>
      </c>
      <c r="J61" s="26" t="s">
        <v>106</v>
      </c>
      <c r="K61" s="26" t="str">
        <f>IF($AQ61,"#N/D",IFERROR(INDEX(Olimpiadas!$A$2:$A$61,MATCH($AO61,Olimpiadas!$C$2:$C$61,0)),"#N/D"))</f>
        <v>#N/D</v>
      </c>
      <c r="L61" s="26" t="str">
        <f>IF($AQ61,"#N/D",IFERROR(INDEX(Minculturas!$A$2:$A$48,MATCH($AO61,Minculturas!$C$2:$C$48,0)),"#N/D"))</f>
        <v>#N/D</v>
      </c>
      <c r="M61" s="26" t="str">
        <f>IF($AQ61,"#N/D",IFERROR(INDEX(Minculturas!$B$2:$B$48,MATCH($AO61,Minculturas!$C$2:$C$48,0)),"#N/D"))</f>
        <v>#N/D</v>
      </c>
      <c r="N61" s="27">
        <v>3</v>
      </c>
      <c r="O61" s="28">
        <v>0</v>
      </c>
      <c r="P61" s="28">
        <v>0</v>
      </c>
      <c r="Q61" s="28">
        <v>1</v>
      </c>
      <c r="R61" s="28">
        <v>1</v>
      </c>
      <c r="S61" s="28">
        <v>0</v>
      </c>
      <c r="T61" s="28">
        <v>0</v>
      </c>
      <c r="U61" s="28">
        <v>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7">
        <f t="shared" si="3"/>
        <v>3</v>
      </c>
      <c r="AH61" s="28"/>
      <c r="AI61" s="28"/>
      <c r="AJ61" s="28">
        <v>55.4</v>
      </c>
      <c r="AK61" s="28"/>
      <c r="AL61" s="28"/>
      <c r="AM61" s="29" t="s">
        <v>114</v>
      </c>
      <c r="AO61" t="str">
        <f t="shared" si="4"/>
        <v>planadas</v>
      </c>
      <c r="AP61" t="str">
        <f t="shared" si="5"/>
        <v>tolima</v>
      </c>
      <c r="AQ61" t="b">
        <f t="shared" si="6"/>
        <v>0</v>
      </c>
      <c r="AR61" t="str">
        <f t="shared" si="7"/>
        <v>planadas</v>
      </c>
      <c r="AS61" s="30">
        <f t="shared" si="8"/>
        <v>1</v>
      </c>
      <c r="AT61" s="30">
        <f t="shared" si="9"/>
        <v>3</v>
      </c>
      <c r="AU61" s="30">
        <f t="shared" si="10"/>
        <v>3</v>
      </c>
      <c r="AV61" s="30">
        <f t="shared" si="11"/>
        <v>3</v>
      </c>
      <c r="AZ61" s="31">
        <f t="shared" si="12"/>
        <v>3</v>
      </c>
      <c r="BA61" s="31">
        <f t="shared" si="13"/>
        <v>7</v>
      </c>
      <c r="BB61" s="32">
        <f>IFERROR(INDEX('Análisis general'!$E$4:$E$28,MATCH($B61,'Análisis general'!$B$4:$B$28,0)),"")</f>
        <v>12.2</v>
      </c>
      <c r="BC61" s="31">
        <f t="shared" si="14"/>
        <v>3</v>
      </c>
      <c r="BD61" s="32">
        <f t="shared" si="15"/>
        <v>7.2857142857142856</v>
      </c>
      <c r="BE61" s="32">
        <f t="shared" si="16"/>
        <v>9</v>
      </c>
    </row>
    <row r="62" spans="1:57" ht="25.5" customHeight="1" x14ac:dyDescent="0.25">
      <c r="A62" s="33" t="s">
        <v>291</v>
      </c>
      <c r="B62" s="11" t="s">
        <v>48</v>
      </c>
      <c r="C62" s="34" t="s">
        <v>112</v>
      </c>
      <c r="D62" s="24">
        <f t="shared" si="0"/>
        <v>7</v>
      </c>
      <c r="E62" s="59">
        <f t="shared" si="1"/>
        <v>7.2857142857142856</v>
      </c>
      <c r="F62" s="59">
        <f t="shared" si="2"/>
        <v>9</v>
      </c>
      <c r="G62" s="11" t="s">
        <v>292</v>
      </c>
      <c r="H62" s="25" t="s">
        <v>293</v>
      </c>
      <c r="I62" s="25" t="s">
        <v>292</v>
      </c>
      <c r="J62" s="26" t="s">
        <v>106</v>
      </c>
      <c r="K62" s="26" t="str">
        <f>IF($AQ62,"#N/D",IFERROR(INDEX(Olimpiadas!$A$2:$A$61,MATCH($AO62,Olimpiadas!$C$2:$C$61,0)),"#N/D"))</f>
        <v>#N/D</v>
      </c>
      <c r="L62" s="26" t="str">
        <f>IF($AQ62,"#N/D",IFERROR(INDEX(Minculturas!$A$2:$A$48,MATCH($AO62,Minculturas!$C$2:$C$48,0)),"#N/D"))</f>
        <v>#N/D</v>
      </c>
      <c r="M62" s="26" t="str">
        <f>IF($AQ62,"#N/D",IFERROR(INDEX(Minculturas!$B$2:$B$48,MATCH($AO62,Minculturas!$C$2:$C$48,0)),"#N/D"))</f>
        <v>#N/D</v>
      </c>
      <c r="N62" s="27">
        <v>3</v>
      </c>
      <c r="O62" s="28">
        <v>0</v>
      </c>
      <c r="P62" s="28">
        <v>2</v>
      </c>
      <c r="Q62" s="28">
        <v>0</v>
      </c>
      <c r="R62" s="28">
        <v>1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7">
        <f t="shared" si="3"/>
        <v>3</v>
      </c>
      <c r="AH62" s="28"/>
      <c r="AI62" s="28"/>
      <c r="AJ62" s="28">
        <v>32.6</v>
      </c>
      <c r="AK62" s="28"/>
      <c r="AL62" s="28"/>
      <c r="AM62" s="29" t="s">
        <v>114</v>
      </c>
      <c r="AO62" t="str">
        <f t="shared" si="4"/>
        <v>purificacion</v>
      </c>
      <c r="AP62" t="str">
        <f t="shared" si="5"/>
        <v>tolima</v>
      </c>
      <c r="AQ62" t="b">
        <f t="shared" si="6"/>
        <v>0</v>
      </c>
      <c r="AR62" t="str">
        <f t="shared" si="7"/>
        <v>purificacion</v>
      </c>
      <c r="AS62" s="30">
        <f t="shared" si="8"/>
        <v>1</v>
      </c>
      <c r="AT62" s="30">
        <f t="shared" si="9"/>
        <v>3</v>
      </c>
      <c r="AU62" s="30">
        <f t="shared" si="10"/>
        <v>3</v>
      </c>
      <c r="AV62" s="30">
        <f t="shared" si="11"/>
        <v>3</v>
      </c>
      <c r="AZ62" s="31">
        <f t="shared" si="12"/>
        <v>3</v>
      </c>
      <c r="BA62" s="31">
        <f t="shared" si="13"/>
        <v>7</v>
      </c>
      <c r="BB62" s="32">
        <f>IFERROR(INDEX('Análisis general'!$E$4:$E$28,MATCH($B62,'Análisis general'!$B$4:$B$28,0)),"")</f>
        <v>12.2</v>
      </c>
      <c r="BC62" s="31">
        <f t="shared" si="14"/>
        <v>3</v>
      </c>
      <c r="BD62" s="32">
        <f t="shared" si="15"/>
        <v>7.2857142857142856</v>
      </c>
      <c r="BE62" s="32">
        <f t="shared" si="16"/>
        <v>9</v>
      </c>
    </row>
    <row r="63" spans="1:57" ht="25.5" customHeight="1" x14ac:dyDescent="0.25">
      <c r="A63" s="33" t="s">
        <v>274</v>
      </c>
      <c r="B63" s="11" t="s">
        <v>37</v>
      </c>
      <c r="C63" s="34" t="s">
        <v>112</v>
      </c>
      <c r="D63" s="24">
        <f t="shared" si="0"/>
        <v>7</v>
      </c>
      <c r="E63" s="59">
        <f t="shared" si="1"/>
        <v>7.2857142857142856</v>
      </c>
      <c r="F63" s="59">
        <f t="shared" si="2"/>
        <v>9</v>
      </c>
      <c r="G63" s="11" t="s">
        <v>275</v>
      </c>
      <c r="H63" s="25" t="str">
        <f>IFERROR(IF($AQ63,INDEX(cpe!$C$2:$C$307,MATCH($AR63,cpe!$F$2:$F$307,0)),INDEX(cpe!$C$2:$C$307,MATCH($AR63,cpe!$D$2:$D$307,0))),"#N/D")</f>
        <v>Institucion Educativa Villalosada</v>
      </c>
      <c r="I63" s="25" t="str">
        <f>IFERROR(IF($AQ63,INDEX(cpe!$B$2:$B$307,MATCH($AR63,cpe!$F$2:$F$307,0)),INDEX(cpe!$B$2:$B$307,MATCH($AR63,cpe!$D$2:$D$307,0))),"#N/D")</f>
        <v>Acevedo</v>
      </c>
      <c r="J63" s="26" t="str">
        <f>IF($AQ63,"#N/D",IFERROR(INDEX(Olimpiadas!$B$2:$B$61,MATCH($AO63,Olimpiadas!$C$2:$C$61,0)),"#N/D"))</f>
        <v>#N/D</v>
      </c>
      <c r="K63" s="26" t="str">
        <f>IF($AQ63,"#N/D",IFERROR(INDEX(Olimpiadas!$A$2:$A$61,MATCH($AO63,Olimpiadas!$C$2:$C$61,0)),"#N/D"))</f>
        <v>#N/D</v>
      </c>
      <c r="L63" s="26" t="str">
        <f>IF($AQ63,"#N/D",IFERROR(INDEX(Minculturas!$A$2:$A$48,MATCH($AO63,Minculturas!$C$2:$C$48,0)),"#N/D"))</f>
        <v>#N/D</v>
      </c>
      <c r="M63" s="26" t="str">
        <f>IF($AQ63,"#N/D",IFERROR(INDEX(Minculturas!$B$2:$B$48,MATCH($AO63,Minculturas!$C$2:$C$48,0)),"#N/D"))</f>
        <v>#N/D</v>
      </c>
      <c r="N63" s="27">
        <v>2</v>
      </c>
      <c r="O63" s="28">
        <v>0</v>
      </c>
      <c r="P63" s="28">
        <v>0</v>
      </c>
      <c r="Q63" s="28">
        <v>1</v>
      </c>
      <c r="R63" s="28">
        <v>0</v>
      </c>
      <c r="S63" s="28">
        <v>1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7">
        <f t="shared" si="3"/>
        <v>2</v>
      </c>
      <c r="AH63" s="28"/>
      <c r="AI63" s="28"/>
      <c r="AJ63" s="28">
        <v>51</v>
      </c>
      <c r="AK63" s="28"/>
      <c r="AL63" s="28"/>
      <c r="AM63" s="29" t="s">
        <v>114</v>
      </c>
      <c r="AO63" t="str">
        <f t="shared" si="4"/>
        <v>acevedo</v>
      </c>
      <c r="AP63" t="str">
        <f t="shared" si="5"/>
        <v>huila</v>
      </c>
      <c r="AQ63" t="b">
        <f t="shared" si="6"/>
        <v>0</v>
      </c>
      <c r="AR63" t="str">
        <f t="shared" si="7"/>
        <v>acevedo</v>
      </c>
      <c r="AS63" s="30">
        <f t="shared" si="8"/>
        <v>1</v>
      </c>
      <c r="AT63" s="30">
        <f t="shared" si="9"/>
        <v>2</v>
      </c>
      <c r="AU63" s="30">
        <f t="shared" si="10"/>
        <v>3</v>
      </c>
      <c r="AV63" s="30">
        <f t="shared" si="11"/>
        <v>3</v>
      </c>
      <c r="AZ63" s="31">
        <f t="shared" si="12"/>
        <v>3</v>
      </c>
      <c r="BA63" s="31">
        <f t="shared" si="13"/>
        <v>7</v>
      </c>
      <c r="BB63" s="32">
        <f>IFERROR(INDEX('Análisis general'!$E$4:$E$28,MATCH($B63,'Análisis general'!$B$4:$B$28,0)),"")</f>
        <v>9.6999999999999993</v>
      </c>
      <c r="BC63" s="31">
        <f t="shared" si="14"/>
        <v>3</v>
      </c>
      <c r="BD63" s="32">
        <f t="shared" si="15"/>
        <v>7.2857142857142856</v>
      </c>
      <c r="BE63" s="32">
        <f t="shared" si="16"/>
        <v>9</v>
      </c>
    </row>
    <row r="64" spans="1:57" ht="25.5" customHeight="1" x14ac:dyDescent="0.25">
      <c r="A64" s="33" t="s">
        <v>278</v>
      </c>
      <c r="B64" s="11" t="s">
        <v>48</v>
      </c>
      <c r="C64" s="34" t="s">
        <v>112</v>
      </c>
      <c r="D64" s="24">
        <f t="shared" si="0"/>
        <v>7</v>
      </c>
      <c r="E64" s="59">
        <f t="shared" si="1"/>
        <v>7.2857142857142856</v>
      </c>
      <c r="F64" s="59">
        <f t="shared" si="2"/>
        <v>9</v>
      </c>
      <c r="G64" s="11" t="s">
        <v>279</v>
      </c>
      <c r="H64" s="25" t="str">
        <f>IFERROR(IF($AQ64,INDEX(cpe!$C$2:$C$307,MATCH($AR64,cpe!$F$2:$F$307,0)),INDEX(cpe!$C$2:$C$307,MATCH($AR64,cpe!$D$2:$D$307,0))),"#N/D")</f>
        <v>Institucion Educativa Tulio Enrique Tascon Chambimbal</v>
      </c>
      <c r="I64" s="25" t="str">
        <f>IFERROR(IF($AQ64,INDEX(cpe!$B$2:$B$307,MATCH($AR64,cpe!$F$2:$F$307,0)),INDEX(cpe!$B$2:$B$307,MATCH($AR64,cpe!$D$2:$D$307,0))),"#N/D")</f>
        <v>Coello</v>
      </c>
      <c r="J64" s="26" t="str">
        <f>IF($AQ64,"#N/D",IFERROR(INDEX(Olimpiadas!$B$2:$B$61,MATCH($AO64,Olimpiadas!$C$2:$C$61,0)),"#N/D"))</f>
        <v>#N/D</v>
      </c>
      <c r="K64" s="26" t="str">
        <f>IF($AQ64,"#N/D",IFERROR(INDEX(Olimpiadas!$A$2:$A$61,MATCH($AO64,Olimpiadas!$C$2:$C$61,0)),"#N/D"))</f>
        <v>#N/D</v>
      </c>
      <c r="L64" s="26" t="str">
        <f>IF($AQ64,"#N/D",IFERROR(INDEX(Minculturas!$A$2:$A$48,MATCH($AO64,Minculturas!$C$2:$C$48,0)),"#N/D"))</f>
        <v>#N/D</v>
      </c>
      <c r="M64" s="26" t="str">
        <f>IF($AQ64,"#N/D",IFERROR(INDEX(Minculturas!$B$2:$B$48,MATCH($AO64,Minculturas!$C$2:$C$48,0)),"#N/D"))</f>
        <v>#N/D</v>
      </c>
      <c r="N64" s="27">
        <v>2</v>
      </c>
      <c r="O64" s="28">
        <v>0</v>
      </c>
      <c r="P64" s="28">
        <v>1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1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7">
        <f t="shared" si="3"/>
        <v>2</v>
      </c>
      <c r="AH64" s="28"/>
      <c r="AI64" s="28"/>
      <c r="AJ64" s="28">
        <v>35.799999999999997</v>
      </c>
      <c r="AK64" s="28"/>
      <c r="AL64" s="28"/>
      <c r="AM64" s="29" t="s">
        <v>114</v>
      </c>
      <c r="AO64" t="str">
        <f t="shared" si="4"/>
        <v>coello</v>
      </c>
      <c r="AP64" t="str">
        <f t="shared" si="5"/>
        <v>tolima</v>
      </c>
      <c r="AQ64" t="b">
        <f t="shared" si="6"/>
        <v>0</v>
      </c>
      <c r="AR64" t="str">
        <f t="shared" si="7"/>
        <v>coello</v>
      </c>
      <c r="AS64" s="30">
        <f t="shared" si="8"/>
        <v>1</v>
      </c>
      <c r="AT64" s="30">
        <f t="shared" si="9"/>
        <v>2</v>
      </c>
      <c r="AU64" s="30">
        <f t="shared" si="10"/>
        <v>3</v>
      </c>
      <c r="AV64" s="30">
        <f t="shared" si="11"/>
        <v>3</v>
      </c>
      <c r="AZ64" s="31">
        <f t="shared" si="12"/>
        <v>3</v>
      </c>
      <c r="BA64" s="31">
        <f t="shared" si="13"/>
        <v>7</v>
      </c>
      <c r="BB64" s="32">
        <f>IFERROR(INDEX('Análisis general'!$E$4:$E$28,MATCH($B64,'Análisis general'!$B$4:$B$28,0)),"")</f>
        <v>12.2</v>
      </c>
      <c r="BC64" s="31">
        <f t="shared" si="14"/>
        <v>3</v>
      </c>
      <c r="BD64" s="32">
        <f t="shared" si="15"/>
        <v>7.2857142857142856</v>
      </c>
      <c r="BE64" s="32">
        <f t="shared" si="16"/>
        <v>9</v>
      </c>
    </row>
    <row r="65" spans="1:57" ht="25.5" customHeight="1" x14ac:dyDescent="0.25">
      <c r="A65" s="33" t="s">
        <v>284</v>
      </c>
      <c r="B65" s="11" t="s">
        <v>48</v>
      </c>
      <c r="C65" s="34" t="s">
        <v>112</v>
      </c>
      <c r="D65" s="24">
        <f t="shared" si="0"/>
        <v>7</v>
      </c>
      <c r="E65" s="59">
        <f t="shared" si="1"/>
        <v>7.2857142857142856</v>
      </c>
      <c r="F65" s="59">
        <f t="shared" si="2"/>
        <v>9</v>
      </c>
      <c r="G65" s="11" t="s">
        <v>285</v>
      </c>
      <c r="H65" s="25" t="str">
        <f>IFERROR(IF($AQ65,INDEX(cpe!$C$2:$C$307,MATCH($AR65,cpe!$F$2:$F$307,0)),INDEX(cpe!$C$2:$C$307,MATCH($AR65,cpe!$D$2:$D$307,0))),"#N/D")</f>
        <v>IE. Tecnica Agropecuaria Nuestra Senora del Carmen de Espriella</v>
      </c>
      <c r="I65" s="25" t="str">
        <f>IFERROR(IF($AQ65,INDEX(cpe!$B$2:$B$307,MATCH($AR65,cpe!$F$2:$F$307,0)),INDEX(cpe!$B$2:$B$307,MATCH($AR65,cpe!$D$2:$D$307,0))),"#N/D")</f>
        <v>Ortega</v>
      </c>
      <c r="J65" s="26" t="str">
        <f>IF($AQ65,"#N/D",IFERROR(INDEX(Olimpiadas!$B$2:$B$61,MATCH($AO65,Olimpiadas!$C$2:$C$61,0)),"#N/D"))</f>
        <v>#N/D</v>
      </c>
      <c r="K65" s="26" t="str">
        <f>IF($AQ65,"#N/D",IFERROR(INDEX(Olimpiadas!$A$2:$A$61,MATCH($AO65,Olimpiadas!$C$2:$C$61,0)),"#N/D"))</f>
        <v>#N/D</v>
      </c>
      <c r="L65" s="26" t="str">
        <f>IF($AQ65,"#N/D",IFERROR(INDEX(Minculturas!$A$2:$A$48,MATCH($AO65,Minculturas!$C$2:$C$48,0)),"#N/D"))</f>
        <v>#N/D</v>
      </c>
      <c r="M65" s="26" t="str">
        <f>IF($AQ65,"#N/D",IFERROR(INDEX(Minculturas!$B$2:$B$48,MATCH($AO65,Minculturas!$C$2:$C$48,0)),"#N/D"))</f>
        <v>#N/D</v>
      </c>
      <c r="N65" s="27">
        <v>2</v>
      </c>
      <c r="O65" s="28">
        <v>0</v>
      </c>
      <c r="P65" s="28">
        <v>0</v>
      </c>
      <c r="Q65" s="28">
        <v>0</v>
      </c>
      <c r="R65" s="28">
        <v>1</v>
      </c>
      <c r="S65" s="28">
        <v>0</v>
      </c>
      <c r="T65" s="28">
        <v>0</v>
      </c>
      <c r="U65" s="28">
        <v>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7">
        <f t="shared" si="3"/>
        <v>2</v>
      </c>
      <c r="AH65" s="28"/>
      <c r="AI65" s="28"/>
      <c r="AJ65" s="28">
        <v>51.3</v>
      </c>
      <c r="AK65" s="28"/>
      <c r="AL65" s="28"/>
      <c r="AM65" s="29" t="s">
        <v>114</v>
      </c>
      <c r="AO65" t="str">
        <f t="shared" si="4"/>
        <v>ortega</v>
      </c>
      <c r="AP65" t="str">
        <f t="shared" si="5"/>
        <v>tolima</v>
      </c>
      <c r="AQ65" t="b">
        <f t="shared" si="6"/>
        <v>0</v>
      </c>
      <c r="AR65" t="str">
        <f t="shared" si="7"/>
        <v>ortega</v>
      </c>
      <c r="AS65" s="30">
        <f t="shared" si="8"/>
        <v>1</v>
      </c>
      <c r="AT65" s="30">
        <f t="shared" si="9"/>
        <v>2</v>
      </c>
      <c r="AU65" s="30">
        <f t="shared" si="10"/>
        <v>3</v>
      </c>
      <c r="AV65" s="30">
        <f t="shared" si="11"/>
        <v>3</v>
      </c>
      <c r="AZ65" s="31">
        <f t="shared" si="12"/>
        <v>3</v>
      </c>
      <c r="BA65" s="31">
        <f t="shared" si="13"/>
        <v>7</v>
      </c>
      <c r="BB65" s="32">
        <f>IFERROR(INDEX('Análisis general'!$E$4:$E$28,MATCH($B65,'Análisis general'!$B$4:$B$28,0)),"")</f>
        <v>12.2</v>
      </c>
      <c r="BC65" s="31">
        <f t="shared" si="14"/>
        <v>3</v>
      </c>
      <c r="BD65" s="32">
        <f t="shared" si="15"/>
        <v>7.2857142857142856</v>
      </c>
      <c r="BE65" s="32">
        <f t="shared" si="16"/>
        <v>9</v>
      </c>
    </row>
    <row r="66" spans="1:57" ht="25.5" customHeight="1" x14ac:dyDescent="0.25">
      <c r="A66" s="33" t="s">
        <v>294</v>
      </c>
      <c r="B66" s="11" t="s">
        <v>37</v>
      </c>
      <c r="C66" s="34" t="s">
        <v>112</v>
      </c>
      <c r="D66" s="24">
        <f t="shared" ref="D66:D129" si="17">AS66+AU66+AV66</f>
        <v>7</v>
      </c>
      <c r="E66" s="59">
        <f t="shared" ref="E66:E129" si="18">BD66</f>
        <v>7.2857142857142856</v>
      </c>
      <c r="F66" s="59">
        <f t="shared" ref="F66:F129" si="19">BE66</f>
        <v>9</v>
      </c>
      <c r="G66" s="11" t="s">
        <v>295</v>
      </c>
      <c r="H66" s="25" t="s">
        <v>296</v>
      </c>
      <c r="I66" s="25" t="s">
        <v>295</v>
      </c>
      <c r="J66" s="26" t="s">
        <v>106</v>
      </c>
      <c r="K66" s="26" t="str">
        <f>IF($AQ66,"#N/D",IFERROR(INDEX(Olimpiadas!$A$2:$A$61,MATCH($AO66,Olimpiadas!$C$2:$C$61,0)),"#N/D"))</f>
        <v>#N/D</v>
      </c>
      <c r="L66" s="26" t="str">
        <f>IF($AQ66,"#N/D",IFERROR(INDEX(Minculturas!$A$2:$A$48,MATCH($AO66,Minculturas!$C$2:$C$48,0)),"#N/D"))</f>
        <v>#N/D</v>
      </c>
      <c r="M66" s="26" t="str">
        <f>IF($AQ66,"#N/D",IFERROR(INDEX(Minculturas!$B$2:$B$48,MATCH($AO66,Minculturas!$C$2:$C$48,0)),"#N/D"))</f>
        <v>#N/D</v>
      </c>
      <c r="N66" s="27">
        <v>2</v>
      </c>
      <c r="O66" s="28">
        <v>0</v>
      </c>
      <c r="P66" s="28">
        <v>0</v>
      </c>
      <c r="Q66" s="28">
        <v>0</v>
      </c>
      <c r="R66" s="28">
        <v>0</v>
      </c>
      <c r="S66" s="28">
        <v>2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7">
        <f t="shared" ref="AG66:AG129" si="20">SUM(O66:X66)</f>
        <v>2</v>
      </c>
      <c r="AH66" s="28"/>
      <c r="AI66" s="28"/>
      <c r="AJ66" s="28">
        <v>27.4</v>
      </c>
      <c r="AK66" s="28"/>
      <c r="AL66" s="28"/>
      <c r="AM66" s="29" t="s">
        <v>114</v>
      </c>
      <c r="AO66" t="str">
        <f t="shared" ref="AO66:AO129" si="21">TRIM(SUBSTITUTE(SUBSTITUTE(SUBSTITUTE(SUBSTITUTE(SUBSTITUTE(SUBSTITUTE(SUBSTITUTE(SUBSTITUTE(SUBSTITUTE(LOWER(G66),"á","a"),"é","e"),"í","i"),"ó","o"),"ú","u"),"ñ","n"),"-"," "),","," "),"."," "))</f>
        <v>rivera</v>
      </c>
      <c r="AP66" t="str">
        <f t="shared" ref="AP66:AP129" si="22">TRIM(SUBSTITUTE(SUBSTITUTE(SUBSTITUTE(SUBSTITUTE(SUBSTITUTE(SUBSTITUTE(SUBSTITUTE(SUBSTITUTE(SUBSTITUTE(LOWER(B66),"á","a"),"é","e"),"í","i"),"ó","o"),"ú","u"),"ñ","n"),"-"," "),","," "),"."," "))</f>
        <v>huila</v>
      </c>
      <c r="AQ66" t="b">
        <f t="shared" ref="AQ66:AQ129" si="23">COUNTIF($AO$2:$AO$433,AO66)&gt;COUNTIFS($AO$2:$AO$433,AO66,$AP$2:$AP$433,AP66)</f>
        <v>0</v>
      </c>
      <c r="AR66" t="str">
        <f t="shared" ref="AR66:AR129" si="24">IF(AQ66,AO66&amp;"|"&amp;AP66,AO66)</f>
        <v>rivera</v>
      </c>
      <c r="AS66" s="30">
        <f t="shared" ref="AS66:AS129" si="25">(I66&lt;&gt;"#N/D")+(J66&lt;&gt;"#N/D")+(L66&lt;&gt;"#N/D")</f>
        <v>1</v>
      </c>
      <c r="AT66" s="30">
        <f t="shared" ref="AT66:AT129" si="26">SUM(O66:X66)</f>
        <v>2</v>
      </c>
      <c r="AU66" s="30">
        <f t="shared" ref="AU66:AU129" si="27">IF(AT66&lt;=$AY$2,0,IF(AT66&lt;=$AY$3,1,IF(AT66&lt;=$AY$4,2,3)))</f>
        <v>3</v>
      </c>
      <c r="AV66" s="30">
        <f t="shared" ref="AV66:AV129" si="28">IF(Y66&lt;=$AY$7,3,IF(Y66&lt;=$AY$8,2,IF(Y66&lt;=$AY$9,1,0)))</f>
        <v>3</v>
      </c>
      <c r="AZ66" s="31">
        <f t="shared" ref="AZ66:AZ129" si="29">IF(Y66=0,3,0)</f>
        <v>3</v>
      </c>
      <c r="BA66" s="31">
        <f t="shared" ref="BA66:BA129" si="30">AS66+AU66+AZ66</f>
        <v>7</v>
      </c>
      <c r="BB66" s="32">
        <f>IFERROR(INDEX('Análisis general'!$E$4:$E$28,MATCH($B66,'Análisis general'!$B$4:$B$28,0)),"")</f>
        <v>9.6999999999999993</v>
      </c>
      <c r="BC66" s="31">
        <f t="shared" ref="BC66:BC129" si="31">IF(BB66="","",IF(BB66&lt;=$BG$2,0,IF(BB66&lt;=$BG$3,1,IF(BB66&lt;=$BG$4,2,3))))</f>
        <v>3</v>
      </c>
      <c r="BD66" s="32">
        <f t="shared" ref="BD66:BD129" si="32">(AS66+AU66+AZ66+(BC66/2))*(9/10.5)</f>
        <v>7.2857142857142856</v>
      </c>
      <c r="BE66" s="32">
        <f t="shared" ref="BE66:BE129" si="33">(AU66+AZ66+(BC66/2))*(9/7.5)</f>
        <v>9</v>
      </c>
    </row>
    <row r="67" spans="1:57" ht="25.5" customHeight="1" x14ac:dyDescent="0.25">
      <c r="A67" s="33" t="s">
        <v>297</v>
      </c>
      <c r="B67" s="11" t="s">
        <v>37</v>
      </c>
      <c r="C67" s="34" t="s">
        <v>112</v>
      </c>
      <c r="D67" s="24">
        <f t="shared" si="17"/>
        <v>7</v>
      </c>
      <c r="E67" s="59">
        <f t="shared" si="18"/>
        <v>7.2857142857142856</v>
      </c>
      <c r="F67" s="59">
        <f t="shared" si="19"/>
        <v>9</v>
      </c>
      <c r="G67" s="11" t="s">
        <v>298</v>
      </c>
      <c r="H67" s="25" t="s">
        <v>299</v>
      </c>
      <c r="I67" s="25" t="s">
        <v>298</v>
      </c>
      <c r="J67" s="26" t="s">
        <v>106</v>
      </c>
      <c r="K67" s="26" t="str">
        <f>IF($AQ67,"#N/D",IFERROR(INDEX(Olimpiadas!$A$2:$A$61,MATCH($AO67,Olimpiadas!$C$2:$C$61,0)),"#N/D"))</f>
        <v>#N/D</v>
      </c>
      <c r="L67" s="26" t="str">
        <f>IF($AQ67,"#N/D",IFERROR(INDEX(Minculturas!$A$2:$A$48,MATCH($AO67,Minculturas!$C$2:$C$48,0)),"#N/D"))</f>
        <v>#N/D</v>
      </c>
      <c r="M67" s="26" t="str">
        <f>IF($AQ67,"#N/D",IFERROR(INDEX(Minculturas!$B$2:$B$48,MATCH($AO67,Minculturas!$C$2:$C$48,0)),"#N/D"))</f>
        <v>#N/D</v>
      </c>
      <c r="N67" s="27">
        <v>2</v>
      </c>
      <c r="O67" s="28">
        <v>0</v>
      </c>
      <c r="P67" s="28">
        <v>0</v>
      </c>
      <c r="Q67" s="28">
        <v>1</v>
      </c>
      <c r="R67" s="28">
        <v>0</v>
      </c>
      <c r="S67" s="28">
        <v>1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7">
        <f t="shared" si="20"/>
        <v>2</v>
      </c>
      <c r="AH67" s="28" t="s">
        <v>175</v>
      </c>
      <c r="AI67" s="28" t="s">
        <v>300</v>
      </c>
      <c r="AJ67" s="28">
        <v>51.5</v>
      </c>
      <c r="AK67" s="28"/>
      <c r="AL67" s="28"/>
      <c r="AM67" s="29" t="s">
        <v>114</v>
      </c>
      <c r="AO67" t="str">
        <f t="shared" si="21"/>
        <v>santa maria</v>
      </c>
      <c r="AP67" t="str">
        <f t="shared" si="22"/>
        <v>huila</v>
      </c>
      <c r="AQ67" t="b">
        <f t="shared" si="23"/>
        <v>0</v>
      </c>
      <c r="AR67" t="str">
        <f t="shared" si="24"/>
        <v>santa maria</v>
      </c>
      <c r="AS67" s="30">
        <f t="shared" si="25"/>
        <v>1</v>
      </c>
      <c r="AT67" s="30">
        <f t="shared" si="26"/>
        <v>2</v>
      </c>
      <c r="AU67" s="30">
        <f t="shared" si="27"/>
        <v>3</v>
      </c>
      <c r="AV67" s="30">
        <f t="shared" si="28"/>
        <v>3</v>
      </c>
      <c r="AZ67" s="31">
        <f t="shared" si="29"/>
        <v>3</v>
      </c>
      <c r="BA67" s="31">
        <f t="shared" si="30"/>
        <v>7</v>
      </c>
      <c r="BB67" s="32">
        <f>IFERROR(INDEX('Análisis general'!$E$4:$E$28,MATCH($B67,'Análisis general'!$B$4:$B$28,0)),"")</f>
        <v>9.6999999999999993</v>
      </c>
      <c r="BC67" s="31">
        <f t="shared" si="31"/>
        <v>3</v>
      </c>
      <c r="BD67" s="32">
        <f t="shared" si="32"/>
        <v>7.2857142857142856</v>
      </c>
      <c r="BE67" s="32">
        <f t="shared" si="33"/>
        <v>9</v>
      </c>
    </row>
    <row r="68" spans="1:57" ht="25.5" customHeight="1" x14ac:dyDescent="0.25">
      <c r="A68" s="33" t="s">
        <v>301</v>
      </c>
      <c r="B68" s="11" t="s">
        <v>37</v>
      </c>
      <c r="C68" s="34" t="s">
        <v>112</v>
      </c>
      <c r="D68" s="24">
        <f t="shared" si="17"/>
        <v>7</v>
      </c>
      <c r="E68" s="59">
        <f t="shared" si="18"/>
        <v>7.2857142857142856</v>
      </c>
      <c r="F68" s="59">
        <f t="shared" si="19"/>
        <v>9</v>
      </c>
      <c r="G68" s="11" t="s">
        <v>302</v>
      </c>
      <c r="H68" s="25" t="s">
        <v>106</v>
      </c>
      <c r="I68" s="25" t="s">
        <v>106</v>
      </c>
      <c r="J68" s="26" t="s">
        <v>302</v>
      </c>
      <c r="K68" s="26" t="str">
        <f>IF($AQ68,"#N/D",IFERROR(INDEX(Olimpiadas!$A$2:$A$61,MATCH($AO68,Olimpiadas!$C$2:$C$61,0)),"#N/D"))</f>
        <v>INSTITUCIÓN EDUCATIVA CASCAJAL</v>
      </c>
      <c r="L68" s="26" t="str">
        <f>IF($AQ68,"#N/D",IFERROR(INDEX(Minculturas!$A$2:$A$48,MATCH($AO68,Minculturas!$C$2:$C$48,0)),"#N/D"))</f>
        <v>#N/D</v>
      </c>
      <c r="M68" s="26" t="str">
        <f>IF($AQ68,"#N/D",IFERROR(INDEX(Minculturas!$B$2:$B$48,MATCH($AO68,Minculturas!$C$2:$C$48,0)),"#N/D"))</f>
        <v>#N/D</v>
      </c>
      <c r="N68" s="27">
        <v>2</v>
      </c>
      <c r="O68" s="28">
        <v>0</v>
      </c>
      <c r="P68" s="28">
        <v>0</v>
      </c>
      <c r="Q68" s="28">
        <v>0</v>
      </c>
      <c r="R68" s="28">
        <v>0</v>
      </c>
      <c r="S68" s="28">
        <v>1</v>
      </c>
      <c r="T68" s="28">
        <v>0</v>
      </c>
      <c r="U68" s="28">
        <v>0</v>
      </c>
      <c r="V68" s="28">
        <v>1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7">
        <f t="shared" si="20"/>
        <v>2</v>
      </c>
      <c r="AH68" s="28"/>
      <c r="AI68" s="28"/>
      <c r="AJ68" s="28">
        <v>40.799999999999997</v>
      </c>
      <c r="AK68" s="28"/>
      <c r="AL68" s="28"/>
      <c r="AM68" s="29" t="s">
        <v>114</v>
      </c>
      <c r="AO68" t="str">
        <f t="shared" si="21"/>
        <v>timana</v>
      </c>
      <c r="AP68" t="str">
        <f t="shared" si="22"/>
        <v>huila</v>
      </c>
      <c r="AQ68" t="b">
        <f t="shared" si="23"/>
        <v>0</v>
      </c>
      <c r="AR68" t="str">
        <f t="shared" si="24"/>
        <v>timana</v>
      </c>
      <c r="AS68" s="30">
        <f t="shared" si="25"/>
        <v>1</v>
      </c>
      <c r="AT68" s="30">
        <f t="shared" si="26"/>
        <v>2</v>
      </c>
      <c r="AU68" s="30">
        <f t="shared" si="27"/>
        <v>3</v>
      </c>
      <c r="AV68" s="30">
        <f t="shared" si="28"/>
        <v>3</v>
      </c>
      <c r="AZ68" s="31">
        <f t="shared" si="29"/>
        <v>3</v>
      </c>
      <c r="BA68" s="31">
        <f t="shared" si="30"/>
        <v>7</v>
      </c>
      <c r="BB68" s="32">
        <f>IFERROR(INDEX('Análisis general'!$E$4:$E$28,MATCH($B68,'Análisis general'!$B$4:$B$28,0)),"")</f>
        <v>9.6999999999999993</v>
      </c>
      <c r="BC68" s="31">
        <f t="shared" si="31"/>
        <v>3</v>
      </c>
      <c r="BD68" s="32">
        <f t="shared" si="32"/>
        <v>7.2857142857142856</v>
      </c>
      <c r="BE68" s="32">
        <f t="shared" si="33"/>
        <v>9</v>
      </c>
    </row>
    <row r="69" spans="1:57" ht="25.5" customHeight="1" x14ac:dyDescent="0.25">
      <c r="A69" s="33" t="s">
        <v>322</v>
      </c>
      <c r="B69" s="11" t="s">
        <v>49</v>
      </c>
      <c r="C69" s="34" t="s">
        <v>112</v>
      </c>
      <c r="D69" s="24">
        <f t="shared" si="17"/>
        <v>6</v>
      </c>
      <c r="E69" s="59">
        <f t="shared" si="18"/>
        <v>6.4285714285714279</v>
      </c>
      <c r="F69" s="59">
        <f t="shared" si="19"/>
        <v>9</v>
      </c>
      <c r="G69" s="11" t="s">
        <v>323</v>
      </c>
      <c r="H69" s="25" t="s">
        <v>106</v>
      </c>
      <c r="I69" s="25" t="s">
        <v>106</v>
      </c>
      <c r="J69" s="26" t="s">
        <v>106</v>
      </c>
      <c r="K69" s="26" t="str">
        <f>IF($AQ69,"#N/D",IFERROR(INDEX(Olimpiadas!$A$2:$A$61,MATCH($AO69,Olimpiadas!$C$2:$C$61,0)),"#N/D"))</f>
        <v>#N/D</v>
      </c>
      <c r="L69" s="26" t="str">
        <f>IF($AQ69,"#N/D",IFERROR(INDEX(Minculturas!$A$2:$A$48,MATCH($AO69,Minculturas!$C$2:$C$48,0)),"#N/D"))</f>
        <v>#N/D</v>
      </c>
      <c r="M69" s="26" t="str">
        <f>IF($AQ69,"#N/D",IFERROR(INDEX(Minculturas!$B$2:$B$48,MATCH($AO69,Minculturas!$C$2:$C$48,0)),"#N/D"))</f>
        <v>#N/D</v>
      </c>
      <c r="N69" s="27">
        <v>45</v>
      </c>
      <c r="O69" s="28">
        <v>0</v>
      </c>
      <c r="P69" s="28">
        <v>5</v>
      </c>
      <c r="Q69" s="28">
        <v>30</v>
      </c>
      <c r="R69" s="28">
        <v>1</v>
      </c>
      <c r="S69" s="28">
        <v>5</v>
      </c>
      <c r="T69" s="28">
        <v>1</v>
      </c>
      <c r="U69" s="28">
        <v>0</v>
      </c>
      <c r="V69" s="28">
        <v>2</v>
      </c>
      <c r="W69" s="28">
        <v>0</v>
      </c>
      <c r="X69" s="28">
        <v>1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7">
        <f t="shared" si="20"/>
        <v>45</v>
      </c>
      <c r="AH69" s="28" t="s">
        <v>324</v>
      </c>
      <c r="AI69" s="28" t="s">
        <v>325</v>
      </c>
      <c r="AJ69" s="28">
        <v>30.6</v>
      </c>
      <c r="AK69" s="28"/>
      <c r="AL69" s="28"/>
      <c r="AM69" s="29" t="s">
        <v>114</v>
      </c>
      <c r="AO69" t="str">
        <f t="shared" si="21"/>
        <v>versalles</v>
      </c>
      <c r="AP69" t="str">
        <f t="shared" si="22"/>
        <v>valle del cauca</v>
      </c>
      <c r="AQ69" t="b">
        <f t="shared" si="23"/>
        <v>0</v>
      </c>
      <c r="AR69" t="str">
        <f t="shared" si="24"/>
        <v>versalles</v>
      </c>
      <c r="AS69" s="30">
        <f t="shared" si="25"/>
        <v>0</v>
      </c>
      <c r="AT69" s="30">
        <f t="shared" si="26"/>
        <v>45</v>
      </c>
      <c r="AU69" s="30">
        <f t="shared" si="27"/>
        <v>3</v>
      </c>
      <c r="AV69" s="30">
        <f t="shared" si="28"/>
        <v>3</v>
      </c>
      <c r="AZ69" s="31">
        <f t="shared" si="29"/>
        <v>3</v>
      </c>
      <c r="BA69" s="31">
        <f t="shared" si="30"/>
        <v>6</v>
      </c>
      <c r="BB69" s="32">
        <f>IFERROR(INDEX('Análisis general'!$E$4:$E$28,MATCH($B69,'Análisis general'!$B$4:$B$28,0)),"")</f>
        <v>4.9000000000000004</v>
      </c>
      <c r="BC69" s="31">
        <f t="shared" si="31"/>
        <v>3</v>
      </c>
      <c r="BD69" s="32">
        <f t="shared" si="32"/>
        <v>6.4285714285714279</v>
      </c>
      <c r="BE69" s="32">
        <f t="shared" si="33"/>
        <v>9</v>
      </c>
    </row>
    <row r="70" spans="1:57" ht="25.5" customHeight="1" x14ac:dyDescent="0.25">
      <c r="A70" s="33" t="s">
        <v>320</v>
      </c>
      <c r="B70" s="11" t="s">
        <v>49</v>
      </c>
      <c r="C70" s="34" t="s">
        <v>112</v>
      </c>
      <c r="D70" s="24">
        <f t="shared" si="17"/>
        <v>6</v>
      </c>
      <c r="E70" s="59">
        <f t="shared" si="18"/>
        <v>6.4285714285714279</v>
      </c>
      <c r="F70" s="59">
        <f t="shared" si="19"/>
        <v>9</v>
      </c>
      <c r="G70" s="11" t="s">
        <v>321</v>
      </c>
      <c r="H70" s="25" t="str">
        <f>IFERROR(IF($AQ70,INDEX(cpe!$C$2:$C$307,MATCH($AR70,cpe!$F$2:$F$307,0)),INDEX(cpe!$C$2:$C$307,MATCH($AR70,cpe!$D$2:$D$307,0))),"#N/D")</f>
        <v>#N/D</v>
      </c>
      <c r="I70" s="25" t="str">
        <f>IFERROR(IF($AQ70,INDEX(cpe!$B$2:$B$307,MATCH($AR70,cpe!$F$2:$F$307,0)),INDEX(cpe!$B$2:$B$307,MATCH($AR70,cpe!$D$2:$D$307,0))),"#N/D")</f>
        <v>#N/D</v>
      </c>
      <c r="J70" s="26" t="str">
        <f>IF($AQ70,"#N/D",IFERROR(INDEX(Olimpiadas!$B$2:$B$61,MATCH($AO70,Olimpiadas!$C$2:$C$61,0)),"#N/D"))</f>
        <v>#N/D</v>
      </c>
      <c r="K70" s="26" t="str">
        <f>IF($AQ70,"#N/D",IFERROR(INDEX(Olimpiadas!$A$2:$A$61,MATCH($AO70,Olimpiadas!$C$2:$C$61,0)),"#N/D"))</f>
        <v>#N/D</v>
      </c>
      <c r="L70" s="26" t="str">
        <f>IF($AQ70,"#N/D",IFERROR(INDEX(Minculturas!$A$2:$A$48,MATCH($AO70,Minculturas!$C$2:$C$48,0)),"#N/D"))</f>
        <v>#N/D</v>
      </c>
      <c r="M70" s="26" t="str">
        <f>IF($AQ70,"#N/D",IFERROR(INDEX(Minculturas!$B$2:$B$48,MATCH($AO70,Minculturas!$C$2:$C$48,0)),"#N/D"))</f>
        <v>#N/D</v>
      </c>
      <c r="N70" s="27">
        <v>12</v>
      </c>
      <c r="O70" s="28">
        <v>0</v>
      </c>
      <c r="P70" s="28">
        <v>1</v>
      </c>
      <c r="Q70" s="28">
        <v>1</v>
      </c>
      <c r="R70" s="28">
        <v>1</v>
      </c>
      <c r="S70" s="28">
        <v>1</v>
      </c>
      <c r="T70" s="28">
        <v>1</v>
      </c>
      <c r="U70" s="28">
        <v>0</v>
      </c>
      <c r="V70" s="28">
        <v>4</v>
      </c>
      <c r="W70" s="28">
        <v>3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7">
        <f t="shared" si="20"/>
        <v>12</v>
      </c>
      <c r="AH70" s="28"/>
      <c r="AI70" s="28"/>
      <c r="AJ70" s="28">
        <v>28.4</v>
      </c>
      <c r="AK70" s="28"/>
      <c r="AL70" s="28"/>
      <c r="AM70" s="29" t="s">
        <v>114</v>
      </c>
      <c r="AO70" t="str">
        <f t="shared" si="21"/>
        <v>dagua</v>
      </c>
      <c r="AP70" t="str">
        <f t="shared" si="22"/>
        <v>valle del cauca</v>
      </c>
      <c r="AQ70" t="b">
        <f t="shared" si="23"/>
        <v>0</v>
      </c>
      <c r="AR70" t="str">
        <f t="shared" si="24"/>
        <v>dagua</v>
      </c>
      <c r="AS70" s="30">
        <f t="shared" si="25"/>
        <v>0</v>
      </c>
      <c r="AT70" s="30">
        <f t="shared" si="26"/>
        <v>12</v>
      </c>
      <c r="AU70" s="30">
        <f t="shared" si="27"/>
        <v>3</v>
      </c>
      <c r="AV70" s="30">
        <f t="shared" si="28"/>
        <v>3</v>
      </c>
      <c r="AZ70" s="31">
        <f t="shared" si="29"/>
        <v>3</v>
      </c>
      <c r="BA70" s="31">
        <f t="shared" si="30"/>
        <v>6</v>
      </c>
      <c r="BB70" s="32">
        <f>IFERROR(INDEX('Análisis general'!$E$4:$E$28,MATCH($B70,'Análisis general'!$B$4:$B$28,0)),"")</f>
        <v>4.9000000000000004</v>
      </c>
      <c r="BC70" s="31">
        <f t="shared" si="31"/>
        <v>3</v>
      </c>
      <c r="BD70" s="32">
        <f t="shared" si="32"/>
        <v>6.4285714285714279</v>
      </c>
      <c r="BE70" s="32">
        <f t="shared" si="33"/>
        <v>9</v>
      </c>
    </row>
    <row r="71" spans="1:57" ht="25.5" customHeight="1" x14ac:dyDescent="0.25">
      <c r="A71" s="33" t="s">
        <v>303</v>
      </c>
      <c r="B71" s="11" t="s">
        <v>49</v>
      </c>
      <c r="C71" s="63" t="s">
        <v>1217</v>
      </c>
      <c r="D71" s="24">
        <f t="shared" si="17"/>
        <v>6</v>
      </c>
      <c r="E71" s="59">
        <f t="shared" si="18"/>
        <v>6.4285714285714279</v>
      </c>
      <c r="F71" s="59">
        <f t="shared" si="19"/>
        <v>9</v>
      </c>
      <c r="G71" s="11" t="s">
        <v>304</v>
      </c>
      <c r="H71" s="25" t="s">
        <v>106</v>
      </c>
      <c r="I71" s="25" t="s">
        <v>106</v>
      </c>
      <c r="J71" s="26" t="s">
        <v>106</v>
      </c>
      <c r="K71" s="26" t="str">
        <f>IF($AQ71,"#N/D",IFERROR(INDEX(Olimpiadas!$A$2:$A$61,MATCH($AO71,Olimpiadas!$C$2:$C$61,0)),"#N/D"))</f>
        <v>#N/D</v>
      </c>
      <c r="L71" s="26" t="str">
        <f>IF($AQ71,"#N/D",IFERROR(INDEX(Minculturas!$A$2:$A$48,MATCH($AO71,Minculturas!$C$2:$C$48,0)),"#N/D"))</f>
        <v>#N/D</v>
      </c>
      <c r="M71" s="26" t="str">
        <f>IF($AQ71,"#N/D",IFERROR(INDEX(Minculturas!$B$2:$B$48,MATCH($AO71,Minculturas!$C$2:$C$48,0)),"#N/D"))</f>
        <v>#N/D</v>
      </c>
      <c r="N71" s="27">
        <v>11</v>
      </c>
      <c r="O71" s="28">
        <v>0</v>
      </c>
      <c r="P71" s="28">
        <v>2</v>
      </c>
      <c r="Q71" s="28">
        <v>4</v>
      </c>
      <c r="R71" s="28">
        <v>1</v>
      </c>
      <c r="S71" s="28">
        <v>0</v>
      </c>
      <c r="T71" s="28">
        <v>0</v>
      </c>
      <c r="U71" s="28">
        <v>1</v>
      </c>
      <c r="V71" s="28">
        <v>0</v>
      </c>
      <c r="W71" s="28">
        <v>0</v>
      </c>
      <c r="X71" s="28">
        <v>0</v>
      </c>
      <c r="Y71" s="28">
        <v>0</v>
      </c>
      <c r="Z71" s="28">
        <v>1</v>
      </c>
      <c r="AA71" s="28">
        <v>0</v>
      </c>
      <c r="AB71" s="28">
        <v>1</v>
      </c>
      <c r="AC71" s="28">
        <v>1</v>
      </c>
      <c r="AD71" s="28">
        <v>0</v>
      </c>
      <c r="AE71" s="28">
        <v>0</v>
      </c>
      <c r="AF71" s="28">
        <v>0</v>
      </c>
      <c r="AG71" s="27">
        <f t="shared" si="20"/>
        <v>8</v>
      </c>
      <c r="AH71" s="28" t="s">
        <v>305</v>
      </c>
      <c r="AI71" s="28" t="s">
        <v>306</v>
      </c>
      <c r="AJ71" s="28">
        <v>17.2</v>
      </c>
      <c r="AK71" s="28"/>
      <c r="AL71" s="28"/>
      <c r="AM71" s="29" t="s">
        <v>307</v>
      </c>
      <c r="AO71" t="str">
        <f t="shared" si="21"/>
        <v>zarzal</v>
      </c>
      <c r="AP71" t="str">
        <f t="shared" si="22"/>
        <v>valle del cauca</v>
      </c>
      <c r="AQ71" t="b">
        <f t="shared" si="23"/>
        <v>0</v>
      </c>
      <c r="AR71" t="str">
        <f t="shared" si="24"/>
        <v>zarzal</v>
      </c>
      <c r="AS71" s="30">
        <f t="shared" si="25"/>
        <v>0</v>
      </c>
      <c r="AT71" s="30">
        <f t="shared" si="26"/>
        <v>8</v>
      </c>
      <c r="AU71" s="30">
        <f t="shared" si="27"/>
        <v>3</v>
      </c>
      <c r="AV71" s="30">
        <f t="shared" si="28"/>
        <v>3</v>
      </c>
      <c r="AZ71" s="31">
        <f t="shared" si="29"/>
        <v>3</v>
      </c>
      <c r="BA71" s="31">
        <f t="shared" si="30"/>
        <v>6</v>
      </c>
      <c r="BB71" s="32">
        <f>IFERROR(INDEX('Análisis general'!$E$4:$E$28,MATCH($B71,'Análisis general'!$B$4:$B$28,0)),"")</f>
        <v>4.9000000000000004</v>
      </c>
      <c r="BC71" s="31">
        <f t="shared" si="31"/>
        <v>3</v>
      </c>
      <c r="BD71" s="32">
        <f t="shared" si="32"/>
        <v>6.4285714285714279</v>
      </c>
      <c r="BE71" s="32">
        <f t="shared" si="33"/>
        <v>9</v>
      </c>
    </row>
    <row r="72" spans="1:57" ht="25.5" customHeight="1" x14ac:dyDescent="0.25">
      <c r="A72" s="33" t="s">
        <v>308</v>
      </c>
      <c r="B72" s="11" t="s">
        <v>35</v>
      </c>
      <c r="C72" s="64" t="s">
        <v>1215</v>
      </c>
      <c r="D72" s="24">
        <f t="shared" si="17"/>
        <v>6</v>
      </c>
      <c r="E72" s="59">
        <f t="shared" si="18"/>
        <v>6.4285714285714279</v>
      </c>
      <c r="F72" s="59">
        <f t="shared" si="19"/>
        <v>9</v>
      </c>
      <c r="G72" s="11" t="s">
        <v>310</v>
      </c>
      <c r="H72" s="25" t="str">
        <f>IFERROR(IF($AQ72,INDEX(cpe!$C$2:$C$307,MATCH($AR72,cpe!$F$2:$F$307,0)),INDEX(cpe!$C$2:$C$307,MATCH($AR72,cpe!$D$2:$D$307,0))),"#N/D")</f>
        <v>#N/D</v>
      </c>
      <c r="I72" s="25" t="str">
        <f>IFERROR(IF($AQ72,INDEX(cpe!$B$2:$B$307,MATCH($AR72,cpe!$F$2:$F$307,0)),INDEX(cpe!$B$2:$B$307,MATCH($AR72,cpe!$D$2:$D$307,0))),"#N/D")</f>
        <v>#N/D</v>
      </c>
      <c r="J72" s="26" t="str">
        <f>IF($AQ72,"#N/D",IFERROR(INDEX(Olimpiadas!$B$2:$B$61,MATCH($AO72,Olimpiadas!$C$2:$C$61,0)),"#N/D"))</f>
        <v>#N/D</v>
      </c>
      <c r="K72" s="26" t="str">
        <f>IF($AQ72,"#N/D",IFERROR(INDEX(Olimpiadas!$A$2:$A$61,MATCH($AO72,Olimpiadas!$C$2:$C$61,0)),"#N/D"))</f>
        <v>#N/D</v>
      </c>
      <c r="L72" s="26" t="str">
        <f>IF($AQ72,"#N/D",IFERROR(INDEX(Minculturas!$A$2:$A$48,MATCH($AO72,Minculturas!$C$2:$C$48,0)),"#N/D"))</f>
        <v>#N/D</v>
      </c>
      <c r="M72" s="26" t="str">
        <f>IF($AQ72,"#N/D",IFERROR(INDEX(Minculturas!$B$2:$B$48,MATCH($AO72,Minculturas!$C$2:$C$48,0)),"#N/D"))</f>
        <v>#N/D</v>
      </c>
      <c r="N72" s="27">
        <v>6</v>
      </c>
      <c r="O72" s="28">
        <v>0</v>
      </c>
      <c r="P72" s="28">
        <v>4</v>
      </c>
      <c r="Q72" s="28">
        <v>0</v>
      </c>
      <c r="R72" s="28">
        <v>0</v>
      </c>
      <c r="S72" s="28">
        <v>0</v>
      </c>
      <c r="T72" s="28">
        <v>0</v>
      </c>
      <c r="U72" s="28">
        <v>2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7">
        <f t="shared" si="20"/>
        <v>6</v>
      </c>
      <c r="AH72" s="28"/>
      <c r="AI72" s="28"/>
      <c r="AJ72" s="28">
        <v>7.8</v>
      </c>
      <c r="AK72" s="28"/>
      <c r="AL72" s="28"/>
      <c r="AM72" s="29" t="s">
        <v>311</v>
      </c>
      <c r="AO72" t="str">
        <f t="shared" si="21"/>
        <v>funza</v>
      </c>
      <c r="AP72" t="str">
        <f t="shared" si="22"/>
        <v>cundinamarca</v>
      </c>
      <c r="AQ72" t="b">
        <f t="shared" si="23"/>
        <v>0</v>
      </c>
      <c r="AR72" t="str">
        <f t="shared" si="24"/>
        <v>funza</v>
      </c>
      <c r="AS72" s="30">
        <f t="shared" si="25"/>
        <v>0</v>
      </c>
      <c r="AT72" s="30">
        <f t="shared" si="26"/>
        <v>6</v>
      </c>
      <c r="AU72" s="30">
        <f t="shared" si="27"/>
        <v>3</v>
      </c>
      <c r="AV72" s="30">
        <f t="shared" si="28"/>
        <v>3</v>
      </c>
      <c r="AZ72" s="31">
        <f t="shared" si="29"/>
        <v>3</v>
      </c>
      <c r="BA72" s="31">
        <f t="shared" si="30"/>
        <v>6</v>
      </c>
      <c r="BB72" s="32">
        <f>IFERROR(INDEX('Análisis general'!$E$4:$E$28,MATCH($B72,'Análisis general'!$B$4:$B$28,0)),"")</f>
        <v>4.0999999999999996</v>
      </c>
      <c r="BC72" s="31">
        <f t="shared" si="31"/>
        <v>3</v>
      </c>
      <c r="BD72" s="32">
        <f t="shared" si="32"/>
        <v>6.4285714285714279</v>
      </c>
      <c r="BE72" s="32">
        <f t="shared" si="33"/>
        <v>9</v>
      </c>
    </row>
    <row r="73" spans="1:57" ht="25.5" customHeight="1" x14ac:dyDescent="0.25">
      <c r="A73" s="33" t="s">
        <v>312</v>
      </c>
      <c r="B73" s="11" t="s">
        <v>49</v>
      </c>
      <c r="C73" s="34" t="s">
        <v>112</v>
      </c>
      <c r="D73" s="24">
        <f t="shared" si="17"/>
        <v>6</v>
      </c>
      <c r="E73" s="59">
        <f t="shared" si="18"/>
        <v>6.4285714285714279</v>
      </c>
      <c r="F73" s="59">
        <f t="shared" si="19"/>
        <v>9</v>
      </c>
      <c r="G73" s="11" t="s">
        <v>313</v>
      </c>
      <c r="H73" s="25" t="str">
        <f>IFERROR(IF($AQ73,INDEX(cpe!$C$2:$C$307,MATCH($AR73,cpe!$F$2:$F$307,0)),INDEX(cpe!$C$2:$C$307,MATCH($AR73,cpe!$D$2:$D$307,0))),"#N/D")</f>
        <v>#N/D</v>
      </c>
      <c r="I73" s="25" t="str">
        <f>IFERROR(IF($AQ73,INDEX(cpe!$B$2:$B$307,MATCH($AR73,cpe!$F$2:$F$307,0)),INDEX(cpe!$B$2:$B$307,MATCH($AR73,cpe!$D$2:$D$307,0))),"#N/D")</f>
        <v>#N/D</v>
      </c>
      <c r="J73" s="26" t="str">
        <f>IF($AQ73,"#N/D",IFERROR(INDEX(Olimpiadas!$B$2:$B$61,MATCH($AO73,Olimpiadas!$C$2:$C$61,0)),"#N/D"))</f>
        <v>#N/D</v>
      </c>
      <c r="K73" s="26" t="str">
        <f>IF($AQ73,"#N/D",IFERROR(INDEX(Olimpiadas!$A$2:$A$61,MATCH($AO73,Olimpiadas!$C$2:$C$61,0)),"#N/D"))</f>
        <v>#N/D</v>
      </c>
      <c r="L73" s="26" t="str">
        <f>IF($AQ73,"#N/D",IFERROR(INDEX(Minculturas!$A$2:$A$48,MATCH($AO73,Minculturas!$C$2:$C$48,0)),"#N/D"))</f>
        <v>#N/D</v>
      </c>
      <c r="M73" s="26" t="str">
        <f>IF($AQ73,"#N/D",IFERROR(INDEX(Minculturas!$B$2:$B$48,MATCH($AO73,Minculturas!$C$2:$C$48,0)),"#N/D"))</f>
        <v>#N/D</v>
      </c>
      <c r="N73" s="27">
        <v>6</v>
      </c>
      <c r="O73" s="28">
        <v>0</v>
      </c>
      <c r="P73" s="28">
        <v>1</v>
      </c>
      <c r="Q73" s="28">
        <v>0</v>
      </c>
      <c r="R73" s="28">
        <v>1</v>
      </c>
      <c r="S73" s="28">
        <v>0</v>
      </c>
      <c r="T73" s="28">
        <v>1</v>
      </c>
      <c r="U73" s="28">
        <v>1</v>
      </c>
      <c r="V73" s="28">
        <v>1</v>
      </c>
      <c r="W73" s="28">
        <v>0</v>
      </c>
      <c r="X73" s="28">
        <v>1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7">
        <f t="shared" si="20"/>
        <v>6</v>
      </c>
      <c r="AH73" s="28" t="s">
        <v>314</v>
      </c>
      <c r="AI73" s="28" t="s">
        <v>315</v>
      </c>
      <c r="AJ73" s="28">
        <v>31.9</v>
      </c>
      <c r="AK73" s="28"/>
      <c r="AL73" s="28"/>
      <c r="AM73" s="29" t="s">
        <v>114</v>
      </c>
      <c r="AO73" t="str">
        <f t="shared" si="21"/>
        <v>alcala</v>
      </c>
      <c r="AP73" t="str">
        <f t="shared" si="22"/>
        <v>valle del cauca</v>
      </c>
      <c r="AQ73" t="b">
        <f t="shared" si="23"/>
        <v>0</v>
      </c>
      <c r="AR73" t="str">
        <f t="shared" si="24"/>
        <v>alcala</v>
      </c>
      <c r="AS73" s="30">
        <f t="shared" si="25"/>
        <v>0</v>
      </c>
      <c r="AT73" s="30">
        <f t="shared" si="26"/>
        <v>6</v>
      </c>
      <c r="AU73" s="30">
        <f t="shared" si="27"/>
        <v>3</v>
      </c>
      <c r="AV73" s="30">
        <f t="shared" si="28"/>
        <v>3</v>
      </c>
      <c r="AZ73" s="31">
        <f t="shared" si="29"/>
        <v>3</v>
      </c>
      <c r="BA73" s="31">
        <f t="shared" si="30"/>
        <v>6</v>
      </c>
      <c r="BB73" s="32">
        <f>IFERROR(INDEX('Análisis general'!$E$4:$E$28,MATCH($B73,'Análisis general'!$B$4:$B$28,0)),"")</f>
        <v>4.9000000000000004</v>
      </c>
      <c r="BC73" s="31">
        <f t="shared" si="31"/>
        <v>3</v>
      </c>
      <c r="BD73" s="32">
        <f t="shared" si="32"/>
        <v>6.4285714285714279</v>
      </c>
      <c r="BE73" s="32">
        <f t="shared" si="33"/>
        <v>9</v>
      </c>
    </row>
    <row r="74" spans="1:57" ht="25.5" customHeight="1" x14ac:dyDescent="0.25">
      <c r="A74" s="33" t="s">
        <v>316</v>
      </c>
      <c r="B74" s="11" t="s">
        <v>49</v>
      </c>
      <c r="C74" s="34" t="s">
        <v>112</v>
      </c>
      <c r="D74" s="24">
        <f t="shared" si="17"/>
        <v>6</v>
      </c>
      <c r="E74" s="59">
        <f t="shared" si="18"/>
        <v>6.4285714285714279</v>
      </c>
      <c r="F74" s="59">
        <f t="shared" si="19"/>
        <v>9</v>
      </c>
      <c r="G74" s="11" t="s">
        <v>317</v>
      </c>
      <c r="H74" s="25" t="str">
        <f>IFERROR(IF($AQ74,INDEX(cpe!$C$2:$C$307,MATCH($AR74,cpe!$F$2:$F$307,0)),INDEX(cpe!$C$2:$C$307,MATCH($AR74,cpe!$D$2:$D$307,0))),"#N/D")</f>
        <v>#N/D</v>
      </c>
      <c r="I74" s="25" t="str">
        <f>IFERROR(IF($AQ74,INDEX(cpe!$B$2:$B$307,MATCH($AR74,cpe!$F$2:$F$307,0)),INDEX(cpe!$B$2:$B$307,MATCH($AR74,cpe!$D$2:$D$307,0))),"#N/D")</f>
        <v>#N/D</v>
      </c>
      <c r="J74" s="26" t="str">
        <f>IF($AQ74,"#N/D",IFERROR(INDEX(Olimpiadas!$B$2:$B$61,MATCH($AO74,Olimpiadas!$C$2:$C$61,0)),"#N/D"))</f>
        <v>#N/D</v>
      </c>
      <c r="K74" s="26" t="str">
        <f>IF($AQ74,"#N/D",IFERROR(INDEX(Olimpiadas!$A$2:$A$61,MATCH($AO74,Olimpiadas!$C$2:$C$61,0)),"#N/D"))</f>
        <v>#N/D</v>
      </c>
      <c r="L74" s="26" t="str">
        <f>IF($AQ74,"#N/D",IFERROR(INDEX(Minculturas!$A$2:$A$48,MATCH($AO74,Minculturas!$C$2:$C$48,0)),"#N/D"))</f>
        <v>#N/D</v>
      </c>
      <c r="M74" s="26" t="str">
        <f>IF($AQ74,"#N/D",IFERROR(INDEX(Minculturas!$B$2:$B$48,MATCH($AO74,Minculturas!$C$2:$C$48,0)),"#N/D"))</f>
        <v>#N/D</v>
      </c>
      <c r="N74" s="27">
        <v>5</v>
      </c>
      <c r="O74" s="28">
        <v>0</v>
      </c>
      <c r="P74" s="28">
        <v>2</v>
      </c>
      <c r="Q74" s="28">
        <v>0</v>
      </c>
      <c r="R74" s="28">
        <v>1</v>
      </c>
      <c r="S74" s="28">
        <v>1</v>
      </c>
      <c r="T74" s="28">
        <v>1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7">
        <f t="shared" si="20"/>
        <v>5</v>
      </c>
      <c r="AH74" s="28" t="s">
        <v>318</v>
      </c>
      <c r="AI74" s="28" t="s">
        <v>319</v>
      </c>
      <c r="AJ74" s="28">
        <v>15.3</v>
      </c>
      <c r="AK74" s="28"/>
      <c r="AL74" s="28"/>
      <c r="AM74" s="29" t="s">
        <v>114</v>
      </c>
      <c r="AO74" t="str">
        <f t="shared" si="21"/>
        <v>andalucia</v>
      </c>
      <c r="AP74" t="str">
        <f t="shared" si="22"/>
        <v>valle del cauca</v>
      </c>
      <c r="AQ74" t="b">
        <f t="shared" si="23"/>
        <v>0</v>
      </c>
      <c r="AR74" t="str">
        <f t="shared" si="24"/>
        <v>andalucia</v>
      </c>
      <c r="AS74" s="30">
        <f t="shared" si="25"/>
        <v>0</v>
      </c>
      <c r="AT74" s="30">
        <f t="shared" si="26"/>
        <v>5</v>
      </c>
      <c r="AU74" s="30">
        <f t="shared" si="27"/>
        <v>3</v>
      </c>
      <c r="AV74" s="30">
        <f t="shared" si="28"/>
        <v>3</v>
      </c>
      <c r="AZ74" s="31">
        <f t="shared" si="29"/>
        <v>3</v>
      </c>
      <c r="BA74" s="31">
        <f t="shared" si="30"/>
        <v>6</v>
      </c>
      <c r="BB74" s="32">
        <f>IFERROR(INDEX('Análisis general'!$E$4:$E$28,MATCH($B74,'Análisis general'!$B$4:$B$28,0)),"")</f>
        <v>4.9000000000000004</v>
      </c>
      <c r="BC74" s="31">
        <f t="shared" si="31"/>
        <v>3</v>
      </c>
      <c r="BD74" s="32">
        <f t="shared" si="32"/>
        <v>6.4285714285714279</v>
      </c>
      <c r="BE74" s="32">
        <f t="shared" si="33"/>
        <v>9</v>
      </c>
    </row>
    <row r="75" spans="1:57" ht="25.5" customHeight="1" x14ac:dyDescent="0.25">
      <c r="A75" s="33" t="s">
        <v>326</v>
      </c>
      <c r="B75" s="11" t="s">
        <v>49</v>
      </c>
      <c r="C75" s="34" t="s">
        <v>112</v>
      </c>
      <c r="D75" s="24">
        <f t="shared" si="17"/>
        <v>6</v>
      </c>
      <c r="E75" s="59">
        <f t="shared" si="18"/>
        <v>6.4285714285714279</v>
      </c>
      <c r="F75" s="59">
        <f t="shared" si="19"/>
        <v>9</v>
      </c>
      <c r="G75" s="11" t="s">
        <v>327</v>
      </c>
      <c r="H75" s="25" t="s">
        <v>106</v>
      </c>
      <c r="I75" s="25" t="s">
        <v>106</v>
      </c>
      <c r="J75" s="26" t="s">
        <v>106</v>
      </c>
      <c r="K75" s="26" t="str">
        <f>IF($AQ75,"#N/D",IFERROR(INDEX(Olimpiadas!$A$2:$A$61,MATCH($AO75,Olimpiadas!$C$2:$C$61,0)),"#N/D"))</f>
        <v>#N/D</v>
      </c>
      <c r="L75" s="26" t="str">
        <f>IF($AQ75,"#N/D",IFERROR(INDEX(Minculturas!$A$2:$A$48,MATCH($AO75,Minculturas!$C$2:$C$48,0)),"#N/D"))</f>
        <v>#N/D</v>
      </c>
      <c r="M75" s="26" t="str">
        <f>IF($AQ75,"#N/D",IFERROR(INDEX(Minculturas!$B$2:$B$48,MATCH($AO75,Minculturas!$C$2:$C$48,0)),"#N/D"))</f>
        <v>#N/D</v>
      </c>
      <c r="N75" s="27">
        <v>5</v>
      </c>
      <c r="O75" s="28">
        <v>0</v>
      </c>
      <c r="P75" s="35">
        <v>1</v>
      </c>
      <c r="Q75" s="35">
        <v>2</v>
      </c>
      <c r="R75" s="35">
        <v>0</v>
      </c>
      <c r="S75" s="35">
        <v>0</v>
      </c>
      <c r="T75" s="35">
        <v>0</v>
      </c>
      <c r="U75" s="35">
        <v>1</v>
      </c>
      <c r="V75" s="35">
        <v>0</v>
      </c>
      <c r="W75" s="35">
        <v>0</v>
      </c>
      <c r="X75" s="35">
        <v>1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27">
        <f t="shared" si="20"/>
        <v>5</v>
      </c>
      <c r="AH75" s="37" t="s">
        <v>328</v>
      </c>
      <c r="AI75" s="37" t="s">
        <v>329</v>
      </c>
      <c r="AJ75" s="28">
        <v>20.8</v>
      </c>
      <c r="AK75" s="28"/>
      <c r="AL75" s="28"/>
      <c r="AM75" s="29" t="s">
        <v>246</v>
      </c>
      <c r="AO75" t="str">
        <f t="shared" si="21"/>
        <v>yotoco</v>
      </c>
      <c r="AP75" t="str">
        <f t="shared" si="22"/>
        <v>valle del cauca</v>
      </c>
      <c r="AQ75" t="b">
        <f t="shared" si="23"/>
        <v>0</v>
      </c>
      <c r="AR75" t="str">
        <f t="shared" si="24"/>
        <v>yotoco</v>
      </c>
      <c r="AS75" s="30">
        <f t="shared" si="25"/>
        <v>0</v>
      </c>
      <c r="AT75" s="30">
        <f t="shared" si="26"/>
        <v>5</v>
      </c>
      <c r="AU75" s="30">
        <f t="shared" si="27"/>
        <v>3</v>
      </c>
      <c r="AV75" s="30">
        <f t="shared" si="28"/>
        <v>3</v>
      </c>
      <c r="AZ75" s="31">
        <f t="shared" si="29"/>
        <v>3</v>
      </c>
      <c r="BA75" s="31">
        <f t="shared" si="30"/>
        <v>6</v>
      </c>
      <c r="BB75" s="32">
        <f>IFERROR(INDEX('Análisis general'!$E$4:$E$28,MATCH($B75,'Análisis general'!$B$4:$B$28,0)),"")</f>
        <v>4.9000000000000004</v>
      </c>
      <c r="BC75" s="31">
        <f t="shared" si="31"/>
        <v>3</v>
      </c>
      <c r="BD75" s="32">
        <f t="shared" si="32"/>
        <v>6.4285714285714279</v>
      </c>
      <c r="BE75" s="32">
        <f t="shared" si="33"/>
        <v>9</v>
      </c>
    </row>
    <row r="76" spans="1:57" ht="25.5" customHeight="1" x14ac:dyDescent="0.25">
      <c r="A76" s="33" t="s">
        <v>336</v>
      </c>
      <c r="B76" s="11" t="s">
        <v>37</v>
      </c>
      <c r="C76" s="34" t="s">
        <v>112</v>
      </c>
      <c r="D76" s="24">
        <f t="shared" si="17"/>
        <v>6</v>
      </c>
      <c r="E76" s="59">
        <f t="shared" si="18"/>
        <v>6.4285714285714279</v>
      </c>
      <c r="F76" s="59">
        <f t="shared" si="19"/>
        <v>9</v>
      </c>
      <c r="G76" s="11" t="s">
        <v>337</v>
      </c>
      <c r="H76" s="25" t="str">
        <f>IFERROR(IF($AQ76,INDEX(cpe!$C$2:$C$307,MATCH($AR76,cpe!$F$2:$F$307,0)),INDEX(cpe!$C$2:$C$307,MATCH($AR76,cpe!$D$2:$D$307,0))),"#N/D")</f>
        <v>#N/D</v>
      </c>
      <c r="I76" s="25" t="str">
        <f>IFERROR(IF($AQ76,INDEX(cpe!$B$2:$B$307,MATCH($AR76,cpe!$F$2:$F$307,0)),INDEX(cpe!$B$2:$B$307,MATCH($AR76,cpe!$D$2:$D$307,0))),"#N/D")</f>
        <v>#N/D</v>
      </c>
      <c r="J76" s="26" t="str">
        <f>IF($AQ76,"#N/D",IFERROR(INDEX(Olimpiadas!$B$2:$B$61,MATCH($AO76,Olimpiadas!$C$2:$C$61,0)),"#N/D"))</f>
        <v>#N/D</v>
      </c>
      <c r="K76" s="26" t="str">
        <f>IF($AQ76,"#N/D",IFERROR(INDEX(Olimpiadas!$A$2:$A$61,MATCH($AO76,Olimpiadas!$C$2:$C$61,0)),"#N/D"))</f>
        <v>#N/D</v>
      </c>
      <c r="L76" s="26" t="str">
        <f>IF($AQ76,"#N/D",IFERROR(INDEX(Minculturas!$A$2:$A$48,MATCH($AO76,Minculturas!$C$2:$C$48,0)),"#N/D"))</f>
        <v>#N/D</v>
      </c>
      <c r="M76" s="26" t="str">
        <f>IF($AQ76,"#N/D",IFERROR(INDEX(Minculturas!$B$2:$B$48,MATCH($AO76,Minculturas!$C$2:$C$48,0)),"#N/D"))</f>
        <v>#N/D</v>
      </c>
      <c r="N76" s="27">
        <v>4</v>
      </c>
      <c r="O76" s="28">
        <v>0</v>
      </c>
      <c r="P76" s="28">
        <v>0</v>
      </c>
      <c r="Q76" s="28">
        <v>0</v>
      </c>
      <c r="R76" s="28">
        <v>0</v>
      </c>
      <c r="S76" s="28">
        <v>3</v>
      </c>
      <c r="T76" s="28">
        <v>1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7">
        <f t="shared" si="20"/>
        <v>4</v>
      </c>
      <c r="AH76" s="28" t="s">
        <v>338</v>
      </c>
      <c r="AI76" s="28" t="s">
        <v>338</v>
      </c>
      <c r="AJ76" s="28">
        <v>32.299999999999997</v>
      </c>
      <c r="AK76" s="28"/>
      <c r="AL76" s="28"/>
      <c r="AM76" s="29" t="s">
        <v>114</v>
      </c>
      <c r="AO76" t="str">
        <f t="shared" si="21"/>
        <v>elias</v>
      </c>
      <c r="AP76" t="str">
        <f t="shared" si="22"/>
        <v>huila</v>
      </c>
      <c r="AQ76" t="b">
        <f t="shared" si="23"/>
        <v>0</v>
      </c>
      <c r="AR76" t="str">
        <f t="shared" si="24"/>
        <v>elias</v>
      </c>
      <c r="AS76" s="30">
        <f t="shared" si="25"/>
        <v>0</v>
      </c>
      <c r="AT76" s="30">
        <f t="shared" si="26"/>
        <v>4</v>
      </c>
      <c r="AU76" s="30">
        <f t="shared" si="27"/>
        <v>3</v>
      </c>
      <c r="AV76" s="30">
        <f t="shared" si="28"/>
        <v>3</v>
      </c>
      <c r="AZ76" s="31">
        <f t="shared" si="29"/>
        <v>3</v>
      </c>
      <c r="BA76" s="31">
        <f t="shared" si="30"/>
        <v>6</v>
      </c>
      <c r="BB76" s="32">
        <f>IFERROR(INDEX('Análisis general'!$E$4:$E$28,MATCH($B76,'Análisis general'!$B$4:$B$28,0)),"")</f>
        <v>9.6999999999999993</v>
      </c>
      <c r="BC76" s="31">
        <f t="shared" si="31"/>
        <v>3</v>
      </c>
      <c r="BD76" s="32">
        <f t="shared" si="32"/>
        <v>6.4285714285714279</v>
      </c>
      <c r="BE76" s="32">
        <f t="shared" si="33"/>
        <v>9</v>
      </c>
    </row>
    <row r="77" spans="1:57" ht="25.5" customHeight="1" x14ac:dyDescent="0.25">
      <c r="A77" s="33" t="s">
        <v>347</v>
      </c>
      <c r="B77" s="11" t="s">
        <v>37</v>
      </c>
      <c r="C77" s="34" t="s">
        <v>112</v>
      </c>
      <c r="D77" s="24">
        <f t="shared" si="17"/>
        <v>6</v>
      </c>
      <c r="E77" s="59">
        <f t="shared" si="18"/>
        <v>6.4285714285714279</v>
      </c>
      <c r="F77" s="59">
        <f t="shared" si="19"/>
        <v>9</v>
      </c>
      <c r="G77" s="11" t="s">
        <v>348</v>
      </c>
      <c r="H77" s="25" t="s">
        <v>106</v>
      </c>
      <c r="I77" s="25" t="s">
        <v>106</v>
      </c>
      <c r="J77" s="26" t="s">
        <v>106</v>
      </c>
      <c r="K77" s="26" t="str">
        <f>IF($AQ77,"#N/D",IFERROR(INDEX(Olimpiadas!$A$2:$A$61,MATCH($AO77,Olimpiadas!$C$2:$C$61,0)),"#N/D"))</f>
        <v>#N/D</v>
      </c>
      <c r="L77" s="26" t="str">
        <f>IF($AQ77,"#N/D",IFERROR(INDEX(Minculturas!$A$2:$A$48,MATCH($AO77,Minculturas!$C$2:$C$48,0)),"#N/D"))</f>
        <v>#N/D</v>
      </c>
      <c r="M77" s="26" t="str">
        <f>IF($AQ77,"#N/D",IFERROR(INDEX(Minculturas!$B$2:$B$48,MATCH($AO77,Minculturas!$C$2:$C$48,0)),"#N/D"))</f>
        <v>#N/D</v>
      </c>
      <c r="N77" s="27">
        <v>4</v>
      </c>
      <c r="O77" s="28">
        <v>0</v>
      </c>
      <c r="P77" s="28">
        <v>1</v>
      </c>
      <c r="Q77" s="28">
        <v>0</v>
      </c>
      <c r="R77" s="28">
        <v>0</v>
      </c>
      <c r="S77" s="28">
        <v>2</v>
      </c>
      <c r="T77" s="28">
        <v>1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7">
        <f t="shared" si="20"/>
        <v>4</v>
      </c>
      <c r="AH77" s="28"/>
      <c r="AI77" s="28"/>
      <c r="AJ77" s="28">
        <v>37.9</v>
      </c>
      <c r="AK77" s="28"/>
      <c r="AL77" s="28"/>
      <c r="AM77" s="29" t="s">
        <v>114</v>
      </c>
      <c r="AO77" t="str">
        <f t="shared" si="21"/>
        <v>villavieja</v>
      </c>
      <c r="AP77" t="str">
        <f t="shared" si="22"/>
        <v>huila</v>
      </c>
      <c r="AQ77" t="b">
        <f t="shared" si="23"/>
        <v>0</v>
      </c>
      <c r="AR77" t="str">
        <f t="shared" si="24"/>
        <v>villavieja</v>
      </c>
      <c r="AS77" s="30">
        <f t="shared" si="25"/>
        <v>0</v>
      </c>
      <c r="AT77" s="30">
        <f t="shared" si="26"/>
        <v>4</v>
      </c>
      <c r="AU77" s="30">
        <f t="shared" si="27"/>
        <v>3</v>
      </c>
      <c r="AV77" s="30">
        <f t="shared" si="28"/>
        <v>3</v>
      </c>
      <c r="AZ77" s="31">
        <f t="shared" si="29"/>
        <v>3</v>
      </c>
      <c r="BA77" s="31">
        <f t="shared" si="30"/>
        <v>6</v>
      </c>
      <c r="BB77" s="32">
        <f>IFERROR(INDEX('Análisis general'!$E$4:$E$28,MATCH($B77,'Análisis general'!$B$4:$B$28,0)),"")</f>
        <v>9.6999999999999993</v>
      </c>
      <c r="BC77" s="31">
        <f t="shared" si="31"/>
        <v>3</v>
      </c>
      <c r="BD77" s="32">
        <f t="shared" si="32"/>
        <v>6.4285714285714279</v>
      </c>
      <c r="BE77" s="32">
        <f t="shared" si="33"/>
        <v>9</v>
      </c>
    </row>
    <row r="78" spans="1:57" ht="25.5" customHeight="1" x14ac:dyDescent="0.25">
      <c r="A78" s="33" t="s">
        <v>330</v>
      </c>
      <c r="B78" s="11" t="s">
        <v>37</v>
      </c>
      <c r="C78" s="34" t="s">
        <v>112</v>
      </c>
      <c r="D78" s="24">
        <f t="shared" si="17"/>
        <v>6</v>
      </c>
      <c r="E78" s="59">
        <f t="shared" si="18"/>
        <v>6.4285714285714279</v>
      </c>
      <c r="F78" s="59">
        <f t="shared" si="19"/>
        <v>9</v>
      </c>
      <c r="G78" s="11" t="s">
        <v>331</v>
      </c>
      <c r="H78" s="25" t="str">
        <f>IFERROR(IF($AQ78,INDEX(cpe!$C$2:$C$307,MATCH($AR78,cpe!$F$2:$F$307,0)),INDEX(cpe!$C$2:$C$307,MATCH($AR78,cpe!$D$2:$D$307,0))),"#N/D")</f>
        <v>#N/D</v>
      </c>
      <c r="I78" s="25" t="str">
        <f>IFERROR(IF($AQ78,INDEX(cpe!$B$2:$B$307,MATCH($AR78,cpe!$F$2:$F$307,0)),INDEX(cpe!$B$2:$B$307,MATCH($AR78,cpe!$D$2:$D$307,0))),"#N/D")</f>
        <v>#N/D</v>
      </c>
      <c r="J78" s="26" t="str">
        <f>IF($AQ78,"#N/D",IFERROR(INDEX(Olimpiadas!$B$2:$B$61,MATCH($AO78,Olimpiadas!$C$2:$C$61,0)),"#N/D"))</f>
        <v>#N/D</v>
      </c>
      <c r="K78" s="26" t="str">
        <f>IF($AQ78,"#N/D",IFERROR(INDEX(Olimpiadas!$A$2:$A$61,MATCH($AO78,Olimpiadas!$C$2:$C$61,0)),"#N/D"))</f>
        <v>#N/D</v>
      </c>
      <c r="L78" s="26" t="str">
        <f>IF($AQ78,"#N/D",IFERROR(INDEX(Minculturas!$A$2:$A$48,MATCH($AO78,Minculturas!$C$2:$C$48,0)),"#N/D"))</f>
        <v>#N/D</v>
      </c>
      <c r="M78" s="26" t="str">
        <f>IF($AQ78,"#N/D",IFERROR(INDEX(Minculturas!$B$2:$B$48,MATCH($AO78,Minculturas!$C$2:$C$48,0)),"#N/D"))</f>
        <v>#N/D</v>
      </c>
      <c r="N78" s="27">
        <v>3</v>
      </c>
      <c r="O78" s="28">
        <v>0</v>
      </c>
      <c r="P78" s="28">
        <v>1</v>
      </c>
      <c r="Q78" s="28">
        <v>0</v>
      </c>
      <c r="R78" s="28">
        <v>0</v>
      </c>
      <c r="S78" s="28">
        <v>2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7">
        <f t="shared" si="20"/>
        <v>3</v>
      </c>
      <c r="AH78" s="28"/>
      <c r="AI78" s="28"/>
      <c r="AJ78" s="28">
        <v>31.1</v>
      </c>
      <c r="AK78" s="28"/>
      <c r="AL78" s="28"/>
      <c r="AM78" s="29" t="s">
        <v>114</v>
      </c>
      <c r="AO78" t="str">
        <f t="shared" si="21"/>
        <v>campoalegre</v>
      </c>
      <c r="AP78" t="str">
        <f t="shared" si="22"/>
        <v>huila</v>
      </c>
      <c r="AQ78" t="b">
        <f t="shared" si="23"/>
        <v>0</v>
      </c>
      <c r="AR78" t="str">
        <f t="shared" si="24"/>
        <v>campoalegre</v>
      </c>
      <c r="AS78" s="30">
        <f t="shared" si="25"/>
        <v>0</v>
      </c>
      <c r="AT78" s="30">
        <f t="shared" si="26"/>
        <v>3</v>
      </c>
      <c r="AU78" s="30">
        <f t="shared" si="27"/>
        <v>3</v>
      </c>
      <c r="AV78" s="30">
        <f t="shared" si="28"/>
        <v>3</v>
      </c>
      <c r="AZ78" s="31">
        <f t="shared" si="29"/>
        <v>3</v>
      </c>
      <c r="BA78" s="31">
        <f t="shared" si="30"/>
        <v>6</v>
      </c>
      <c r="BB78" s="32">
        <f>IFERROR(INDEX('Análisis general'!$E$4:$E$28,MATCH($B78,'Análisis general'!$B$4:$B$28,0)),"")</f>
        <v>9.6999999999999993</v>
      </c>
      <c r="BC78" s="31">
        <f t="shared" si="31"/>
        <v>3</v>
      </c>
      <c r="BD78" s="32">
        <f t="shared" si="32"/>
        <v>6.4285714285714279</v>
      </c>
      <c r="BE78" s="32">
        <f t="shared" si="33"/>
        <v>9</v>
      </c>
    </row>
    <row r="79" spans="1:57" ht="25.5" customHeight="1" x14ac:dyDescent="0.25">
      <c r="A79" s="33" t="s">
        <v>332</v>
      </c>
      <c r="B79" s="11" t="s">
        <v>48</v>
      </c>
      <c r="C79" s="34" t="s">
        <v>112</v>
      </c>
      <c r="D79" s="24">
        <f t="shared" si="17"/>
        <v>6</v>
      </c>
      <c r="E79" s="59">
        <f t="shared" si="18"/>
        <v>6.4285714285714279</v>
      </c>
      <c r="F79" s="59">
        <f t="shared" si="19"/>
        <v>9</v>
      </c>
      <c r="G79" s="11" t="s">
        <v>333</v>
      </c>
      <c r="H79" s="25" t="str">
        <f>IFERROR(IF($AQ79,INDEX(cpe!$C$2:$C$307,MATCH($AR79,cpe!$F$2:$F$307,0)),INDEX(cpe!$C$2:$C$307,MATCH($AR79,cpe!$D$2:$D$307,0))),"#N/D")</f>
        <v>#N/D</v>
      </c>
      <c r="I79" s="25" t="str">
        <f>IFERROR(IF($AQ79,INDEX(cpe!$B$2:$B$307,MATCH($AR79,cpe!$F$2:$F$307,0)),INDEX(cpe!$B$2:$B$307,MATCH($AR79,cpe!$D$2:$D$307,0))),"#N/D")</f>
        <v>#N/D</v>
      </c>
      <c r="J79" s="26" t="str">
        <f>IF($AQ79,"#N/D",IFERROR(INDEX(Olimpiadas!$B$2:$B$61,MATCH($AO79,Olimpiadas!$C$2:$C$61,0)),"#N/D"))</f>
        <v>#N/D</v>
      </c>
      <c r="K79" s="26" t="str">
        <f>IF($AQ79,"#N/D",IFERROR(INDEX(Olimpiadas!$A$2:$A$61,MATCH($AO79,Olimpiadas!$C$2:$C$61,0)),"#N/D"))</f>
        <v>#N/D</v>
      </c>
      <c r="L79" s="26" t="str">
        <f>IF($AQ79,"#N/D",IFERROR(INDEX(Minculturas!$A$2:$A$48,MATCH($AO79,Minculturas!$C$2:$C$48,0)),"#N/D"))</f>
        <v>#N/D</v>
      </c>
      <c r="M79" s="26" t="str">
        <f>IF($AQ79,"#N/D",IFERROR(INDEX(Minculturas!$B$2:$B$48,MATCH($AO79,Minculturas!$C$2:$C$48,0)),"#N/D"))</f>
        <v>#N/D</v>
      </c>
      <c r="N79" s="27">
        <v>4</v>
      </c>
      <c r="O79" s="28">
        <v>0</v>
      </c>
      <c r="P79" s="28">
        <v>1</v>
      </c>
      <c r="Q79" s="28">
        <v>0</v>
      </c>
      <c r="R79" s="28">
        <v>1</v>
      </c>
      <c r="S79" s="28">
        <v>0</v>
      </c>
      <c r="T79" s="28">
        <v>1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1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7">
        <f t="shared" si="20"/>
        <v>3</v>
      </c>
      <c r="AH79" s="28"/>
      <c r="AI79" s="28"/>
      <c r="AJ79" s="28">
        <v>39.700000000000003</v>
      </c>
      <c r="AK79" s="28"/>
      <c r="AL79" s="28"/>
      <c r="AM79" s="29" t="s">
        <v>114</v>
      </c>
      <c r="AO79" t="str">
        <f t="shared" si="21"/>
        <v>chaparral</v>
      </c>
      <c r="AP79" t="str">
        <f t="shared" si="22"/>
        <v>tolima</v>
      </c>
      <c r="AQ79" t="b">
        <f t="shared" si="23"/>
        <v>0</v>
      </c>
      <c r="AR79" t="str">
        <f t="shared" si="24"/>
        <v>chaparral</v>
      </c>
      <c r="AS79" s="30">
        <f t="shared" si="25"/>
        <v>0</v>
      </c>
      <c r="AT79" s="30">
        <f t="shared" si="26"/>
        <v>3</v>
      </c>
      <c r="AU79" s="30">
        <f t="shared" si="27"/>
        <v>3</v>
      </c>
      <c r="AV79" s="30">
        <f t="shared" si="28"/>
        <v>3</v>
      </c>
      <c r="AZ79" s="31">
        <f t="shared" si="29"/>
        <v>3</v>
      </c>
      <c r="BA79" s="31">
        <f t="shared" si="30"/>
        <v>6</v>
      </c>
      <c r="BB79" s="32">
        <f>IFERROR(INDEX('Análisis general'!$E$4:$E$28,MATCH($B79,'Análisis general'!$B$4:$B$28,0)),"")</f>
        <v>12.2</v>
      </c>
      <c r="BC79" s="31">
        <f t="shared" si="31"/>
        <v>3</v>
      </c>
      <c r="BD79" s="32">
        <f t="shared" si="32"/>
        <v>6.4285714285714279</v>
      </c>
      <c r="BE79" s="32">
        <f t="shared" si="33"/>
        <v>9</v>
      </c>
    </row>
    <row r="80" spans="1:57" ht="25.5" customHeight="1" x14ac:dyDescent="0.25">
      <c r="A80" s="33" t="s">
        <v>343</v>
      </c>
      <c r="B80" s="11" t="s">
        <v>37</v>
      </c>
      <c r="C80" s="34" t="s">
        <v>112</v>
      </c>
      <c r="D80" s="24">
        <f t="shared" si="17"/>
        <v>6</v>
      </c>
      <c r="E80" s="59">
        <f t="shared" si="18"/>
        <v>6.4285714285714279</v>
      </c>
      <c r="F80" s="59">
        <f t="shared" si="19"/>
        <v>9</v>
      </c>
      <c r="G80" s="11" t="s">
        <v>344</v>
      </c>
      <c r="H80" s="25" t="str">
        <f>IFERROR(IF($AQ80,INDEX(cpe!$C$2:$C$307,MATCH($AR80,cpe!$F$2:$F$307,0)),INDEX(cpe!$C$2:$C$307,MATCH($AR80,cpe!$D$2:$D$307,0))),"#N/D")</f>
        <v>#N/D</v>
      </c>
      <c r="I80" s="25" t="str">
        <f>IFERROR(IF($AQ80,INDEX(cpe!$B$2:$B$307,MATCH($AR80,cpe!$F$2:$F$307,0)),INDEX(cpe!$B$2:$B$307,MATCH($AR80,cpe!$D$2:$D$307,0))),"#N/D")</f>
        <v>#N/D</v>
      </c>
      <c r="J80" s="26" t="str">
        <f>IF($AQ80,"#N/D",IFERROR(INDEX(Olimpiadas!$B$2:$B$61,MATCH($AO80,Olimpiadas!$C$2:$C$61,0)),"#N/D"))</f>
        <v>#N/D</v>
      </c>
      <c r="K80" s="26" t="str">
        <f>IF($AQ80,"#N/D",IFERROR(INDEX(Olimpiadas!$A$2:$A$61,MATCH($AO80,Olimpiadas!$C$2:$C$61,0)),"#N/D"))</f>
        <v>#N/D</v>
      </c>
      <c r="L80" s="26" t="str">
        <f>IF($AQ80,"#N/D",IFERROR(INDEX(Minculturas!$A$2:$A$48,MATCH($AO80,Minculturas!$C$2:$C$48,0)),"#N/D"))</f>
        <v>#N/D</v>
      </c>
      <c r="M80" s="26" t="str">
        <f>IF($AQ80,"#N/D",IFERROR(INDEX(Minculturas!$B$2:$B$48,MATCH($AO80,Minculturas!$C$2:$C$48,0)),"#N/D"))</f>
        <v>#N/D</v>
      </c>
      <c r="N80" s="27">
        <v>3</v>
      </c>
      <c r="O80" s="28">
        <v>0</v>
      </c>
      <c r="P80" s="28">
        <v>0</v>
      </c>
      <c r="Q80" s="28">
        <v>2</v>
      </c>
      <c r="R80" s="28">
        <v>0</v>
      </c>
      <c r="S80" s="28">
        <v>1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7">
        <f t="shared" si="20"/>
        <v>3</v>
      </c>
      <c r="AH80" s="28"/>
      <c r="AI80" s="28"/>
      <c r="AJ80" s="28">
        <v>32.6</v>
      </c>
      <c r="AK80" s="28"/>
      <c r="AL80" s="28"/>
      <c r="AM80" s="29" t="s">
        <v>114</v>
      </c>
      <c r="AO80" t="str">
        <f t="shared" si="21"/>
        <v>palermo</v>
      </c>
      <c r="AP80" t="str">
        <f t="shared" si="22"/>
        <v>huila</v>
      </c>
      <c r="AQ80" t="b">
        <f t="shared" si="23"/>
        <v>0</v>
      </c>
      <c r="AR80" t="str">
        <f t="shared" si="24"/>
        <v>palermo</v>
      </c>
      <c r="AS80" s="30">
        <f t="shared" si="25"/>
        <v>0</v>
      </c>
      <c r="AT80" s="30">
        <f t="shared" si="26"/>
        <v>3</v>
      </c>
      <c r="AU80" s="30">
        <f t="shared" si="27"/>
        <v>3</v>
      </c>
      <c r="AV80" s="30">
        <f t="shared" si="28"/>
        <v>3</v>
      </c>
      <c r="AZ80" s="31">
        <f t="shared" si="29"/>
        <v>3</v>
      </c>
      <c r="BA80" s="31">
        <f t="shared" si="30"/>
        <v>6</v>
      </c>
      <c r="BB80" s="32">
        <f>IFERROR(INDEX('Análisis general'!$E$4:$E$28,MATCH($B80,'Análisis general'!$B$4:$B$28,0)),"")</f>
        <v>9.6999999999999993</v>
      </c>
      <c r="BC80" s="31">
        <f t="shared" si="31"/>
        <v>3</v>
      </c>
      <c r="BD80" s="32">
        <f t="shared" si="32"/>
        <v>6.4285714285714279</v>
      </c>
      <c r="BE80" s="32">
        <f t="shared" si="33"/>
        <v>9</v>
      </c>
    </row>
    <row r="81" spans="1:57" ht="25.5" customHeight="1" x14ac:dyDescent="0.25">
      <c r="A81" s="33" t="s">
        <v>334</v>
      </c>
      <c r="B81" s="11" t="s">
        <v>37</v>
      </c>
      <c r="C81" s="34" t="s">
        <v>112</v>
      </c>
      <c r="D81" s="24">
        <f t="shared" si="17"/>
        <v>6</v>
      </c>
      <c r="E81" s="59">
        <f t="shared" si="18"/>
        <v>6.4285714285714279</v>
      </c>
      <c r="F81" s="59">
        <f t="shared" si="19"/>
        <v>9</v>
      </c>
      <c r="G81" s="11" t="s">
        <v>335</v>
      </c>
      <c r="H81" s="25" t="str">
        <f>IFERROR(IF($AQ81,INDEX(cpe!$C$2:$C$307,MATCH($AR81,cpe!$F$2:$F$307,0)),INDEX(cpe!$C$2:$C$307,MATCH($AR81,cpe!$D$2:$D$307,0))),"#N/D")</f>
        <v>#N/D</v>
      </c>
      <c r="I81" s="25" t="str">
        <f>IFERROR(IF($AQ81,INDEX(cpe!$B$2:$B$307,MATCH($AR81,cpe!$F$2:$F$307,0)),INDEX(cpe!$B$2:$B$307,MATCH($AR81,cpe!$D$2:$D$307,0))),"#N/D")</f>
        <v>#N/D</v>
      </c>
      <c r="J81" s="26" t="str">
        <f>IF($AQ81,"#N/D",IFERROR(INDEX(Olimpiadas!$B$2:$B$61,MATCH($AO81,Olimpiadas!$C$2:$C$61,0)),"#N/D"))</f>
        <v>#N/D</v>
      </c>
      <c r="K81" s="26" t="str">
        <f>IF($AQ81,"#N/D",IFERROR(INDEX(Olimpiadas!$A$2:$A$61,MATCH($AO81,Olimpiadas!$C$2:$C$61,0)),"#N/D"))</f>
        <v>#N/D</v>
      </c>
      <c r="L81" s="26" t="str">
        <f>IF($AQ81,"#N/D",IFERROR(INDEX(Minculturas!$A$2:$A$48,MATCH($AO81,Minculturas!$C$2:$C$48,0)),"#N/D"))</f>
        <v>#N/D</v>
      </c>
      <c r="M81" s="26" t="str">
        <f>IF($AQ81,"#N/D",IFERROR(INDEX(Minculturas!$B$2:$B$48,MATCH($AO81,Minculturas!$C$2:$C$48,0)),"#N/D"))</f>
        <v>#N/D</v>
      </c>
      <c r="N81" s="27">
        <v>2</v>
      </c>
      <c r="O81" s="28">
        <v>0</v>
      </c>
      <c r="P81" s="28">
        <v>0</v>
      </c>
      <c r="Q81" s="28">
        <v>1</v>
      </c>
      <c r="R81" s="28">
        <v>0</v>
      </c>
      <c r="S81" s="28">
        <v>1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7">
        <f t="shared" si="20"/>
        <v>2</v>
      </c>
      <c r="AH81" s="28"/>
      <c r="AI81" s="28"/>
      <c r="AJ81" s="28">
        <v>43.9</v>
      </c>
      <c r="AK81" s="28"/>
      <c r="AL81" s="28"/>
      <c r="AM81" s="29" t="s">
        <v>114</v>
      </c>
      <c r="AO81" t="str">
        <f t="shared" si="21"/>
        <v>el pital</v>
      </c>
      <c r="AP81" t="str">
        <f t="shared" si="22"/>
        <v>huila</v>
      </c>
      <c r="AQ81" t="b">
        <f t="shared" si="23"/>
        <v>0</v>
      </c>
      <c r="AR81" t="str">
        <f t="shared" si="24"/>
        <v>el pital</v>
      </c>
      <c r="AS81" s="30">
        <f t="shared" si="25"/>
        <v>0</v>
      </c>
      <c r="AT81" s="30">
        <f t="shared" si="26"/>
        <v>2</v>
      </c>
      <c r="AU81" s="30">
        <f t="shared" si="27"/>
        <v>3</v>
      </c>
      <c r="AV81" s="30">
        <f t="shared" si="28"/>
        <v>3</v>
      </c>
      <c r="AZ81" s="31">
        <f t="shared" si="29"/>
        <v>3</v>
      </c>
      <c r="BA81" s="31">
        <f t="shared" si="30"/>
        <v>6</v>
      </c>
      <c r="BB81" s="32">
        <f>IFERROR(INDEX('Análisis general'!$E$4:$E$28,MATCH($B81,'Análisis general'!$B$4:$B$28,0)),"")</f>
        <v>9.6999999999999993</v>
      </c>
      <c r="BC81" s="31">
        <f t="shared" si="31"/>
        <v>3</v>
      </c>
      <c r="BD81" s="32">
        <f t="shared" si="32"/>
        <v>6.4285714285714279</v>
      </c>
      <c r="BE81" s="32">
        <f t="shared" si="33"/>
        <v>9</v>
      </c>
    </row>
    <row r="82" spans="1:57" ht="25.5" customHeight="1" x14ac:dyDescent="0.25">
      <c r="A82" s="33" t="s">
        <v>339</v>
      </c>
      <c r="B82" s="11" t="s">
        <v>48</v>
      </c>
      <c r="C82" s="34" t="s">
        <v>112</v>
      </c>
      <c r="D82" s="24">
        <f t="shared" si="17"/>
        <v>6</v>
      </c>
      <c r="E82" s="59">
        <f t="shared" si="18"/>
        <v>6.4285714285714279</v>
      </c>
      <c r="F82" s="59">
        <f t="shared" si="19"/>
        <v>9</v>
      </c>
      <c r="G82" s="11" t="s">
        <v>340</v>
      </c>
      <c r="H82" s="25" t="str">
        <f>IFERROR(IF($AQ82,INDEX(cpe!$C$2:$C$307,MATCH($AR82,cpe!$F$2:$F$307,0)),INDEX(cpe!$C$2:$C$307,MATCH($AR82,cpe!$D$2:$D$307,0))),"#N/D")</f>
        <v>#N/D</v>
      </c>
      <c r="I82" s="25" t="str">
        <f>IFERROR(IF($AQ82,INDEX(cpe!$B$2:$B$307,MATCH($AR82,cpe!$F$2:$F$307,0)),INDEX(cpe!$B$2:$B$307,MATCH($AR82,cpe!$D$2:$D$307,0))),"#N/D")</f>
        <v>#N/D</v>
      </c>
      <c r="J82" s="26" t="str">
        <f>IF($AQ82,"#N/D",IFERROR(INDEX(Olimpiadas!$B$2:$B$61,MATCH($AO82,Olimpiadas!$C$2:$C$61,0)),"#N/D"))</f>
        <v>#N/D</v>
      </c>
      <c r="K82" s="26" t="str">
        <f>IF($AQ82,"#N/D",IFERROR(INDEX(Olimpiadas!$A$2:$A$61,MATCH($AO82,Olimpiadas!$C$2:$C$61,0)),"#N/D"))</f>
        <v>#N/D</v>
      </c>
      <c r="L82" s="26" t="str">
        <f>IF($AQ82,"#N/D",IFERROR(INDEX(Minculturas!$A$2:$A$48,MATCH($AO82,Minculturas!$C$2:$C$48,0)),"#N/D"))</f>
        <v>#N/D</v>
      </c>
      <c r="M82" s="26" t="str">
        <f>IF($AQ82,"#N/D",IFERROR(INDEX(Minculturas!$B$2:$B$48,MATCH($AO82,Minculturas!$C$2:$C$48,0)),"#N/D"))</f>
        <v>#N/D</v>
      </c>
      <c r="N82" s="27">
        <v>3</v>
      </c>
      <c r="O82" s="28">
        <v>0</v>
      </c>
      <c r="P82" s="28">
        <v>1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1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1</v>
      </c>
      <c r="AC82" s="28">
        <v>0</v>
      </c>
      <c r="AD82" s="28">
        <v>0</v>
      </c>
      <c r="AE82" s="28">
        <v>0</v>
      </c>
      <c r="AF82" s="28">
        <v>0</v>
      </c>
      <c r="AG82" s="27">
        <f t="shared" si="20"/>
        <v>2</v>
      </c>
      <c r="AH82" s="28"/>
      <c r="AI82" s="28"/>
      <c r="AJ82" s="28">
        <v>19.2</v>
      </c>
      <c r="AK82" s="28"/>
      <c r="AL82" s="28"/>
      <c r="AM82" s="29" t="s">
        <v>114</v>
      </c>
      <c r="AO82" t="str">
        <f t="shared" si="21"/>
        <v>espinal</v>
      </c>
      <c r="AP82" t="str">
        <f t="shared" si="22"/>
        <v>tolima</v>
      </c>
      <c r="AQ82" t="b">
        <f t="shared" si="23"/>
        <v>0</v>
      </c>
      <c r="AR82" t="str">
        <f t="shared" si="24"/>
        <v>espinal</v>
      </c>
      <c r="AS82" s="30">
        <f t="shared" si="25"/>
        <v>0</v>
      </c>
      <c r="AT82" s="30">
        <f t="shared" si="26"/>
        <v>2</v>
      </c>
      <c r="AU82" s="30">
        <f t="shared" si="27"/>
        <v>3</v>
      </c>
      <c r="AV82" s="30">
        <f t="shared" si="28"/>
        <v>3</v>
      </c>
      <c r="AZ82" s="31">
        <f t="shared" si="29"/>
        <v>3</v>
      </c>
      <c r="BA82" s="31">
        <f t="shared" si="30"/>
        <v>6</v>
      </c>
      <c r="BB82" s="32">
        <f>IFERROR(INDEX('Análisis general'!$E$4:$E$28,MATCH($B82,'Análisis general'!$B$4:$B$28,0)),"")</f>
        <v>12.2</v>
      </c>
      <c r="BC82" s="31">
        <f t="shared" si="31"/>
        <v>3</v>
      </c>
      <c r="BD82" s="32">
        <f t="shared" si="32"/>
        <v>6.4285714285714279</v>
      </c>
      <c r="BE82" s="32">
        <f t="shared" si="33"/>
        <v>9</v>
      </c>
    </row>
    <row r="83" spans="1:57" ht="25.5" customHeight="1" x14ac:dyDescent="0.25">
      <c r="A83" s="33" t="s">
        <v>341</v>
      </c>
      <c r="B83" s="11" t="s">
        <v>37</v>
      </c>
      <c r="C83" s="34" t="s">
        <v>112</v>
      </c>
      <c r="D83" s="24">
        <f t="shared" si="17"/>
        <v>6</v>
      </c>
      <c r="E83" s="59">
        <f t="shared" si="18"/>
        <v>6.4285714285714279</v>
      </c>
      <c r="F83" s="59">
        <f t="shared" si="19"/>
        <v>9</v>
      </c>
      <c r="G83" s="11" t="s">
        <v>342</v>
      </c>
      <c r="H83" s="25" t="str">
        <f>IFERROR(IF($AQ83,INDEX(cpe!$C$2:$C$307,MATCH($AR83,cpe!$F$2:$F$307,0)),INDEX(cpe!$C$2:$C$307,MATCH($AR83,cpe!$D$2:$D$307,0))),"#N/D")</f>
        <v>#N/D</v>
      </c>
      <c r="I83" s="25" t="str">
        <f>IFERROR(IF($AQ83,INDEX(cpe!$B$2:$B$307,MATCH($AR83,cpe!$F$2:$F$307,0)),INDEX(cpe!$B$2:$B$307,MATCH($AR83,cpe!$D$2:$D$307,0))),"#N/D")</f>
        <v>#N/D</v>
      </c>
      <c r="J83" s="26" t="str">
        <f>IF($AQ83,"#N/D",IFERROR(INDEX(Olimpiadas!$B$2:$B$61,MATCH($AO83,Olimpiadas!$C$2:$C$61,0)),"#N/D"))</f>
        <v>#N/D</v>
      </c>
      <c r="K83" s="26" t="str">
        <f>IF($AQ83,"#N/D",IFERROR(INDEX(Olimpiadas!$A$2:$A$61,MATCH($AO83,Olimpiadas!$C$2:$C$61,0)),"#N/D"))</f>
        <v>#N/D</v>
      </c>
      <c r="L83" s="26" t="str">
        <f>IF($AQ83,"#N/D",IFERROR(INDEX(Minculturas!$A$2:$A$48,MATCH($AO83,Minculturas!$C$2:$C$48,0)),"#N/D"))</f>
        <v>#N/D</v>
      </c>
      <c r="M83" s="26" t="str">
        <f>IF($AQ83,"#N/D",IFERROR(INDEX(Minculturas!$B$2:$B$48,MATCH($AO83,Minculturas!$C$2:$C$48,0)),"#N/D"))</f>
        <v>#N/D</v>
      </c>
      <c r="N83" s="27">
        <v>2</v>
      </c>
      <c r="O83" s="28">
        <v>0</v>
      </c>
      <c r="P83" s="28">
        <v>0</v>
      </c>
      <c r="Q83" s="28">
        <v>0</v>
      </c>
      <c r="R83" s="28">
        <v>0</v>
      </c>
      <c r="S83" s="28">
        <v>1</v>
      </c>
      <c r="T83" s="28">
        <v>1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7">
        <f t="shared" si="20"/>
        <v>2</v>
      </c>
      <c r="AH83" s="28"/>
      <c r="AI83" s="28"/>
      <c r="AJ83" s="28">
        <v>49.6</v>
      </c>
      <c r="AK83" s="28"/>
      <c r="AL83" s="28"/>
      <c r="AM83" s="29" t="s">
        <v>114</v>
      </c>
      <c r="AO83" t="str">
        <f t="shared" si="21"/>
        <v>iquira</v>
      </c>
      <c r="AP83" t="str">
        <f t="shared" si="22"/>
        <v>huila</v>
      </c>
      <c r="AQ83" t="b">
        <f t="shared" si="23"/>
        <v>0</v>
      </c>
      <c r="AR83" t="str">
        <f t="shared" si="24"/>
        <v>iquira</v>
      </c>
      <c r="AS83" s="30">
        <f t="shared" si="25"/>
        <v>0</v>
      </c>
      <c r="AT83" s="30">
        <f t="shared" si="26"/>
        <v>2</v>
      </c>
      <c r="AU83" s="30">
        <f t="shared" si="27"/>
        <v>3</v>
      </c>
      <c r="AV83" s="30">
        <f t="shared" si="28"/>
        <v>3</v>
      </c>
      <c r="AZ83" s="31">
        <f t="shared" si="29"/>
        <v>3</v>
      </c>
      <c r="BA83" s="31">
        <f t="shared" si="30"/>
        <v>6</v>
      </c>
      <c r="BB83" s="32">
        <f>IFERROR(INDEX('Análisis general'!$E$4:$E$28,MATCH($B83,'Análisis general'!$B$4:$B$28,0)),"")</f>
        <v>9.6999999999999993</v>
      </c>
      <c r="BC83" s="31">
        <f t="shared" si="31"/>
        <v>3</v>
      </c>
      <c r="BD83" s="32">
        <f t="shared" si="32"/>
        <v>6.4285714285714279</v>
      </c>
      <c r="BE83" s="32">
        <f t="shared" si="33"/>
        <v>9</v>
      </c>
    </row>
    <row r="84" spans="1:57" ht="25.5" customHeight="1" x14ac:dyDescent="0.25">
      <c r="A84" s="33" t="s">
        <v>345</v>
      </c>
      <c r="B84" s="11" t="s">
        <v>48</v>
      </c>
      <c r="C84" s="34" t="s">
        <v>112</v>
      </c>
      <c r="D84" s="24">
        <f t="shared" si="17"/>
        <v>6</v>
      </c>
      <c r="E84" s="59">
        <f t="shared" si="18"/>
        <v>6.4285714285714279</v>
      </c>
      <c r="F84" s="59">
        <f t="shared" si="19"/>
        <v>9</v>
      </c>
      <c r="G84" s="11" t="s">
        <v>346</v>
      </c>
      <c r="H84" s="25" t="s">
        <v>106</v>
      </c>
      <c r="I84" s="25" t="s">
        <v>106</v>
      </c>
      <c r="J84" s="26" t="s">
        <v>106</v>
      </c>
      <c r="K84" s="26" t="str">
        <f>IF($AQ84,"#N/D",IFERROR(INDEX(Olimpiadas!$A$2:$A$61,MATCH($AO84,Olimpiadas!$C$2:$C$61,0)),"#N/D"))</f>
        <v>#N/D</v>
      </c>
      <c r="L84" s="26" t="str">
        <f>IF($AQ84,"#N/D",IFERROR(INDEX(Minculturas!$A$2:$A$48,MATCH($AO84,Minculturas!$C$2:$C$48,0)),"#N/D"))</f>
        <v>#N/D</v>
      </c>
      <c r="M84" s="26" t="str">
        <f>IF($AQ84,"#N/D",IFERROR(INDEX(Minculturas!$B$2:$B$48,MATCH($AO84,Minculturas!$C$2:$C$48,0)),"#N/D"))</f>
        <v>#N/D</v>
      </c>
      <c r="N84" s="27">
        <v>2</v>
      </c>
      <c r="O84" s="28">
        <v>0</v>
      </c>
      <c r="P84" s="28">
        <v>1</v>
      </c>
      <c r="Q84" s="28">
        <v>0</v>
      </c>
      <c r="R84" s="28">
        <v>0</v>
      </c>
      <c r="S84" s="28">
        <v>0</v>
      </c>
      <c r="T84" s="28">
        <v>0</v>
      </c>
      <c r="U84" s="28">
        <v>1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7">
        <f t="shared" si="20"/>
        <v>2</v>
      </c>
      <c r="AH84" s="28"/>
      <c r="AI84" s="28"/>
      <c r="AJ84" s="28">
        <v>53.7</v>
      </c>
      <c r="AK84" s="28"/>
      <c r="AL84" s="28"/>
      <c r="AM84" s="29" t="s">
        <v>114</v>
      </c>
      <c r="AO84" t="str">
        <f t="shared" si="21"/>
        <v>san antonio</v>
      </c>
      <c r="AP84" t="str">
        <f t="shared" si="22"/>
        <v>tolima</v>
      </c>
      <c r="AQ84" t="b">
        <f t="shared" si="23"/>
        <v>0</v>
      </c>
      <c r="AR84" t="str">
        <f t="shared" si="24"/>
        <v>san antonio</v>
      </c>
      <c r="AS84" s="30">
        <f t="shared" si="25"/>
        <v>0</v>
      </c>
      <c r="AT84" s="30">
        <f t="shared" si="26"/>
        <v>2</v>
      </c>
      <c r="AU84" s="30">
        <f t="shared" si="27"/>
        <v>3</v>
      </c>
      <c r="AV84" s="30">
        <f t="shared" si="28"/>
        <v>3</v>
      </c>
      <c r="AZ84" s="31">
        <f t="shared" si="29"/>
        <v>3</v>
      </c>
      <c r="BA84" s="31">
        <f t="shared" si="30"/>
        <v>6</v>
      </c>
      <c r="BB84" s="32">
        <f>IFERROR(INDEX('Análisis general'!$E$4:$E$28,MATCH($B84,'Análisis general'!$B$4:$B$28,0)),"")</f>
        <v>12.2</v>
      </c>
      <c r="BC84" s="31">
        <f t="shared" si="31"/>
        <v>3</v>
      </c>
      <c r="BD84" s="32">
        <f t="shared" si="32"/>
        <v>6.4285714285714279</v>
      </c>
      <c r="BE84" s="32">
        <f t="shared" si="33"/>
        <v>9</v>
      </c>
    </row>
    <row r="85" spans="1:57" ht="25.5" customHeight="1" x14ac:dyDescent="0.25">
      <c r="A85" s="33" t="s">
        <v>349</v>
      </c>
      <c r="B85" s="11" t="s">
        <v>10</v>
      </c>
      <c r="C85" s="34" t="s">
        <v>112</v>
      </c>
      <c r="D85" s="24">
        <f t="shared" si="17"/>
        <v>7</v>
      </c>
      <c r="E85" s="59">
        <f t="shared" si="18"/>
        <v>7.2857142857142856</v>
      </c>
      <c r="F85" s="59">
        <f t="shared" si="19"/>
        <v>9</v>
      </c>
      <c r="G85" s="11" t="s">
        <v>350</v>
      </c>
      <c r="H85" s="25" t="str">
        <f>IFERROR(IF($AQ85,INDEX(cpe!$C$2:$C$307,MATCH($AR85,cpe!$F$2:$F$307,0)),INDEX(cpe!$C$2:$C$307,MATCH($AR85,cpe!$D$2:$D$307,0))),"#N/D")</f>
        <v>#N/D</v>
      </c>
      <c r="I85" s="25" t="str">
        <f>IFERROR(IF($AQ85,INDEX(cpe!$B$2:$B$307,MATCH($AR85,cpe!$F$2:$F$307,0)),INDEX(cpe!$B$2:$B$307,MATCH($AR85,cpe!$D$2:$D$307,0))),"#N/D")</f>
        <v>#N/D</v>
      </c>
      <c r="J85" s="26" t="str">
        <f>IF($AQ85,"#N/D",IFERROR(INDEX(Olimpiadas!$B$2:$B$61,MATCH($AO85,Olimpiadas!$C$2:$C$61,0)),"#N/D"))</f>
        <v>Caucasia</v>
      </c>
      <c r="K85" s="26" t="str">
        <f>IF($AQ85,"#N/D",IFERROR(INDEX(Olimpiadas!$A$2:$A$61,MATCH($AO85,Olimpiadas!$C$2:$C$61,0)),"#N/D"))</f>
        <v>INSTITUCIÓN EDUCATIVA RURAL CACERÍ</v>
      </c>
      <c r="L85" s="26" t="str">
        <f>IF($AQ85,"#N/D",IFERROR(INDEX(Minculturas!$A$2:$A$48,MATCH($AO85,Minculturas!$C$2:$C$48,0)),"#N/D"))</f>
        <v>#N/D</v>
      </c>
      <c r="M85" s="26" t="str">
        <f>IF($AQ85,"#N/D",IFERROR(INDEX(Minculturas!$B$2:$B$48,MATCH($AO85,Minculturas!$C$2:$C$48,0)),"#N/D"))</f>
        <v>#N/D</v>
      </c>
      <c r="N85" s="27">
        <v>2</v>
      </c>
      <c r="O85" s="28">
        <v>0</v>
      </c>
      <c r="P85" s="28">
        <v>0</v>
      </c>
      <c r="Q85" s="28">
        <v>0</v>
      </c>
      <c r="R85" s="28">
        <v>1</v>
      </c>
      <c r="S85" s="28">
        <v>0</v>
      </c>
      <c r="T85" s="28">
        <v>1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7">
        <f t="shared" si="20"/>
        <v>2</v>
      </c>
      <c r="AH85" s="28"/>
      <c r="AI85" s="28"/>
      <c r="AJ85" s="28">
        <v>36</v>
      </c>
      <c r="AK85" s="28"/>
      <c r="AL85" s="28"/>
      <c r="AM85" s="29" t="s">
        <v>114</v>
      </c>
      <c r="AO85" t="str">
        <f t="shared" si="21"/>
        <v>caucasia</v>
      </c>
      <c r="AP85" t="str">
        <f t="shared" si="22"/>
        <v>antioquia</v>
      </c>
      <c r="AQ85" t="b">
        <f t="shared" si="23"/>
        <v>0</v>
      </c>
      <c r="AR85" t="str">
        <f t="shared" si="24"/>
        <v>caucasia</v>
      </c>
      <c r="AS85" s="30">
        <f t="shared" si="25"/>
        <v>1</v>
      </c>
      <c r="AT85" s="30">
        <f t="shared" si="26"/>
        <v>2</v>
      </c>
      <c r="AU85" s="30">
        <f t="shared" si="27"/>
        <v>3</v>
      </c>
      <c r="AV85" s="30">
        <f t="shared" si="28"/>
        <v>3</v>
      </c>
      <c r="AZ85" s="31">
        <f t="shared" si="29"/>
        <v>3</v>
      </c>
      <c r="BA85" s="31">
        <f t="shared" si="30"/>
        <v>7</v>
      </c>
      <c r="BB85" s="32">
        <f>IFERROR(INDEX('Análisis general'!$E$4:$E$28,MATCH($B85,'Análisis general'!$B$4:$B$28,0)),"")</f>
        <v>9.5</v>
      </c>
      <c r="BC85" s="31">
        <f t="shared" si="31"/>
        <v>3</v>
      </c>
      <c r="BD85" s="32">
        <f t="shared" si="32"/>
        <v>7.2857142857142856</v>
      </c>
      <c r="BE85" s="32">
        <f t="shared" si="33"/>
        <v>9</v>
      </c>
    </row>
    <row r="86" spans="1:57" ht="25.5" customHeight="1" x14ac:dyDescent="0.25">
      <c r="A86" s="33" t="s">
        <v>351</v>
      </c>
      <c r="B86" s="11" t="s">
        <v>31</v>
      </c>
      <c r="C86" s="34" t="s">
        <v>112</v>
      </c>
      <c r="D86" s="24">
        <f t="shared" si="17"/>
        <v>7</v>
      </c>
      <c r="E86" s="59">
        <f t="shared" si="18"/>
        <v>7.2857142857142856</v>
      </c>
      <c r="F86" s="59">
        <f t="shared" si="19"/>
        <v>9</v>
      </c>
      <c r="G86" s="11" t="s">
        <v>352</v>
      </c>
      <c r="H86" s="25" t="str">
        <f>IFERROR(IF($AQ86,INDEX(cpe!$C$2:$C$307,MATCH($AR86,cpe!$F$2:$F$307,0)),INDEX(cpe!$C$2:$C$307,MATCH($AR86,cpe!$D$2:$D$307,0))),"#N/D")</f>
        <v>Institucion Educativa el Quebradon</v>
      </c>
      <c r="I86" s="25" t="str">
        <f>IFERROR(IF($AQ86,INDEX(cpe!$B$2:$B$307,MATCH($AR86,cpe!$F$2:$F$307,0)),INDEX(cpe!$B$2:$B$307,MATCH($AR86,cpe!$D$2:$D$307,0))),"#N/D")</f>
        <v>Bagadó</v>
      </c>
      <c r="J86" s="26" t="str">
        <f>IF($AQ86,"#N/D",IFERROR(INDEX(Olimpiadas!$B$2:$B$61,MATCH($AO86,Olimpiadas!$C$2:$C$61,0)),"#N/D"))</f>
        <v>#N/D</v>
      </c>
      <c r="K86" s="26" t="str">
        <f>IF($AQ86,"#N/D",IFERROR(INDEX(Olimpiadas!$A$2:$A$61,MATCH($AO86,Olimpiadas!$C$2:$C$61,0)),"#N/D"))</f>
        <v>#N/D</v>
      </c>
      <c r="L86" s="26" t="str">
        <f>IF($AQ86,"#N/D",IFERROR(INDEX(Minculturas!$A$2:$A$48,MATCH($AO86,Minculturas!$C$2:$C$48,0)),"#N/D"))</f>
        <v>#N/D</v>
      </c>
      <c r="M86" s="26" t="str">
        <f>IF($AQ86,"#N/D",IFERROR(INDEX(Minculturas!$B$2:$B$48,MATCH($AO86,Minculturas!$C$2:$C$48,0)),"#N/D"))</f>
        <v>#N/D</v>
      </c>
      <c r="N86" s="27">
        <v>2</v>
      </c>
      <c r="O86" s="28">
        <v>0</v>
      </c>
      <c r="P86" s="28">
        <v>0</v>
      </c>
      <c r="Q86" s="28">
        <v>1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1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7">
        <f t="shared" si="20"/>
        <v>1</v>
      </c>
      <c r="AH86" s="28" t="s">
        <v>353</v>
      </c>
      <c r="AI86" s="28" t="s">
        <v>354</v>
      </c>
      <c r="AJ86" s="28">
        <v>81</v>
      </c>
      <c r="AK86" s="28"/>
      <c r="AL86" s="28"/>
      <c r="AM86" s="29" t="s">
        <v>114</v>
      </c>
      <c r="AO86" t="str">
        <f t="shared" si="21"/>
        <v>bagado</v>
      </c>
      <c r="AP86" t="str">
        <f t="shared" si="22"/>
        <v>choco</v>
      </c>
      <c r="AQ86" t="b">
        <f t="shared" si="23"/>
        <v>0</v>
      </c>
      <c r="AR86" t="str">
        <f t="shared" si="24"/>
        <v>bagado</v>
      </c>
      <c r="AS86" s="30">
        <f t="shared" si="25"/>
        <v>1</v>
      </c>
      <c r="AT86" s="30">
        <f t="shared" si="26"/>
        <v>1</v>
      </c>
      <c r="AU86" s="30">
        <f t="shared" si="27"/>
        <v>3</v>
      </c>
      <c r="AV86" s="30">
        <f t="shared" si="28"/>
        <v>3</v>
      </c>
      <c r="AZ86" s="31">
        <f t="shared" si="29"/>
        <v>3</v>
      </c>
      <c r="BA86" s="31">
        <f t="shared" si="30"/>
        <v>7</v>
      </c>
      <c r="BB86" s="32">
        <f>IFERROR(INDEX('Análisis general'!$E$4:$E$28,MATCH($B86,'Análisis general'!$B$4:$B$28,0)),"")</f>
        <v>30.8</v>
      </c>
      <c r="BC86" s="31">
        <f t="shared" si="31"/>
        <v>3</v>
      </c>
      <c r="BD86" s="32">
        <f t="shared" si="32"/>
        <v>7.2857142857142856</v>
      </c>
      <c r="BE86" s="32">
        <f t="shared" si="33"/>
        <v>9</v>
      </c>
    </row>
    <row r="87" spans="1:57" ht="25.5" customHeight="1" x14ac:dyDescent="0.25">
      <c r="A87" s="33" t="s">
        <v>355</v>
      </c>
      <c r="B87" s="11" t="s">
        <v>41</v>
      </c>
      <c r="C87" s="34" t="s">
        <v>112</v>
      </c>
      <c r="D87" s="24">
        <f t="shared" si="17"/>
        <v>7</v>
      </c>
      <c r="E87" s="59">
        <f t="shared" si="18"/>
        <v>7.2857142857142856</v>
      </c>
      <c r="F87" s="59">
        <f t="shared" si="19"/>
        <v>9</v>
      </c>
      <c r="G87" s="11" t="s">
        <v>356</v>
      </c>
      <c r="H87" s="25" t="str">
        <f>IFERROR(IF($AQ87,INDEX(cpe!$C$2:$C$307,MATCH($AR87,cpe!$F$2:$F$307,0)),INDEX(cpe!$C$2:$C$307,MATCH($AR87,cpe!$D$2:$D$307,0))),"#N/D")</f>
        <v>IE Hernando Palacios</v>
      </c>
      <c r="I87" s="25" t="str">
        <f>IFERROR(IF($AQ87,INDEX(cpe!$B$2:$B$307,MATCH($AR87,cpe!$F$2:$F$307,0)),INDEX(cpe!$B$2:$B$307,MATCH($AR87,cpe!$D$2:$D$307,0))),"#N/D")</f>
        <v>Barbacoas</v>
      </c>
      <c r="J87" s="26" t="str">
        <f>IF($AQ87,"#N/D",IFERROR(INDEX(Olimpiadas!$B$2:$B$61,MATCH($AO87,Olimpiadas!$C$2:$C$61,0)),"#N/D"))</f>
        <v>#N/D</v>
      </c>
      <c r="K87" s="26" t="str">
        <f>IF($AQ87,"#N/D",IFERROR(INDEX(Olimpiadas!$A$2:$A$61,MATCH($AO87,Olimpiadas!$C$2:$C$61,0)),"#N/D"))</f>
        <v>#N/D</v>
      </c>
      <c r="L87" s="26" t="str">
        <f>IF($AQ87,"#N/D",IFERROR(INDEX(Minculturas!$A$2:$A$48,MATCH($AO87,Minculturas!$C$2:$C$48,0)),"#N/D"))</f>
        <v>#N/D</v>
      </c>
      <c r="M87" s="26" t="str">
        <f>IF($AQ87,"#N/D",IFERROR(INDEX(Minculturas!$B$2:$B$48,MATCH($AO87,Minculturas!$C$2:$C$48,0)),"#N/D"))</f>
        <v>#N/D</v>
      </c>
      <c r="N87" s="27">
        <v>1</v>
      </c>
      <c r="O87" s="28">
        <v>0</v>
      </c>
      <c r="P87" s="28">
        <v>0</v>
      </c>
      <c r="Q87" s="28">
        <v>0</v>
      </c>
      <c r="R87" s="28">
        <v>0</v>
      </c>
      <c r="S87" s="28">
        <v>1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7">
        <f t="shared" si="20"/>
        <v>1</v>
      </c>
      <c r="AH87" s="28"/>
      <c r="AI87" s="28"/>
      <c r="AJ87" s="28">
        <v>76.099999999999994</v>
      </c>
      <c r="AK87" s="28"/>
      <c r="AL87" s="28"/>
      <c r="AM87" s="29" t="s">
        <v>114</v>
      </c>
      <c r="AO87" t="str">
        <f t="shared" si="21"/>
        <v>barbacoas</v>
      </c>
      <c r="AP87" t="str">
        <f t="shared" si="22"/>
        <v>narino</v>
      </c>
      <c r="AQ87" t="b">
        <f t="shared" si="23"/>
        <v>0</v>
      </c>
      <c r="AR87" t="str">
        <f t="shared" si="24"/>
        <v>barbacoas</v>
      </c>
      <c r="AS87" s="30">
        <f t="shared" si="25"/>
        <v>1</v>
      </c>
      <c r="AT87" s="30">
        <f t="shared" si="26"/>
        <v>1</v>
      </c>
      <c r="AU87" s="30">
        <f t="shared" si="27"/>
        <v>3</v>
      </c>
      <c r="AV87" s="30">
        <f t="shared" si="28"/>
        <v>3</v>
      </c>
      <c r="AZ87" s="31">
        <f t="shared" si="29"/>
        <v>3</v>
      </c>
      <c r="BA87" s="31">
        <f t="shared" si="30"/>
        <v>7</v>
      </c>
      <c r="BB87" s="32">
        <f>IFERROR(INDEX('Análisis general'!$E$4:$E$28,MATCH($B87,'Análisis general'!$B$4:$B$28,0)),"")</f>
        <v>13.2</v>
      </c>
      <c r="BC87" s="31">
        <f t="shared" si="31"/>
        <v>3</v>
      </c>
      <c r="BD87" s="32">
        <f t="shared" si="32"/>
        <v>7.2857142857142856</v>
      </c>
      <c r="BE87" s="32">
        <f t="shared" si="33"/>
        <v>9</v>
      </c>
    </row>
    <row r="88" spans="1:57" ht="25.5" customHeight="1" x14ac:dyDescent="0.25">
      <c r="A88" s="33" t="s">
        <v>372</v>
      </c>
      <c r="B88" s="11" t="s">
        <v>10</v>
      </c>
      <c r="C88" s="34" t="s">
        <v>112</v>
      </c>
      <c r="D88" s="24">
        <f t="shared" si="17"/>
        <v>6</v>
      </c>
      <c r="E88" s="59">
        <f t="shared" si="18"/>
        <v>6.4285714285714279</v>
      </c>
      <c r="F88" s="59">
        <f t="shared" si="19"/>
        <v>9</v>
      </c>
      <c r="G88" s="11" t="s">
        <v>373</v>
      </c>
      <c r="H88" s="25" t="str">
        <f>IFERROR(IF($AQ88,INDEX(cpe!$C$2:$C$307,MATCH($AR88,cpe!$F$2:$F$307,0)),INDEX(cpe!$C$2:$C$307,MATCH($AR88,cpe!$D$2:$D$307,0))),"#N/D")</f>
        <v>#N/D</v>
      </c>
      <c r="I88" s="25" t="str">
        <f>IFERROR(IF($AQ88,INDEX(cpe!$B$2:$B$307,MATCH($AR88,cpe!$F$2:$F$307,0)),INDEX(cpe!$B$2:$B$307,MATCH($AR88,cpe!$D$2:$D$307,0))),"#N/D")</f>
        <v>#N/D</v>
      </c>
      <c r="J88" s="26" t="str">
        <f>IF($AQ88,"#N/D",IFERROR(INDEX(Olimpiadas!$B$2:$B$61,MATCH($AO88,Olimpiadas!$C$2:$C$61,0)),"#N/D"))</f>
        <v>#N/D</v>
      </c>
      <c r="K88" s="26" t="str">
        <f>IF($AQ88,"#N/D",IFERROR(INDEX(Olimpiadas!$A$2:$A$61,MATCH($AO88,Olimpiadas!$C$2:$C$61,0)),"#N/D"))</f>
        <v>#N/D</v>
      </c>
      <c r="L88" s="26" t="str">
        <f>IF($AQ88,"#N/D",IFERROR(INDEX(Minculturas!$A$2:$A$48,MATCH($AO88,Minculturas!$C$2:$C$48,0)),"#N/D"))</f>
        <v>#N/D</v>
      </c>
      <c r="M88" s="26" t="str">
        <f>IF($AQ88,"#N/D",IFERROR(INDEX(Minculturas!$B$2:$B$48,MATCH($AO88,Minculturas!$C$2:$C$48,0)),"#N/D"))</f>
        <v>#N/D</v>
      </c>
      <c r="N88" s="27">
        <v>4</v>
      </c>
      <c r="O88" s="28">
        <v>0</v>
      </c>
      <c r="P88" s="28">
        <v>2</v>
      </c>
      <c r="Q88" s="28">
        <v>0</v>
      </c>
      <c r="R88" s="28">
        <v>0</v>
      </c>
      <c r="S88" s="28">
        <v>1</v>
      </c>
      <c r="T88" s="28">
        <v>1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7">
        <f t="shared" si="20"/>
        <v>4</v>
      </c>
      <c r="AH88" s="28"/>
      <c r="AI88" s="28"/>
      <c r="AJ88" s="28">
        <v>36.9</v>
      </c>
      <c r="AK88" s="28"/>
      <c r="AL88" s="28"/>
      <c r="AM88" s="29" t="s">
        <v>114</v>
      </c>
      <c r="AO88" t="str">
        <f t="shared" si="21"/>
        <v>hispania</v>
      </c>
      <c r="AP88" t="str">
        <f t="shared" si="22"/>
        <v>antioquia</v>
      </c>
      <c r="AQ88" t="b">
        <f t="shared" si="23"/>
        <v>0</v>
      </c>
      <c r="AR88" t="str">
        <f t="shared" si="24"/>
        <v>hispania</v>
      </c>
      <c r="AS88" s="30">
        <f t="shared" si="25"/>
        <v>0</v>
      </c>
      <c r="AT88" s="30">
        <f t="shared" si="26"/>
        <v>4</v>
      </c>
      <c r="AU88" s="30">
        <f t="shared" si="27"/>
        <v>3</v>
      </c>
      <c r="AV88" s="30">
        <f t="shared" si="28"/>
        <v>3</v>
      </c>
      <c r="AZ88" s="31">
        <f t="shared" si="29"/>
        <v>3</v>
      </c>
      <c r="BA88" s="31">
        <f t="shared" si="30"/>
        <v>6</v>
      </c>
      <c r="BB88" s="32">
        <f>IFERROR(INDEX('Análisis general'!$E$4:$E$28,MATCH($B88,'Análisis general'!$B$4:$B$28,0)),"")</f>
        <v>9.5</v>
      </c>
      <c r="BC88" s="31">
        <f t="shared" si="31"/>
        <v>3</v>
      </c>
      <c r="BD88" s="32">
        <f t="shared" si="32"/>
        <v>6.4285714285714279</v>
      </c>
      <c r="BE88" s="32">
        <f t="shared" si="33"/>
        <v>9</v>
      </c>
    </row>
    <row r="89" spans="1:57" ht="25.5" customHeight="1" x14ac:dyDescent="0.25">
      <c r="A89" s="33" t="s">
        <v>376</v>
      </c>
      <c r="B89" s="11" t="s">
        <v>24</v>
      </c>
      <c r="C89" s="34" t="s">
        <v>112</v>
      </c>
      <c r="D89" s="24">
        <f t="shared" si="17"/>
        <v>6</v>
      </c>
      <c r="E89" s="59">
        <f t="shared" si="18"/>
        <v>6.4285714285714279</v>
      </c>
      <c r="F89" s="59">
        <f t="shared" si="19"/>
        <v>9</v>
      </c>
      <c r="G89" s="11" t="s">
        <v>377</v>
      </c>
      <c r="H89" s="25" t="str">
        <f>IFERROR(IF($AQ89,INDEX(cpe!$C$2:$C$307,MATCH($AR89,cpe!$F$2:$F$307,0)),INDEX(cpe!$C$2:$C$307,MATCH($AR89,cpe!$D$2:$D$307,0))),"#N/D")</f>
        <v>#N/D</v>
      </c>
      <c r="I89" s="25" t="str">
        <f>IFERROR(IF($AQ89,INDEX(cpe!$B$2:$B$307,MATCH($AR89,cpe!$F$2:$F$307,0)),INDEX(cpe!$B$2:$B$307,MATCH($AR89,cpe!$D$2:$D$307,0))),"#N/D")</f>
        <v>#N/D</v>
      </c>
      <c r="J89" s="26" t="str">
        <f>IF($AQ89,"#N/D",IFERROR(INDEX(Olimpiadas!$B$2:$B$61,MATCH($AO89,Olimpiadas!$C$2:$C$61,0)),"#N/D"))</f>
        <v>#N/D</v>
      </c>
      <c r="K89" s="26" t="str">
        <f>IF($AQ89,"#N/D",IFERROR(INDEX(Olimpiadas!$A$2:$A$61,MATCH($AO89,Olimpiadas!$C$2:$C$61,0)),"#N/D"))</f>
        <v>#N/D</v>
      </c>
      <c r="L89" s="26" t="str">
        <f>IF($AQ89,"#N/D",IFERROR(INDEX(Minculturas!$A$2:$A$48,MATCH($AO89,Minculturas!$C$2:$C$48,0)),"#N/D"))</f>
        <v>#N/D</v>
      </c>
      <c r="M89" s="26" t="str">
        <f>IF($AQ89,"#N/D",IFERROR(INDEX(Minculturas!$B$2:$B$48,MATCH($AO89,Minculturas!$C$2:$C$48,0)),"#N/D"))</f>
        <v>#N/D</v>
      </c>
      <c r="N89" s="27">
        <v>4</v>
      </c>
      <c r="O89" s="28">
        <v>0</v>
      </c>
      <c r="P89" s="45">
        <v>2</v>
      </c>
      <c r="Q89" s="45">
        <v>0</v>
      </c>
      <c r="R89" s="45">
        <v>0</v>
      </c>
      <c r="S89" s="45">
        <v>1</v>
      </c>
      <c r="T89" s="45">
        <v>0</v>
      </c>
      <c r="U89" s="45">
        <v>1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27">
        <f t="shared" si="20"/>
        <v>4</v>
      </c>
      <c r="AH89" s="45"/>
      <c r="AI89" s="45"/>
      <c r="AJ89" s="28">
        <v>26.8</v>
      </c>
      <c r="AK89" s="28"/>
      <c r="AL89" s="28"/>
      <c r="AM89" s="29" t="s">
        <v>114</v>
      </c>
      <c r="AO89" t="str">
        <f t="shared" si="21"/>
        <v>la dorada</v>
      </c>
      <c r="AP89" t="str">
        <f t="shared" si="22"/>
        <v>caldas</v>
      </c>
      <c r="AQ89" t="b">
        <f t="shared" si="23"/>
        <v>0</v>
      </c>
      <c r="AR89" t="str">
        <f t="shared" si="24"/>
        <v>la dorada</v>
      </c>
      <c r="AS89" s="30">
        <f t="shared" si="25"/>
        <v>0</v>
      </c>
      <c r="AT89" s="30">
        <f t="shared" si="26"/>
        <v>4</v>
      </c>
      <c r="AU89" s="30">
        <f t="shared" si="27"/>
        <v>3</v>
      </c>
      <c r="AV89" s="30">
        <f t="shared" si="28"/>
        <v>3</v>
      </c>
      <c r="AZ89" s="31">
        <f t="shared" si="29"/>
        <v>3</v>
      </c>
      <c r="BA89" s="31">
        <f t="shared" si="30"/>
        <v>6</v>
      </c>
      <c r="BB89" s="32">
        <f>IFERROR(INDEX('Análisis general'!$E$4:$E$28,MATCH($B89,'Análisis general'!$B$4:$B$28,0)),"")</f>
        <v>7.9</v>
      </c>
      <c r="BC89" s="31">
        <f t="shared" si="31"/>
        <v>3</v>
      </c>
      <c r="BD89" s="32">
        <f t="shared" si="32"/>
        <v>6.4285714285714279</v>
      </c>
      <c r="BE89" s="32">
        <f t="shared" si="33"/>
        <v>9</v>
      </c>
    </row>
    <row r="90" spans="1:57" ht="25.5" customHeight="1" x14ac:dyDescent="0.25">
      <c r="A90" s="33" t="s">
        <v>396</v>
      </c>
      <c r="B90" s="11" t="s">
        <v>24</v>
      </c>
      <c r="C90" s="34" t="s">
        <v>112</v>
      </c>
      <c r="D90" s="24">
        <f t="shared" si="17"/>
        <v>6</v>
      </c>
      <c r="E90" s="59">
        <f t="shared" si="18"/>
        <v>6.4285714285714279</v>
      </c>
      <c r="F90" s="59">
        <f t="shared" si="19"/>
        <v>9</v>
      </c>
      <c r="G90" s="11" t="s">
        <v>397</v>
      </c>
      <c r="H90" s="25" t="s">
        <v>106</v>
      </c>
      <c r="I90" s="25" t="s">
        <v>106</v>
      </c>
      <c r="J90" s="26" t="s">
        <v>106</v>
      </c>
      <c r="K90" s="26" t="str">
        <f>IF($AQ90,"#N/D",IFERROR(INDEX(Olimpiadas!$A$2:$A$61,MATCH($AO90,Olimpiadas!$C$2:$C$61,0)),"#N/D"))</f>
        <v>#N/D</v>
      </c>
      <c r="L90" s="26" t="str">
        <f>IF($AQ90,"#N/D",IFERROR(INDEX(Minculturas!$A$2:$A$48,MATCH($AO90,Minculturas!$C$2:$C$48,0)),"#N/D"))</f>
        <v>#N/D</v>
      </c>
      <c r="M90" s="26" t="str">
        <f>IF($AQ90,"#N/D",IFERROR(INDEX(Minculturas!$B$2:$B$48,MATCH($AO90,Minculturas!$C$2:$C$48,0)),"#N/D"))</f>
        <v>#N/D</v>
      </c>
      <c r="N90" s="27">
        <v>6</v>
      </c>
      <c r="O90" s="28">
        <v>0</v>
      </c>
      <c r="P90" s="47">
        <v>3</v>
      </c>
      <c r="Q90" s="47">
        <v>0</v>
      </c>
      <c r="R90" s="47">
        <v>1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2</v>
      </c>
      <c r="AC90" s="47">
        <v>0</v>
      </c>
      <c r="AD90" s="47">
        <v>0</v>
      </c>
      <c r="AE90" s="47">
        <v>0</v>
      </c>
      <c r="AF90" s="47">
        <v>0</v>
      </c>
      <c r="AG90" s="27">
        <f t="shared" si="20"/>
        <v>4</v>
      </c>
      <c r="AH90" s="28"/>
      <c r="AI90" s="28"/>
      <c r="AJ90" s="28">
        <v>31.3</v>
      </c>
      <c r="AK90" s="28"/>
      <c r="AL90" s="28"/>
      <c r="AM90" s="29" t="s">
        <v>114</v>
      </c>
      <c r="AO90" t="str">
        <f t="shared" si="21"/>
        <v>supia</v>
      </c>
      <c r="AP90" t="str">
        <f t="shared" si="22"/>
        <v>caldas</v>
      </c>
      <c r="AQ90" t="b">
        <f t="shared" si="23"/>
        <v>0</v>
      </c>
      <c r="AR90" t="str">
        <f t="shared" si="24"/>
        <v>supia</v>
      </c>
      <c r="AS90" s="30">
        <f t="shared" si="25"/>
        <v>0</v>
      </c>
      <c r="AT90" s="30">
        <f t="shared" si="26"/>
        <v>4</v>
      </c>
      <c r="AU90" s="30">
        <f t="shared" si="27"/>
        <v>3</v>
      </c>
      <c r="AV90" s="30">
        <f t="shared" si="28"/>
        <v>3</v>
      </c>
      <c r="AZ90" s="31">
        <f t="shared" si="29"/>
        <v>3</v>
      </c>
      <c r="BA90" s="31">
        <f t="shared" si="30"/>
        <v>6</v>
      </c>
      <c r="BB90" s="32">
        <f>IFERROR(INDEX('Análisis general'!$E$4:$E$28,MATCH($B90,'Análisis general'!$B$4:$B$28,0)),"")</f>
        <v>7.9</v>
      </c>
      <c r="BC90" s="31">
        <f t="shared" si="31"/>
        <v>3</v>
      </c>
      <c r="BD90" s="32">
        <f t="shared" si="32"/>
        <v>6.4285714285714279</v>
      </c>
      <c r="BE90" s="32">
        <f t="shared" si="33"/>
        <v>9</v>
      </c>
    </row>
    <row r="91" spans="1:57" ht="25.5" customHeight="1" x14ac:dyDescent="0.25">
      <c r="A91" s="33" t="s">
        <v>400</v>
      </c>
      <c r="B91" s="11" t="s">
        <v>10</v>
      </c>
      <c r="C91" s="34" t="s">
        <v>112</v>
      </c>
      <c r="D91" s="24">
        <f t="shared" si="17"/>
        <v>6</v>
      </c>
      <c r="E91" s="59">
        <f t="shared" si="18"/>
        <v>6.4285714285714279</v>
      </c>
      <c r="F91" s="59">
        <f t="shared" si="19"/>
        <v>9</v>
      </c>
      <c r="G91" s="11" t="s">
        <v>401</v>
      </c>
      <c r="H91" s="25" t="s">
        <v>106</v>
      </c>
      <c r="I91" s="25" t="s">
        <v>106</v>
      </c>
      <c r="J91" s="26" t="s">
        <v>106</v>
      </c>
      <c r="K91" s="26" t="str">
        <f>IF($AQ91,"#N/D",IFERROR(INDEX(Olimpiadas!$A$2:$A$61,MATCH($AO91,Olimpiadas!$C$2:$C$61,0)),"#N/D"))</f>
        <v>#N/D</v>
      </c>
      <c r="L91" s="26" t="str">
        <f>IF($AQ91,"#N/D",IFERROR(INDEX(Minculturas!$A$2:$A$48,MATCH($AO91,Minculturas!$C$2:$C$48,0)),"#N/D"))</f>
        <v>#N/D</v>
      </c>
      <c r="M91" s="26" t="str">
        <f>IF($AQ91,"#N/D",IFERROR(INDEX(Minculturas!$B$2:$B$48,MATCH($AO91,Minculturas!$C$2:$C$48,0)),"#N/D"))</f>
        <v>#N/D</v>
      </c>
      <c r="N91" s="27">
        <v>4</v>
      </c>
      <c r="O91" s="28">
        <v>0</v>
      </c>
      <c r="P91" s="49">
        <v>1</v>
      </c>
      <c r="Q91" s="49">
        <v>0</v>
      </c>
      <c r="R91" s="49">
        <v>0</v>
      </c>
      <c r="S91" s="49">
        <v>3</v>
      </c>
      <c r="T91" s="49">
        <v>0</v>
      </c>
      <c r="U91" s="49">
        <v>0</v>
      </c>
      <c r="V91" s="49">
        <v>0</v>
      </c>
      <c r="W91" s="49">
        <v>0</v>
      </c>
      <c r="X91" s="49">
        <v>0</v>
      </c>
      <c r="Y91" s="49">
        <v>0</v>
      </c>
      <c r="Z91" s="49">
        <v>0</v>
      </c>
      <c r="AA91" s="49">
        <v>0</v>
      </c>
      <c r="AB91" s="49">
        <v>0</v>
      </c>
      <c r="AC91" s="49">
        <v>0</v>
      </c>
      <c r="AD91" s="49">
        <v>0</v>
      </c>
      <c r="AE91" s="49">
        <v>0</v>
      </c>
      <c r="AF91" s="49">
        <v>0</v>
      </c>
      <c r="AG91" s="27">
        <f t="shared" si="20"/>
        <v>4</v>
      </c>
      <c r="AH91" s="49"/>
      <c r="AI91" s="49"/>
      <c r="AJ91" s="49">
        <v>46.1</v>
      </c>
      <c r="AK91" s="28"/>
      <c r="AL91" s="28"/>
      <c r="AM91" s="29" t="s">
        <v>114</v>
      </c>
      <c r="AO91" t="str">
        <f t="shared" si="21"/>
        <v>urrao</v>
      </c>
      <c r="AP91" t="str">
        <f t="shared" si="22"/>
        <v>antioquia</v>
      </c>
      <c r="AQ91" t="b">
        <f t="shared" si="23"/>
        <v>0</v>
      </c>
      <c r="AR91" t="str">
        <f t="shared" si="24"/>
        <v>urrao</v>
      </c>
      <c r="AS91" s="30">
        <f t="shared" si="25"/>
        <v>0</v>
      </c>
      <c r="AT91" s="30">
        <f t="shared" si="26"/>
        <v>4</v>
      </c>
      <c r="AU91" s="30">
        <f t="shared" si="27"/>
        <v>3</v>
      </c>
      <c r="AV91" s="30">
        <f t="shared" si="28"/>
        <v>3</v>
      </c>
      <c r="AZ91" s="31">
        <f t="shared" si="29"/>
        <v>3</v>
      </c>
      <c r="BA91" s="31">
        <f t="shared" si="30"/>
        <v>6</v>
      </c>
      <c r="BB91" s="32">
        <f>IFERROR(INDEX('Análisis general'!$E$4:$E$28,MATCH($B91,'Análisis general'!$B$4:$B$28,0)),"")</f>
        <v>9.5</v>
      </c>
      <c r="BC91" s="31">
        <f t="shared" si="31"/>
        <v>3</v>
      </c>
      <c r="BD91" s="32">
        <f t="shared" si="32"/>
        <v>6.4285714285714279</v>
      </c>
      <c r="BE91" s="32">
        <f t="shared" si="33"/>
        <v>9</v>
      </c>
    </row>
    <row r="92" spans="1:57" ht="25.5" customHeight="1" x14ac:dyDescent="0.25">
      <c r="A92" s="33" t="s">
        <v>404</v>
      </c>
      <c r="B92" s="11" t="s">
        <v>24</v>
      </c>
      <c r="C92" s="34" t="s">
        <v>112</v>
      </c>
      <c r="D92" s="24">
        <f t="shared" si="17"/>
        <v>6</v>
      </c>
      <c r="E92" s="59">
        <f t="shared" si="18"/>
        <v>6.4285714285714279</v>
      </c>
      <c r="F92" s="59">
        <f t="shared" si="19"/>
        <v>9</v>
      </c>
      <c r="G92" s="11" t="s">
        <v>405</v>
      </c>
      <c r="H92" s="25" t="s">
        <v>106</v>
      </c>
      <c r="I92" s="25" t="s">
        <v>106</v>
      </c>
      <c r="J92" s="26" t="s">
        <v>106</v>
      </c>
      <c r="K92" s="26" t="str">
        <f>IF($AQ92,"#N/D",IFERROR(INDEX(Olimpiadas!$A$2:$A$61,MATCH($AO92,Olimpiadas!$C$2:$C$61,0)),"#N/D"))</f>
        <v>#N/D</v>
      </c>
      <c r="L92" s="26" t="str">
        <f>IF($AQ92,"#N/D",IFERROR(INDEX(Minculturas!$A$2:$A$48,MATCH($AO92,Minculturas!$C$2:$C$48,0)),"#N/D"))</f>
        <v>#N/D</v>
      </c>
      <c r="M92" s="26" t="str">
        <f>IF($AQ92,"#N/D",IFERROR(INDEX(Minculturas!$B$2:$B$48,MATCH($AO92,Minculturas!$C$2:$C$48,0)),"#N/D"))</f>
        <v>#N/D</v>
      </c>
      <c r="N92" s="27">
        <v>4</v>
      </c>
      <c r="O92" s="28">
        <v>0</v>
      </c>
      <c r="P92" s="28">
        <v>1</v>
      </c>
      <c r="Q92" s="28">
        <v>0</v>
      </c>
      <c r="R92" s="28">
        <v>1</v>
      </c>
      <c r="S92" s="28">
        <v>2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7">
        <f t="shared" si="20"/>
        <v>4</v>
      </c>
      <c r="AH92" s="28"/>
      <c r="AI92" s="28"/>
      <c r="AJ92" s="28">
        <v>34.9</v>
      </c>
      <c r="AK92" s="28"/>
      <c r="AL92" s="28"/>
      <c r="AM92" s="29" t="s">
        <v>246</v>
      </c>
      <c r="AO92" t="str">
        <f t="shared" si="21"/>
        <v>victoria</v>
      </c>
      <c r="AP92" t="str">
        <f t="shared" si="22"/>
        <v>caldas</v>
      </c>
      <c r="AQ92" t="b">
        <f t="shared" si="23"/>
        <v>0</v>
      </c>
      <c r="AR92" t="str">
        <f t="shared" si="24"/>
        <v>victoria</v>
      </c>
      <c r="AS92" s="30">
        <f t="shared" si="25"/>
        <v>0</v>
      </c>
      <c r="AT92" s="30">
        <f t="shared" si="26"/>
        <v>4</v>
      </c>
      <c r="AU92" s="30">
        <f t="shared" si="27"/>
        <v>3</v>
      </c>
      <c r="AV92" s="30">
        <f t="shared" si="28"/>
        <v>3</v>
      </c>
      <c r="AZ92" s="31">
        <f t="shared" si="29"/>
        <v>3</v>
      </c>
      <c r="BA92" s="31">
        <f t="shared" si="30"/>
        <v>6</v>
      </c>
      <c r="BB92" s="32">
        <f>IFERROR(INDEX('Análisis general'!$E$4:$E$28,MATCH($B92,'Análisis general'!$B$4:$B$28,0)),"")</f>
        <v>7.9</v>
      </c>
      <c r="BC92" s="31">
        <f t="shared" si="31"/>
        <v>3</v>
      </c>
      <c r="BD92" s="32">
        <f t="shared" si="32"/>
        <v>6.4285714285714279</v>
      </c>
      <c r="BE92" s="32">
        <f t="shared" si="33"/>
        <v>9</v>
      </c>
    </row>
    <row r="93" spans="1:57" ht="25.5" customHeight="1" x14ac:dyDescent="0.25">
      <c r="A93" s="33" t="s">
        <v>357</v>
      </c>
      <c r="B93" s="11" t="s">
        <v>10</v>
      </c>
      <c r="C93" s="34" t="s">
        <v>112</v>
      </c>
      <c r="D93" s="24">
        <f t="shared" si="17"/>
        <v>6</v>
      </c>
      <c r="E93" s="59">
        <f t="shared" si="18"/>
        <v>6.4285714285714279</v>
      </c>
      <c r="F93" s="59">
        <f t="shared" si="19"/>
        <v>9</v>
      </c>
      <c r="G93" s="44" t="s">
        <v>358</v>
      </c>
      <c r="H93" s="25" t="str">
        <f>IFERROR(IF($AQ93,INDEX(cpe!$C$2:$C$307,MATCH($AR93,cpe!$F$2:$F$307,0)),INDEX(cpe!$C$2:$C$307,MATCH($AR93,cpe!$D$2:$D$307,0))),"#N/D")</f>
        <v>#N/D</v>
      </c>
      <c r="I93" s="25" t="str">
        <f>IFERROR(IF($AQ93,INDEX(cpe!$B$2:$B$307,MATCH($AR93,cpe!$F$2:$F$307,0)),INDEX(cpe!$B$2:$B$307,MATCH($AR93,cpe!$D$2:$D$307,0))),"#N/D")</f>
        <v>#N/D</v>
      </c>
      <c r="J93" s="25" t="str">
        <f>IF($AQ93,"#N/D",IFERROR(INDEX(Olimpiadas!$B$2:$B$61,MATCH($AO93,Olimpiadas!$C$2:$C$61,0)),"#N/D"))</f>
        <v>#N/D</v>
      </c>
      <c r="K93" s="25" t="str">
        <f>IF($AQ93,"#N/D",IFERROR(INDEX(Olimpiadas!$A$2:$A$61,MATCH($AO93,Olimpiadas!$C$2:$C$61,0)),"#N/D"))</f>
        <v>#N/D</v>
      </c>
      <c r="L93" s="25" t="str">
        <f>IF($AQ93,"#N/D",IFERROR(INDEX(Minculturas!$A$2:$A$48,MATCH($AO93,Minculturas!$C$2:$C$48,0)),"#N/D"))</f>
        <v>#N/D</v>
      </c>
      <c r="M93" s="25" t="str">
        <f>IF($AQ93,"#N/D",IFERROR(INDEX(Minculturas!$B$2:$B$48,MATCH($AO93,Minculturas!$C$2:$C$48,0)),"#N/D"))</f>
        <v>#N/D</v>
      </c>
      <c r="N93" s="27">
        <v>3</v>
      </c>
      <c r="O93" s="28">
        <v>0</v>
      </c>
      <c r="P93" s="28">
        <v>0</v>
      </c>
      <c r="Q93" s="28">
        <v>1</v>
      </c>
      <c r="R93" s="28">
        <v>0</v>
      </c>
      <c r="S93" s="28">
        <v>0</v>
      </c>
      <c r="T93" s="28">
        <v>2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7">
        <f t="shared" si="20"/>
        <v>3</v>
      </c>
      <c r="AH93" s="28"/>
      <c r="AI93" s="28"/>
      <c r="AJ93" s="28">
        <v>40.6</v>
      </c>
      <c r="AK93" s="28"/>
      <c r="AL93" s="28"/>
      <c r="AM93" s="29" t="s">
        <v>114</v>
      </c>
      <c r="AO93" t="str">
        <f t="shared" si="21"/>
        <v>abejorral</v>
      </c>
      <c r="AP93" t="str">
        <f t="shared" si="22"/>
        <v>antioquia</v>
      </c>
      <c r="AQ93" t="b">
        <f t="shared" si="23"/>
        <v>0</v>
      </c>
      <c r="AR93" t="str">
        <f t="shared" si="24"/>
        <v>abejorral</v>
      </c>
      <c r="AS93" s="30">
        <f t="shared" si="25"/>
        <v>0</v>
      </c>
      <c r="AT93" s="30">
        <f t="shared" si="26"/>
        <v>3</v>
      </c>
      <c r="AU93" s="30">
        <f t="shared" si="27"/>
        <v>3</v>
      </c>
      <c r="AV93" s="30">
        <f t="shared" si="28"/>
        <v>3</v>
      </c>
      <c r="AZ93" s="31">
        <f t="shared" si="29"/>
        <v>3</v>
      </c>
      <c r="BA93" s="31">
        <f t="shared" si="30"/>
        <v>6</v>
      </c>
      <c r="BB93" s="32">
        <f>IFERROR(INDEX('Análisis general'!$E$4:$E$28,MATCH($B93,'Análisis general'!$B$4:$B$28,0)),"")</f>
        <v>9.5</v>
      </c>
      <c r="BC93" s="31">
        <f t="shared" si="31"/>
        <v>3</v>
      </c>
      <c r="BD93" s="32">
        <f t="shared" si="32"/>
        <v>6.4285714285714279</v>
      </c>
      <c r="BE93" s="32">
        <f t="shared" si="33"/>
        <v>9</v>
      </c>
    </row>
    <row r="94" spans="1:57" ht="25.5" customHeight="1" x14ac:dyDescent="0.25">
      <c r="A94" s="33" t="s">
        <v>359</v>
      </c>
      <c r="B94" s="11" t="s">
        <v>10</v>
      </c>
      <c r="C94" s="34" t="s">
        <v>112</v>
      </c>
      <c r="D94" s="24">
        <f t="shared" si="17"/>
        <v>6</v>
      </c>
      <c r="E94" s="59">
        <f t="shared" si="18"/>
        <v>6.4285714285714279</v>
      </c>
      <c r="F94" s="59">
        <f t="shared" si="19"/>
        <v>9</v>
      </c>
      <c r="G94" s="11" t="s">
        <v>360</v>
      </c>
      <c r="H94" s="25" t="str">
        <f>IFERROR(IF($AQ94,INDEX(cpe!$C$2:$C$307,MATCH($AR94,cpe!$F$2:$F$307,0)),INDEX(cpe!$C$2:$C$307,MATCH($AR94,cpe!$D$2:$D$307,0))),"#N/D")</f>
        <v>#N/D</v>
      </c>
      <c r="I94" s="25" t="str">
        <f>IFERROR(IF($AQ94,INDEX(cpe!$B$2:$B$307,MATCH($AR94,cpe!$F$2:$F$307,0)),INDEX(cpe!$B$2:$B$307,MATCH($AR94,cpe!$D$2:$D$307,0))),"#N/D")</f>
        <v>#N/D</v>
      </c>
      <c r="J94" s="26" t="str">
        <f>IF($AQ94,"#N/D",IFERROR(INDEX(Olimpiadas!$B$2:$B$61,MATCH($AO94,Olimpiadas!$C$2:$C$61,0)),"#N/D"))</f>
        <v>#N/D</v>
      </c>
      <c r="K94" s="26" t="str">
        <f>IF($AQ94,"#N/D",IFERROR(INDEX(Olimpiadas!$A$2:$A$61,MATCH($AO94,Olimpiadas!$C$2:$C$61,0)),"#N/D"))</f>
        <v>#N/D</v>
      </c>
      <c r="L94" s="26" t="str">
        <f>IF($AQ94,"#N/D",IFERROR(INDEX(Minculturas!$A$2:$A$48,MATCH($AO94,Minculturas!$C$2:$C$48,0)),"#N/D"))</f>
        <v>#N/D</v>
      </c>
      <c r="M94" s="26" t="str">
        <f>IF($AQ94,"#N/D",IFERROR(INDEX(Minculturas!$B$2:$B$48,MATCH($AO94,Minculturas!$C$2:$C$48,0)),"#N/D"))</f>
        <v>#N/D</v>
      </c>
      <c r="N94" s="27">
        <v>3</v>
      </c>
      <c r="O94" s="28">
        <v>0</v>
      </c>
      <c r="P94" s="28">
        <v>1</v>
      </c>
      <c r="Q94" s="28">
        <v>0</v>
      </c>
      <c r="R94" s="28">
        <v>0</v>
      </c>
      <c r="S94" s="28">
        <v>0</v>
      </c>
      <c r="T94" s="28">
        <v>2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7">
        <f t="shared" si="20"/>
        <v>3</v>
      </c>
      <c r="AH94" s="28"/>
      <c r="AI94" s="28"/>
      <c r="AJ94" s="28">
        <v>30.5</v>
      </c>
      <c r="AK94" s="28"/>
      <c r="AL94" s="28"/>
      <c r="AM94" s="29" t="s">
        <v>114</v>
      </c>
      <c r="AO94" t="str">
        <f t="shared" si="21"/>
        <v>caramanta</v>
      </c>
      <c r="AP94" t="str">
        <f t="shared" si="22"/>
        <v>antioquia</v>
      </c>
      <c r="AQ94" t="b">
        <f t="shared" si="23"/>
        <v>0</v>
      </c>
      <c r="AR94" t="str">
        <f t="shared" si="24"/>
        <v>caramanta</v>
      </c>
      <c r="AS94" s="30">
        <f t="shared" si="25"/>
        <v>0</v>
      </c>
      <c r="AT94" s="30">
        <f t="shared" si="26"/>
        <v>3</v>
      </c>
      <c r="AU94" s="30">
        <f t="shared" si="27"/>
        <v>3</v>
      </c>
      <c r="AV94" s="30">
        <f t="shared" si="28"/>
        <v>3</v>
      </c>
      <c r="AZ94" s="31">
        <f t="shared" si="29"/>
        <v>3</v>
      </c>
      <c r="BA94" s="31">
        <f t="shared" si="30"/>
        <v>6</v>
      </c>
      <c r="BB94" s="32">
        <f>IFERROR(INDEX('Análisis general'!$E$4:$E$28,MATCH($B94,'Análisis general'!$B$4:$B$28,0)),"")</f>
        <v>9.5</v>
      </c>
      <c r="BC94" s="31">
        <f t="shared" si="31"/>
        <v>3</v>
      </c>
      <c r="BD94" s="32">
        <f t="shared" si="32"/>
        <v>6.4285714285714279</v>
      </c>
      <c r="BE94" s="32">
        <f t="shared" si="33"/>
        <v>9</v>
      </c>
    </row>
    <row r="95" spans="1:57" ht="25.5" customHeight="1" x14ac:dyDescent="0.25">
      <c r="A95" s="33" t="s">
        <v>366</v>
      </c>
      <c r="B95" s="11" t="s">
        <v>24</v>
      </c>
      <c r="C95" s="34" t="s">
        <v>112</v>
      </c>
      <c r="D95" s="24">
        <f t="shared" si="17"/>
        <v>6</v>
      </c>
      <c r="E95" s="59">
        <f t="shared" si="18"/>
        <v>6.4285714285714279</v>
      </c>
      <c r="F95" s="59">
        <f t="shared" si="19"/>
        <v>9</v>
      </c>
      <c r="G95" s="11" t="s">
        <v>367</v>
      </c>
      <c r="H95" s="25" t="str">
        <f>IFERROR(IF($AQ95,INDEX(cpe!$C$2:$C$307,MATCH($AR95,cpe!$F$2:$F$307,0)),INDEX(cpe!$C$2:$C$307,MATCH($AR95,cpe!$D$2:$D$307,0))),"#N/D")</f>
        <v>#N/D</v>
      </c>
      <c r="I95" s="25" t="str">
        <f>IFERROR(IF($AQ95,INDEX(cpe!$B$2:$B$307,MATCH($AR95,cpe!$F$2:$F$307,0)),INDEX(cpe!$B$2:$B$307,MATCH($AR95,cpe!$D$2:$D$307,0))),"#N/D")</f>
        <v>#N/D</v>
      </c>
      <c r="J95" s="26" t="str">
        <f>IF($AQ95,"#N/D",IFERROR(INDEX(Olimpiadas!$B$2:$B$61,MATCH($AO95,Olimpiadas!$C$2:$C$61,0)),"#N/D"))</f>
        <v>#N/D</v>
      </c>
      <c r="K95" s="26" t="str">
        <f>IF($AQ95,"#N/D",IFERROR(INDEX(Olimpiadas!$A$2:$A$61,MATCH($AO95,Olimpiadas!$C$2:$C$61,0)),"#N/D"))</f>
        <v>#N/D</v>
      </c>
      <c r="L95" s="26" t="str">
        <f>IF($AQ95,"#N/D",IFERROR(INDEX(Minculturas!$A$2:$A$48,MATCH($AO95,Minculturas!$C$2:$C$48,0)),"#N/D"))</f>
        <v>#N/D</v>
      </c>
      <c r="M95" s="26" t="str">
        <f>IF($AQ95,"#N/D",IFERROR(INDEX(Minculturas!$B$2:$B$48,MATCH($AO95,Minculturas!$C$2:$C$48,0)),"#N/D"))</f>
        <v>#N/D</v>
      </c>
      <c r="N95" s="27">
        <v>3</v>
      </c>
      <c r="O95" s="28">
        <v>0</v>
      </c>
      <c r="P95" s="28">
        <v>1</v>
      </c>
      <c r="Q95" s="28">
        <v>0</v>
      </c>
      <c r="R95" s="28">
        <v>1</v>
      </c>
      <c r="S95" s="28">
        <v>1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7">
        <f t="shared" si="20"/>
        <v>3</v>
      </c>
      <c r="AH95" s="38" t="s">
        <v>368</v>
      </c>
      <c r="AI95" s="38" t="s">
        <v>369</v>
      </c>
      <c r="AJ95" s="28">
        <v>36.200000000000003</v>
      </c>
      <c r="AK95" s="28"/>
      <c r="AL95" s="28"/>
      <c r="AM95" s="29" t="s">
        <v>114</v>
      </c>
      <c r="AO95" t="str">
        <f t="shared" si="21"/>
        <v>filadelfia</v>
      </c>
      <c r="AP95" t="str">
        <f t="shared" si="22"/>
        <v>caldas</v>
      </c>
      <c r="AQ95" t="b">
        <f t="shared" si="23"/>
        <v>0</v>
      </c>
      <c r="AR95" t="str">
        <f t="shared" si="24"/>
        <v>filadelfia</v>
      </c>
      <c r="AS95" s="30">
        <f t="shared" si="25"/>
        <v>0</v>
      </c>
      <c r="AT95" s="30">
        <f t="shared" si="26"/>
        <v>3</v>
      </c>
      <c r="AU95" s="30">
        <f t="shared" si="27"/>
        <v>3</v>
      </c>
      <c r="AV95" s="30">
        <f t="shared" si="28"/>
        <v>3</v>
      </c>
      <c r="AZ95" s="31">
        <f t="shared" si="29"/>
        <v>3</v>
      </c>
      <c r="BA95" s="31">
        <f t="shared" si="30"/>
        <v>6</v>
      </c>
      <c r="BB95" s="32">
        <f>IFERROR(INDEX('Análisis general'!$E$4:$E$28,MATCH($B95,'Análisis general'!$B$4:$B$28,0)),"")</f>
        <v>7.9</v>
      </c>
      <c r="BC95" s="31">
        <f t="shared" si="31"/>
        <v>3</v>
      </c>
      <c r="BD95" s="32">
        <f t="shared" si="32"/>
        <v>6.4285714285714279</v>
      </c>
      <c r="BE95" s="32">
        <f t="shared" si="33"/>
        <v>9</v>
      </c>
    </row>
    <row r="96" spans="1:57" ht="25.5" customHeight="1" x14ac:dyDescent="0.25">
      <c r="A96" s="33" t="s">
        <v>370</v>
      </c>
      <c r="B96" s="11" t="s">
        <v>10</v>
      </c>
      <c r="C96" s="34" t="s">
        <v>112</v>
      </c>
      <c r="D96" s="24">
        <f t="shared" si="17"/>
        <v>6</v>
      </c>
      <c r="E96" s="59">
        <f t="shared" si="18"/>
        <v>6.4285714285714279</v>
      </c>
      <c r="F96" s="59">
        <f t="shared" si="19"/>
        <v>9</v>
      </c>
      <c r="G96" s="11" t="s">
        <v>371</v>
      </c>
      <c r="H96" s="25" t="str">
        <f>IFERROR(IF($AQ96,INDEX(cpe!$C$2:$C$307,MATCH($AR96,cpe!$F$2:$F$307,0)),INDEX(cpe!$C$2:$C$307,MATCH($AR96,cpe!$D$2:$D$307,0))),"#N/D")</f>
        <v>#N/D</v>
      </c>
      <c r="I96" s="25" t="str">
        <f>IFERROR(IF($AQ96,INDEX(cpe!$B$2:$B$307,MATCH($AR96,cpe!$F$2:$F$307,0)),INDEX(cpe!$B$2:$B$307,MATCH($AR96,cpe!$D$2:$D$307,0))),"#N/D")</f>
        <v>#N/D</v>
      </c>
      <c r="J96" s="26" t="str">
        <f>IF($AQ96,"#N/D",IFERROR(INDEX(Olimpiadas!$B$2:$B$61,MATCH($AO96,Olimpiadas!$C$2:$C$61,0)),"#N/D"))</f>
        <v>#N/D</v>
      </c>
      <c r="K96" s="26" t="str">
        <f>IF($AQ96,"#N/D",IFERROR(INDEX(Olimpiadas!$A$2:$A$61,MATCH($AO96,Olimpiadas!$C$2:$C$61,0)),"#N/D"))</f>
        <v>#N/D</v>
      </c>
      <c r="L96" s="26" t="str">
        <f>IF($AQ96,"#N/D",IFERROR(INDEX(Minculturas!$A$2:$A$48,MATCH($AO96,Minculturas!$C$2:$C$48,0)),"#N/D"))</f>
        <v>#N/D</v>
      </c>
      <c r="M96" s="26" t="str">
        <f>IF($AQ96,"#N/D",IFERROR(INDEX(Minculturas!$B$2:$B$48,MATCH($AO96,Minculturas!$C$2:$C$48,0)),"#N/D"))</f>
        <v>#N/D</v>
      </c>
      <c r="N96" s="27">
        <v>3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3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7">
        <f t="shared" si="20"/>
        <v>3</v>
      </c>
      <c r="AH96" s="28"/>
      <c r="AI96" s="28"/>
      <c r="AJ96" s="28">
        <v>31.6</v>
      </c>
      <c r="AK96" s="28"/>
      <c r="AL96" s="28"/>
      <c r="AM96" s="29" t="s">
        <v>114</v>
      </c>
      <c r="AO96" t="str">
        <f t="shared" si="21"/>
        <v>fredonia</v>
      </c>
      <c r="AP96" t="str">
        <f t="shared" si="22"/>
        <v>antioquia</v>
      </c>
      <c r="AQ96" t="b">
        <f t="shared" si="23"/>
        <v>0</v>
      </c>
      <c r="AR96" t="str">
        <f t="shared" si="24"/>
        <v>fredonia</v>
      </c>
      <c r="AS96" s="30">
        <f t="shared" si="25"/>
        <v>0</v>
      </c>
      <c r="AT96" s="30">
        <f t="shared" si="26"/>
        <v>3</v>
      </c>
      <c r="AU96" s="30">
        <f t="shared" si="27"/>
        <v>3</v>
      </c>
      <c r="AV96" s="30">
        <f t="shared" si="28"/>
        <v>3</v>
      </c>
      <c r="AZ96" s="31">
        <f t="shared" si="29"/>
        <v>3</v>
      </c>
      <c r="BA96" s="31">
        <f t="shared" si="30"/>
        <v>6</v>
      </c>
      <c r="BB96" s="32">
        <f>IFERROR(INDEX('Análisis general'!$E$4:$E$28,MATCH($B96,'Análisis general'!$B$4:$B$28,0)),"")</f>
        <v>9.5</v>
      </c>
      <c r="BC96" s="31">
        <f t="shared" si="31"/>
        <v>3</v>
      </c>
      <c r="BD96" s="32">
        <f t="shared" si="32"/>
        <v>6.4285714285714279</v>
      </c>
      <c r="BE96" s="32">
        <f t="shared" si="33"/>
        <v>9</v>
      </c>
    </row>
    <row r="97" spans="1:57" ht="25.5" customHeight="1" x14ac:dyDescent="0.25">
      <c r="A97" s="33" t="s">
        <v>378</v>
      </c>
      <c r="B97" s="11" t="s">
        <v>10</v>
      </c>
      <c r="C97" s="34" t="s">
        <v>112</v>
      </c>
      <c r="D97" s="24">
        <f t="shared" si="17"/>
        <v>6</v>
      </c>
      <c r="E97" s="59">
        <f t="shared" si="18"/>
        <v>6.4285714285714279</v>
      </c>
      <c r="F97" s="59">
        <f t="shared" si="19"/>
        <v>9</v>
      </c>
      <c r="G97" s="11" t="s">
        <v>379</v>
      </c>
      <c r="H97" s="25" t="str">
        <f>IFERROR(IF($AQ97,INDEX(cpe!$C$2:$C$307,MATCH($AR97,cpe!$F$2:$F$307,0)),INDEX(cpe!$C$2:$C$307,MATCH($AR97,cpe!$D$2:$D$307,0))),"#N/D")</f>
        <v>#N/D</v>
      </c>
      <c r="I97" s="25" t="str">
        <f>IFERROR(IF($AQ97,INDEX(cpe!$B$2:$B$307,MATCH($AR97,cpe!$F$2:$F$307,0)),INDEX(cpe!$B$2:$B$307,MATCH($AR97,cpe!$D$2:$D$307,0))),"#N/D")</f>
        <v>#N/D</v>
      </c>
      <c r="J97" s="26" t="str">
        <f>IF($AQ97,"#N/D",IFERROR(INDEX(Olimpiadas!$B$2:$B$61,MATCH($AO97,Olimpiadas!$C$2:$C$61,0)),"#N/D"))</f>
        <v>#N/D</v>
      </c>
      <c r="K97" s="26" t="str">
        <f>IF($AQ97,"#N/D",IFERROR(INDEX(Olimpiadas!$A$2:$A$61,MATCH($AO97,Olimpiadas!$C$2:$C$61,0)),"#N/D"))</f>
        <v>#N/D</v>
      </c>
      <c r="L97" s="26" t="str">
        <f>IF($AQ97,"#N/D",IFERROR(INDEX(Minculturas!$A$2:$A$48,MATCH($AO97,Minculturas!$C$2:$C$48,0)),"#N/D"))</f>
        <v>#N/D</v>
      </c>
      <c r="M97" s="26" t="str">
        <f>IF($AQ97,"#N/D",IFERROR(INDEX(Minculturas!$B$2:$B$48,MATCH($AO97,Minculturas!$C$2:$C$48,0)),"#N/D"))</f>
        <v>#N/D</v>
      </c>
      <c r="N97" s="27">
        <v>3</v>
      </c>
      <c r="O97" s="28">
        <v>0</v>
      </c>
      <c r="P97" s="28">
        <v>2</v>
      </c>
      <c r="Q97" s="28">
        <v>0</v>
      </c>
      <c r="R97" s="28">
        <v>0</v>
      </c>
      <c r="S97" s="28">
        <v>0</v>
      </c>
      <c r="T97" s="28">
        <v>1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7">
        <f t="shared" si="20"/>
        <v>3</v>
      </c>
      <c r="AH97" s="28"/>
      <c r="AI97" s="28"/>
      <c r="AJ97" s="28">
        <v>23</v>
      </c>
      <c r="AK97" s="28"/>
      <c r="AL97" s="28"/>
      <c r="AM97" s="29" t="s">
        <v>114</v>
      </c>
      <c r="AO97" t="str">
        <f t="shared" si="21"/>
        <v>la union</v>
      </c>
      <c r="AP97" t="str">
        <f t="shared" si="22"/>
        <v>antioquia</v>
      </c>
      <c r="AQ97" t="b">
        <f t="shared" si="23"/>
        <v>1</v>
      </c>
      <c r="AR97" t="str">
        <f t="shared" si="24"/>
        <v>la union|antioquia</v>
      </c>
      <c r="AS97" s="30">
        <f t="shared" si="25"/>
        <v>0</v>
      </c>
      <c r="AT97" s="30">
        <f t="shared" si="26"/>
        <v>3</v>
      </c>
      <c r="AU97" s="30">
        <f t="shared" si="27"/>
        <v>3</v>
      </c>
      <c r="AV97" s="30">
        <f t="shared" si="28"/>
        <v>3</v>
      </c>
      <c r="AZ97" s="31">
        <f t="shared" si="29"/>
        <v>3</v>
      </c>
      <c r="BA97" s="31">
        <f t="shared" si="30"/>
        <v>6</v>
      </c>
      <c r="BB97" s="32">
        <f>IFERROR(INDEX('Análisis general'!$E$4:$E$28,MATCH($B97,'Análisis general'!$B$4:$B$28,0)),"")</f>
        <v>9.5</v>
      </c>
      <c r="BC97" s="31">
        <f t="shared" si="31"/>
        <v>3</v>
      </c>
      <c r="BD97" s="32">
        <f t="shared" si="32"/>
        <v>6.4285714285714279</v>
      </c>
      <c r="BE97" s="32">
        <f t="shared" si="33"/>
        <v>9</v>
      </c>
    </row>
    <row r="98" spans="1:57" ht="25.5" customHeight="1" x14ac:dyDescent="0.25">
      <c r="A98" s="33" t="s">
        <v>380</v>
      </c>
      <c r="B98" s="11" t="s">
        <v>24</v>
      </c>
      <c r="C98" s="34" t="s">
        <v>112</v>
      </c>
      <c r="D98" s="24">
        <f t="shared" si="17"/>
        <v>6</v>
      </c>
      <c r="E98" s="59">
        <f t="shared" si="18"/>
        <v>6.4285714285714279</v>
      </c>
      <c r="F98" s="59">
        <f t="shared" si="19"/>
        <v>9</v>
      </c>
      <c r="G98" s="11" t="s">
        <v>381</v>
      </c>
      <c r="H98" s="25" t="str">
        <f>IFERROR(IF($AQ98,INDEX(cpe!$C$2:$C$307,MATCH($AR98,cpe!$F$2:$F$307,0)),INDEX(cpe!$C$2:$C$307,MATCH($AR98,cpe!$D$2:$D$307,0))),"#N/D")</f>
        <v>#N/D</v>
      </c>
      <c r="I98" s="25" t="str">
        <f>IFERROR(IF($AQ98,INDEX(cpe!$B$2:$B$307,MATCH($AR98,cpe!$F$2:$F$307,0)),INDEX(cpe!$B$2:$B$307,MATCH($AR98,cpe!$D$2:$D$307,0))),"#N/D")</f>
        <v>#N/D</v>
      </c>
      <c r="J98" s="26" t="str">
        <f>IF($AQ98,"#N/D",IFERROR(INDEX(Olimpiadas!$B$2:$B$61,MATCH($AO98,Olimpiadas!$C$2:$C$61,0)),"#N/D"))</f>
        <v>#N/D</v>
      </c>
      <c r="K98" s="26" t="str">
        <f>IF($AQ98,"#N/D",IFERROR(INDEX(Olimpiadas!$A$2:$A$61,MATCH($AO98,Olimpiadas!$C$2:$C$61,0)),"#N/D"))</f>
        <v>#N/D</v>
      </c>
      <c r="L98" s="26" t="str">
        <f>IF($AQ98,"#N/D",IFERROR(INDEX(Minculturas!$A$2:$A$48,MATCH($AO98,Minculturas!$C$2:$C$48,0)),"#N/D"))</f>
        <v>#N/D</v>
      </c>
      <c r="M98" s="26" t="str">
        <f>IF($AQ98,"#N/D",IFERROR(INDEX(Minculturas!$B$2:$B$48,MATCH($AO98,Minculturas!$C$2:$C$48,0)),"#N/D"))</f>
        <v>#N/D</v>
      </c>
      <c r="N98" s="27">
        <v>3</v>
      </c>
      <c r="O98" s="28">
        <v>0</v>
      </c>
      <c r="P98" s="28">
        <v>2</v>
      </c>
      <c r="Q98" s="28">
        <v>0</v>
      </c>
      <c r="R98" s="28">
        <v>0</v>
      </c>
      <c r="S98" s="28">
        <v>1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7">
        <f t="shared" si="20"/>
        <v>3</v>
      </c>
      <c r="AH98" s="26" t="s">
        <v>382</v>
      </c>
      <c r="AI98" s="26" t="s">
        <v>383</v>
      </c>
      <c r="AJ98" s="28">
        <v>34.6</v>
      </c>
      <c r="AK98" s="28"/>
      <c r="AL98" s="28"/>
      <c r="AM98" s="29" t="s">
        <v>384</v>
      </c>
      <c r="AO98" t="str">
        <f t="shared" si="21"/>
        <v>marulanda</v>
      </c>
      <c r="AP98" t="str">
        <f t="shared" si="22"/>
        <v>caldas</v>
      </c>
      <c r="AQ98" t="b">
        <f t="shared" si="23"/>
        <v>0</v>
      </c>
      <c r="AR98" t="str">
        <f t="shared" si="24"/>
        <v>marulanda</v>
      </c>
      <c r="AS98" s="30">
        <f t="shared" si="25"/>
        <v>0</v>
      </c>
      <c r="AT98" s="30">
        <f t="shared" si="26"/>
        <v>3</v>
      </c>
      <c r="AU98" s="30">
        <f t="shared" si="27"/>
        <v>3</v>
      </c>
      <c r="AV98" s="30">
        <f t="shared" si="28"/>
        <v>3</v>
      </c>
      <c r="AZ98" s="31">
        <f t="shared" si="29"/>
        <v>3</v>
      </c>
      <c r="BA98" s="31">
        <f t="shared" si="30"/>
        <v>6</v>
      </c>
      <c r="BB98" s="32">
        <f>IFERROR(INDEX('Análisis general'!$E$4:$E$28,MATCH($B98,'Análisis general'!$B$4:$B$28,0)),"")</f>
        <v>7.9</v>
      </c>
      <c r="BC98" s="31">
        <f t="shared" si="31"/>
        <v>3</v>
      </c>
      <c r="BD98" s="32">
        <f t="shared" si="32"/>
        <v>6.4285714285714279</v>
      </c>
      <c r="BE98" s="32">
        <f t="shared" si="33"/>
        <v>9</v>
      </c>
    </row>
    <row r="99" spans="1:57" ht="25.5" customHeight="1" x14ac:dyDescent="0.25">
      <c r="A99" s="33" t="s">
        <v>398</v>
      </c>
      <c r="B99" s="11" t="s">
        <v>10</v>
      </c>
      <c r="C99" s="34" t="s">
        <v>112</v>
      </c>
      <c r="D99" s="24">
        <f t="shared" si="17"/>
        <v>6</v>
      </c>
      <c r="E99" s="59">
        <f t="shared" si="18"/>
        <v>6.4285714285714279</v>
      </c>
      <c r="F99" s="59">
        <f t="shared" si="19"/>
        <v>9</v>
      </c>
      <c r="G99" s="11" t="s">
        <v>399</v>
      </c>
      <c r="H99" s="25" t="s">
        <v>106</v>
      </c>
      <c r="I99" s="25" t="s">
        <v>106</v>
      </c>
      <c r="J99" s="26" t="s">
        <v>106</v>
      </c>
      <c r="K99" s="26" t="str">
        <f>IF($AQ99,"#N/D",IFERROR(INDEX(Olimpiadas!$A$2:$A$61,MATCH($AO99,Olimpiadas!$C$2:$C$61,0)),"#N/D"))</f>
        <v>#N/D</v>
      </c>
      <c r="L99" s="26" t="str">
        <f>IF($AQ99,"#N/D",IFERROR(INDEX(Minculturas!$A$2:$A$48,MATCH($AO99,Minculturas!$C$2:$C$48,0)),"#N/D"))</f>
        <v>#N/D</v>
      </c>
      <c r="M99" s="26" t="str">
        <f>IF($AQ99,"#N/D",IFERROR(INDEX(Minculturas!$B$2:$B$48,MATCH($AO99,Minculturas!$C$2:$C$48,0)),"#N/D"))</f>
        <v>#N/D</v>
      </c>
      <c r="N99" s="27">
        <v>3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2</v>
      </c>
      <c r="U99" s="28">
        <v>0</v>
      </c>
      <c r="V99" s="28">
        <v>1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7">
        <f t="shared" si="20"/>
        <v>3</v>
      </c>
      <c r="AH99" s="28"/>
      <c r="AI99" s="28"/>
      <c r="AJ99" s="28">
        <v>30.3</v>
      </c>
      <c r="AK99" s="28"/>
      <c r="AL99" s="28"/>
      <c r="AM99" s="29" t="s">
        <v>114</v>
      </c>
      <c r="AO99" t="str">
        <f t="shared" si="21"/>
        <v>titiribi</v>
      </c>
      <c r="AP99" t="str">
        <f t="shared" si="22"/>
        <v>antioquia</v>
      </c>
      <c r="AQ99" t="b">
        <f t="shared" si="23"/>
        <v>0</v>
      </c>
      <c r="AR99" t="str">
        <f t="shared" si="24"/>
        <v>titiribi</v>
      </c>
      <c r="AS99" s="30">
        <f t="shared" si="25"/>
        <v>0</v>
      </c>
      <c r="AT99" s="30">
        <f t="shared" si="26"/>
        <v>3</v>
      </c>
      <c r="AU99" s="30">
        <f t="shared" si="27"/>
        <v>3</v>
      </c>
      <c r="AV99" s="30">
        <f t="shared" si="28"/>
        <v>3</v>
      </c>
      <c r="AZ99" s="31">
        <f t="shared" si="29"/>
        <v>3</v>
      </c>
      <c r="BA99" s="31">
        <f t="shared" si="30"/>
        <v>6</v>
      </c>
      <c r="BB99" s="32">
        <f>IFERROR(INDEX('Análisis general'!$E$4:$E$28,MATCH($B99,'Análisis general'!$B$4:$B$28,0)),"")</f>
        <v>9.5</v>
      </c>
      <c r="BC99" s="31">
        <f t="shared" si="31"/>
        <v>3</v>
      </c>
      <c r="BD99" s="32">
        <f t="shared" si="32"/>
        <v>6.4285714285714279</v>
      </c>
      <c r="BE99" s="32">
        <f t="shared" si="33"/>
        <v>9</v>
      </c>
    </row>
    <row r="100" spans="1:57" ht="25.5" customHeight="1" x14ac:dyDescent="0.25">
      <c r="A100" s="33" t="s">
        <v>402</v>
      </c>
      <c r="B100" s="11" t="s">
        <v>10</v>
      </c>
      <c r="C100" s="34" t="s">
        <v>112</v>
      </c>
      <c r="D100" s="24">
        <f t="shared" si="17"/>
        <v>6</v>
      </c>
      <c r="E100" s="59">
        <f t="shared" si="18"/>
        <v>6.4285714285714279</v>
      </c>
      <c r="F100" s="59">
        <f t="shared" si="19"/>
        <v>9</v>
      </c>
      <c r="G100" s="11" t="s">
        <v>403</v>
      </c>
      <c r="H100" s="25" t="s">
        <v>106</v>
      </c>
      <c r="I100" s="25" t="s">
        <v>106</v>
      </c>
      <c r="J100" s="26" t="s">
        <v>106</v>
      </c>
      <c r="K100" s="26" t="str">
        <f>IF($AQ100,"#N/D",IFERROR(INDEX(Olimpiadas!$A$2:$A$61,MATCH($AO100,Olimpiadas!$C$2:$C$61,0)),"#N/D"))</f>
        <v>#N/D</v>
      </c>
      <c r="L100" s="26" t="str">
        <f>IF($AQ100,"#N/D",IFERROR(INDEX(Minculturas!$A$2:$A$48,MATCH($AO100,Minculturas!$C$2:$C$48,0)),"#N/D"))</f>
        <v>#N/D</v>
      </c>
      <c r="M100" s="26" t="str">
        <f>IF($AQ100,"#N/D",IFERROR(INDEX(Minculturas!$B$2:$B$48,MATCH($AO100,Minculturas!$C$2:$C$48,0)),"#N/D"))</f>
        <v>#N/D</v>
      </c>
      <c r="N100" s="27">
        <v>3</v>
      </c>
      <c r="O100" s="28">
        <v>0</v>
      </c>
      <c r="P100" s="28">
        <v>1</v>
      </c>
      <c r="Q100" s="28">
        <v>0</v>
      </c>
      <c r="R100" s="28">
        <v>0</v>
      </c>
      <c r="S100" s="28">
        <v>1</v>
      </c>
      <c r="T100" s="28">
        <v>1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7">
        <f t="shared" si="20"/>
        <v>3</v>
      </c>
      <c r="AH100" s="28"/>
      <c r="AI100" s="28"/>
      <c r="AJ100" s="28">
        <v>25.8</v>
      </c>
      <c r="AK100" s="28"/>
      <c r="AL100" s="28"/>
      <c r="AM100" s="29" t="s">
        <v>114</v>
      </c>
      <c r="AO100" t="str">
        <f t="shared" si="21"/>
        <v>venecia</v>
      </c>
      <c r="AP100" t="str">
        <f t="shared" si="22"/>
        <v>antioquia</v>
      </c>
      <c r="AQ100" t="b">
        <f t="shared" si="23"/>
        <v>0</v>
      </c>
      <c r="AR100" t="str">
        <f t="shared" si="24"/>
        <v>venecia</v>
      </c>
      <c r="AS100" s="30">
        <f t="shared" si="25"/>
        <v>0</v>
      </c>
      <c r="AT100" s="30">
        <f t="shared" si="26"/>
        <v>3</v>
      </c>
      <c r="AU100" s="30">
        <f t="shared" si="27"/>
        <v>3</v>
      </c>
      <c r="AV100" s="30">
        <f t="shared" si="28"/>
        <v>3</v>
      </c>
      <c r="AZ100" s="31">
        <f t="shared" si="29"/>
        <v>3</v>
      </c>
      <c r="BA100" s="31">
        <f t="shared" si="30"/>
        <v>6</v>
      </c>
      <c r="BB100" s="32">
        <f>IFERROR(INDEX('Análisis general'!$E$4:$E$28,MATCH($B100,'Análisis general'!$B$4:$B$28,0)),"")</f>
        <v>9.5</v>
      </c>
      <c r="BC100" s="31">
        <f t="shared" si="31"/>
        <v>3</v>
      </c>
      <c r="BD100" s="32">
        <f t="shared" si="32"/>
        <v>6.4285714285714279</v>
      </c>
      <c r="BE100" s="32">
        <f t="shared" si="33"/>
        <v>9</v>
      </c>
    </row>
    <row r="101" spans="1:57" ht="25.5" customHeight="1" x14ac:dyDescent="0.25">
      <c r="A101" s="33" t="s">
        <v>361</v>
      </c>
      <c r="B101" s="11" t="s">
        <v>10</v>
      </c>
      <c r="C101" s="34" t="s">
        <v>112</v>
      </c>
      <c r="D101" s="24">
        <f t="shared" si="17"/>
        <v>6</v>
      </c>
      <c r="E101" s="59">
        <f t="shared" si="18"/>
        <v>6.4285714285714279</v>
      </c>
      <c r="F101" s="59">
        <f t="shared" si="19"/>
        <v>9</v>
      </c>
      <c r="G101" s="11" t="s">
        <v>362</v>
      </c>
      <c r="H101" s="25" t="str">
        <f>IFERROR(IF($AQ101,INDEX(cpe!$C$2:$C$307,MATCH($AR101,cpe!$F$2:$F$307,0)),INDEX(cpe!$C$2:$C$307,MATCH($AR101,cpe!$D$2:$D$307,0))),"#N/D")</f>
        <v>#N/D</v>
      </c>
      <c r="I101" s="25" t="str">
        <f>IFERROR(IF($AQ101,INDEX(cpe!$B$2:$B$307,MATCH($AR101,cpe!$F$2:$F$307,0)),INDEX(cpe!$B$2:$B$307,MATCH($AR101,cpe!$D$2:$D$307,0))),"#N/D")</f>
        <v>#N/D</v>
      </c>
      <c r="J101" s="26" t="str">
        <f>IF($AQ101,"#N/D",IFERROR(INDEX(Olimpiadas!$B$2:$B$61,MATCH($AO101,Olimpiadas!$C$2:$C$61,0)),"#N/D"))</f>
        <v>#N/D</v>
      </c>
      <c r="K101" s="26" t="str">
        <f>IF($AQ101,"#N/D",IFERROR(INDEX(Olimpiadas!$A$2:$A$61,MATCH($AO101,Olimpiadas!$C$2:$C$61,0)),"#N/D"))</f>
        <v>#N/D</v>
      </c>
      <c r="L101" s="26" t="str">
        <f>IF($AQ101,"#N/D",IFERROR(INDEX(Minculturas!$A$2:$A$48,MATCH($AO101,Minculturas!$C$2:$C$48,0)),"#N/D"))</f>
        <v>#N/D</v>
      </c>
      <c r="M101" s="26" t="str">
        <f>IF($AQ101,"#N/D",IFERROR(INDEX(Minculturas!$B$2:$B$48,MATCH($AO101,Minculturas!$C$2:$C$48,0)),"#N/D"))</f>
        <v>#N/D</v>
      </c>
      <c r="N101" s="27">
        <v>2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2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7">
        <f t="shared" si="20"/>
        <v>2</v>
      </c>
      <c r="AH101" s="28"/>
      <c r="AI101" s="28"/>
      <c r="AJ101" s="28">
        <v>48.5</v>
      </c>
      <c r="AK101" s="28"/>
      <c r="AL101" s="28"/>
      <c r="AM101" s="29" t="s">
        <v>114</v>
      </c>
      <c r="AO101" t="str">
        <f t="shared" si="21"/>
        <v>concordia</v>
      </c>
      <c r="AP101" t="str">
        <f t="shared" si="22"/>
        <v>antioquia</v>
      </c>
      <c r="AQ101" t="b">
        <f t="shared" si="23"/>
        <v>0</v>
      </c>
      <c r="AR101" t="str">
        <f t="shared" si="24"/>
        <v>concordia</v>
      </c>
      <c r="AS101" s="30">
        <f t="shared" si="25"/>
        <v>0</v>
      </c>
      <c r="AT101" s="30">
        <f t="shared" si="26"/>
        <v>2</v>
      </c>
      <c r="AU101" s="30">
        <f t="shared" si="27"/>
        <v>3</v>
      </c>
      <c r="AV101" s="30">
        <f t="shared" si="28"/>
        <v>3</v>
      </c>
      <c r="AZ101" s="31">
        <f t="shared" si="29"/>
        <v>3</v>
      </c>
      <c r="BA101" s="31">
        <f t="shared" si="30"/>
        <v>6</v>
      </c>
      <c r="BB101" s="32">
        <f>IFERROR(INDEX('Análisis general'!$E$4:$E$28,MATCH($B101,'Análisis general'!$B$4:$B$28,0)),"")</f>
        <v>9.5</v>
      </c>
      <c r="BC101" s="31">
        <f t="shared" si="31"/>
        <v>3</v>
      </c>
      <c r="BD101" s="32">
        <f t="shared" si="32"/>
        <v>6.4285714285714279</v>
      </c>
      <c r="BE101" s="32">
        <f t="shared" si="33"/>
        <v>9</v>
      </c>
    </row>
    <row r="102" spans="1:57" ht="25.5" customHeight="1" x14ac:dyDescent="0.25">
      <c r="A102" s="33" t="s">
        <v>363</v>
      </c>
      <c r="B102" s="11" t="s">
        <v>10</v>
      </c>
      <c r="C102" s="34" t="s">
        <v>112</v>
      </c>
      <c r="D102" s="24">
        <f t="shared" si="17"/>
        <v>6</v>
      </c>
      <c r="E102" s="59">
        <f t="shared" si="18"/>
        <v>6.4285714285714279</v>
      </c>
      <c r="F102" s="59">
        <f t="shared" si="19"/>
        <v>9</v>
      </c>
      <c r="G102" s="11" t="s">
        <v>364</v>
      </c>
      <c r="H102" s="25" t="str">
        <f>IFERROR(IF($AQ102,INDEX(cpe!$C$2:$C$307,MATCH($AR102,cpe!$F$2:$F$307,0)),INDEX(cpe!$C$2:$C$307,MATCH($AR102,cpe!$D$2:$D$307,0))),"#N/D")</f>
        <v>#N/D</v>
      </c>
      <c r="I102" s="25" t="str">
        <f>IFERROR(IF($AQ102,INDEX(cpe!$B$2:$B$307,MATCH($AR102,cpe!$F$2:$F$307,0)),INDEX(cpe!$B$2:$B$307,MATCH($AR102,cpe!$D$2:$D$307,0))),"#N/D")</f>
        <v>#N/D</v>
      </c>
      <c r="J102" s="26" t="str">
        <f>IF($AQ102,"#N/D",IFERROR(INDEX(Olimpiadas!$B$2:$B$61,MATCH($AO102,Olimpiadas!$C$2:$C$61,0)),"#N/D"))</f>
        <v>#N/D</v>
      </c>
      <c r="K102" s="26" t="str">
        <f>IF($AQ102,"#N/D",IFERROR(INDEX(Olimpiadas!$A$2:$A$61,MATCH($AO102,Olimpiadas!$C$2:$C$61,0)),"#N/D"))</f>
        <v>#N/D</v>
      </c>
      <c r="L102" s="26" t="str">
        <f>IF($AQ102,"#N/D",IFERROR(INDEX(Minculturas!$A$2:$A$48,MATCH($AO102,Minculturas!$C$2:$C$48,0)),"#N/D"))</f>
        <v>#N/D</v>
      </c>
      <c r="M102" s="26" t="str">
        <f>IF($AQ102,"#N/D",IFERROR(INDEX(Minculturas!$B$2:$B$48,MATCH($AO102,Minculturas!$C$2:$C$48,0)),"#N/D"))</f>
        <v>#N/D</v>
      </c>
      <c r="N102" s="27">
        <v>2</v>
      </c>
      <c r="O102" s="28">
        <v>0</v>
      </c>
      <c r="P102" s="28">
        <v>1</v>
      </c>
      <c r="Q102" s="28">
        <v>0</v>
      </c>
      <c r="R102" s="28">
        <v>0</v>
      </c>
      <c r="S102" s="28">
        <v>0</v>
      </c>
      <c r="T102" s="28">
        <v>1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7">
        <f t="shared" si="20"/>
        <v>2</v>
      </c>
      <c r="AH102" s="28"/>
      <c r="AI102" s="28"/>
      <c r="AJ102" s="28">
        <v>11.7</v>
      </c>
      <c r="AK102" s="28"/>
      <c r="AL102" s="28"/>
      <c r="AM102" s="29" t="s">
        <v>365</v>
      </c>
      <c r="AO102" t="str">
        <f t="shared" si="21"/>
        <v>el retiro</v>
      </c>
      <c r="AP102" t="str">
        <f t="shared" si="22"/>
        <v>antioquia</v>
      </c>
      <c r="AQ102" t="b">
        <f t="shared" si="23"/>
        <v>0</v>
      </c>
      <c r="AR102" t="str">
        <f t="shared" si="24"/>
        <v>el retiro</v>
      </c>
      <c r="AS102" s="30">
        <f t="shared" si="25"/>
        <v>0</v>
      </c>
      <c r="AT102" s="30">
        <f t="shared" si="26"/>
        <v>2</v>
      </c>
      <c r="AU102" s="30">
        <f t="shared" si="27"/>
        <v>3</v>
      </c>
      <c r="AV102" s="30">
        <f t="shared" si="28"/>
        <v>3</v>
      </c>
      <c r="AZ102" s="31">
        <f t="shared" si="29"/>
        <v>3</v>
      </c>
      <c r="BA102" s="31">
        <f t="shared" si="30"/>
        <v>6</v>
      </c>
      <c r="BB102" s="32">
        <f>IFERROR(INDEX('Análisis general'!$E$4:$E$28,MATCH($B102,'Análisis general'!$B$4:$B$28,0)),"")</f>
        <v>9.5</v>
      </c>
      <c r="BC102" s="31">
        <f t="shared" si="31"/>
        <v>3</v>
      </c>
      <c r="BD102" s="32">
        <f t="shared" si="32"/>
        <v>6.4285714285714279</v>
      </c>
      <c r="BE102" s="32">
        <f t="shared" si="33"/>
        <v>9</v>
      </c>
    </row>
    <row r="103" spans="1:57" ht="25.5" customHeight="1" x14ac:dyDescent="0.25">
      <c r="A103" s="33" t="s">
        <v>374</v>
      </c>
      <c r="B103" s="11" t="s">
        <v>10</v>
      </c>
      <c r="C103" s="34" t="s">
        <v>112</v>
      </c>
      <c r="D103" s="24">
        <f t="shared" si="17"/>
        <v>6</v>
      </c>
      <c r="E103" s="59">
        <f t="shared" si="18"/>
        <v>6.4285714285714279</v>
      </c>
      <c r="F103" s="59">
        <f t="shared" si="19"/>
        <v>9</v>
      </c>
      <c r="G103" s="11" t="s">
        <v>375</v>
      </c>
      <c r="H103" s="25" t="str">
        <f>IFERROR(IF($AQ103,INDEX(cpe!$C$2:$C$307,MATCH($AR103,cpe!$F$2:$F$307,0)),INDEX(cpe!$C$2:$C$307,MATCH($AR103,cpe!$D$2:$D$307,0))),"#N/D")</f>
        <v>#N/D</v>
      </c>
      <c r="I103" s="25" t="str">
        <f>IFERROR(IF($AQ103,INDEX(cpe!$B$2:$B$307,MATCH($AR103,cpe!$F$2:$F$307,0)),INDEX(cpe!$B$2:$B$307,MATCH($AR103,cpe!$D$2:$D$307,0))),"#N/D")</f>
        <v>#N/D</v>
      </c>
      <c r="J103" s="26" t="str">
        <f>IF($AQ103,"#N/D",IFERROR(INDEX(Olimpiadas!$B$2:$B$61,MATCH($AO103,Olimpiadas!$C$2:$C$61,0)),"#N/D"))</f>
        <v>#N/D</v>
      </c>
      <c r="K103" s="26" t="str">
        <f>IF($AQ103,"#N/D",IFERROR(INDEX(Olimpiadas!$A$2:$A$61,MATCH($AO103,Olimpiadas!$C$2:$C$61,0)),"#N/D"))</f>
        <v>#N/D</v>
      </c>
      <c r="L103" s="26" t="str">
        <f>IF($AQ103,"#N/D",IFERROR(INDEX(Minculturas!$A$2:$A$48,MATCH($AO103,Minculturas!$C$2:$C$48,0)),"#N/D"))</f>
        <v>#N/D</v>
      </c>
      <c r="M103" s="26" t="str">
        <f>IF($AQ103,"#N/D",IFERROR(INDEX(Minculturas!$B$2:$B$48,MATCH($AO103,Minculturas!$C$2:$C$48,0)),"#N/D"))</f>
        <v>#N/D</v>
      </c>
      <c r="N103" s="27">
        <v>2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2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7">
        <f t="shared" si="20"/>
        <v>2</v>
      </c>
      <c r="AH103" s="28"/>
      <c r="AI103" s="28"/>
      <c r="AJ103" s="28">
        <v>57.6</v>
      </c>
      <c r="AK103" s="28"/>
      <c r="AL103" s="28"/>
      <c r="AM103" s="29" t="s">
        <v>114</v>
      </c>
      <c r="AO103" t="str">
        <f t="shared" si="21"/>
        <v>ituango</v>
      </c>
      <c r="AP103" t="str">
        <f t="shared" si="22"/>
        <v>antioquia</v>
      </c>
      <c r="AQ103" t="b">
        <f t="shared" si="23"/>
        <v>0</v>
      </c>
      <c r="AR103" t="str">
        <f t="shared" si="24"/>
        <v>ituango</v>
      </c>
      <c r="AS103" s="30">
        <f t="shared" si="25"/>
        <v>0</v>
      </c>
      <c r="AT103" s="30">
        <f t="shared" si="26"/>
        <v>2</v>
      </c>
      <c r="AU103" s="30">
        <f t="shared" si="27"/>
        <v>3</v>
      </c>
      <c r="AV103" s="30">
        <f t="shared" si="28"/>
        <v>3</v>
      </c>
      <c r="AZ103" s="31">
        <f t="shared" si="29"/>
        <v>3</v>
      </c>
      <c r="BA103" s="31">
        <f t="shared" si="30"/>
        <v>6</v>
      </c>
      <c r="BB103" s="32">
        <f>IFERROR(INDEX('Análisis general'!$E$4:$E$28,MATCH($B103,'Análisis general'!$B$4:$B$28,0)),"")</f>
        <v>9.5</v>
      </c>
      <c r="BC103" s="31">
        <f t="shared" si="31"/>
        <v>3</v>
      </c>
      <c r="BD103" s="32">
        <f t="shared" si="32"/>
        <v>6.4285714285714279</v>
      </c>
      <c r="BE103" s="32">
        <f t="shared" si="33"/>
        <v>9</v>
      </c>
    </row>
    <row r="104" spans="1:57" ht="25.5" customHeight="1" x14ac:dyDescent="0.25">
      <c r="A104" s="33" t="s">
        <v>385</v>
      </c>
      <c r="B104" s="11" t="s">
        <v>24</v>
      </c>
      <c r="C104" s="34" t="s">
        <v>112</v>
      </c>
      <c r="D104" s="24">
        <f t="shared" si="17"/>
        <v>6</v>
      </c>
      <c r="E104" s="59">
        <f t="shared" si="18"/>
        <v>6.4285714285714279</v>
      </c>
      <c r="F104" s="59">
        <f t="shared" si="19"/>
        <v>9</v>
      </c>
      <c r="G104" s="11" t="s">
        <v>386</v>
      </c>
      <c r="H104" s="25" t="str">
        <f>IFERROR(IF($AQ104,INDEX(cpe!$C$2:$C$307,MATCH($AR104,cpe!$F$2:$F$307,0)),INDEX(cpe!$C$2:$C$307,MATCH($AR104,cpe!$D$2:$D$307,0))),"#N/D")</f>
        <v>#N/D</v>
      </c>
      <c r="I104" s="25" t="str">
        <f>IFERROR(IF($AQ104,INDEX(cpe!$B$2:$B$307,MATCH($AR104,cpe!$F$2:$F$307,0)),INDEX(cpe!$B$2:$B$307,MATCH($AR104,cpe!$D$2:$D$307,0))),"#N/D")</f>
        <v>#N/D</v>
      </c>
      <c r="J104" s="26" t="str">
        <f>IF($AQ104,"#N/D",IFERROR(INDEX(Olimpiadas!$B$2:$B$61,MATCH($AO104,Olimpiadas!$C$2:$C$61,0)),"#N/D"))</f>
        <v>#N/D</v>
      </c>
      <c r="K104" s="26" t="str">
        <f>IF($AQ104,"#N/D",IFERROR(INDEX(Olimpiadas!$A$2:$A$61,MATCH($AO104,Olimpiadas!$C$2:$C$61,0)),"#N/D"))</f>
        <v>#N/D</v>
      </c>
      <c r="L104" s="26" t="str">
        <f>IF($AQ104,"#N/D",IFERROR(INDEX(Minculturas!$A$2:$A$48,MATCH($AO104,Minculturas!$C$2:$C$48,0)),"#N/D"))</f>
        <v>#N/D</v>
      </c>
      <c r="M104" s="26" t="str">
        <f>IF($AQ104,"#N/D",IFERROR(INDEX(Minculturas!$B$2:$B$48,MATCH($AO104,Minculturas!$C$2:$C$48,0)),"#N/D"))</f>
        <v>#N/D</v>
      </c>
      <c r="N104" s="27">
        <v>2</v>
      </c>
      <c r="O104" s="28">
        <v>0</v>
      </c>
      <c r="P104" s="28">
        <v>0</v>
      </c>
      <c r="Q104" s="28">
        <v>0</v>
      </c>
      <c r="R104" s="28">
        <v>0</v>
      </c>
      <c r="S104" s="28">
        <v>2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7">
        <f t="shared" si="20"/>
        <v>2</v>
      </c>
      <c r="AH104" s="28"/>
      <c r="AI104" s="28"/>
      <c r="AJ104" s="28">
        <v>41.4</v>
      </c>
      <c r="AK104" s="28"/>
      <c r="AL104" s="28"/>
      <c r="AM104" s="29" t="s">
        <v>114</v>
      </c>
      <c r="AO104" t="str">
        <f t="shared" si="21"/>
        <v>norcasia</v>
      </c>
      <c r="AP104" t="str">
        <f t="shared" si="22"/>
        <v>caldas</v>
      </c>
      <c r="AQ104" t="b">
        <f t="shared" si="23"/>
        <v>0</v>
      </c>
      <c r="AR104" t="str">
        <f t="shared" si="24"/>
        <v>norcasia</v>
      </c>
      <c r="AS104" s="30">
        <f t="shared" si="25"/>
        <v>0</v>
      </c>
      <c r="AT104" s="30">
        <f t="shared" si="26"/>
        <v>2</v>
      </c>
      <c r="AU104" s="30">
        <f t="shared" si="27"/>
        <v>3</v>
      </c>
      <c r="AV104" s="30">
        <f t="shared" si="28"/>
        <v>3</v>
      </c>
      <c r="AZ104" s="31">
        <f t="shared" si="29"/>
        <v>3</v>
      </c>
      <c r="BA104" s="31">
        <f t="shared" si="30"/>
        <v>6</v>
      </c>
      <c r="BB104" s="32">
        <f>IFERROR(INDEX('Análisis general'!$E$4:$E$28,MATCH($B104,'Análisis general'!$B$4:$B$28,0)),"")</f>
        <v>7.9</v>
      </c>
      <c r="BC104" s="31">
        <f t="shared" si="31"/>
        <v>3</v>
      </c>
      <c r="BD104" s="32">
        <f t="shared" si="32"/>
        <v>6.4285714285714279</v>
      </c>
      <c r="BE104" s="32">
        <f t="shared" si="33"/>
        <v>9</v>
      </c>
    </row>
    <row r="105" spans="1:57" ht="25.5" customHeight="1" x14ac:dyDescent="0.25">
      <c r="A105" s="33" t="s">
        <v>387</v>
      </c>
      <c r="B105" s="11" t="s">
        <v>10</v>
      </c>
      <c r="C105" s="34" t="s">
        <v>112</v>
      </c>
      <c r="D105" s="24">
        <f t="shared" si="17"/>
        <v>6</v>
      </c>
      <c r="E105" s="59">
        <f t="shared" si="18"/>
        <v>6.4285714285714279</v>
      </c>
      <c r="F105" s="59">
        <f t="shared" si="19"/>
        <v>9</v>
      </c>
      <c r="G105" s="11" t="s">
        <v>388</v>
      </c>
      <c r="H105" s="25" t="s">
        <v>106</v>
      </c>
      <c r="I105" s="25" t="s">
        <v>106</v>
      </c>
      <c r="J105" s="26" t="s">
        <v>106</v>
      </c>
      <c r="K105" s="26" t="str">
        <f>IF($AQ105,"#N/D",IFERROR(INDEX(Olimpiadas!$A$2:$A$61,MATCH($AO105,Olimpiadas!$C$2:$C$61,0)),"#N/D"))</f>
        <v>#N/D</v>
      </c>
      <c r="L105" s="26" t="str">
        <f>IF($AQ105,"#N/D",IFERROR(INDEX(Minculturas!$A$2:$A$48,MATCH($AO105,Minculturas!$C$2:$C$48,0)),"#N/D"))</f>
        <v>#N/D</v>
      </c>
      <c r="M105" s="26" t="str">
        <f>IF($AQ105,"#N/D",IFERROR(INDEX(Minculturas!$B$2:$B$48,MATCH($AO105,Minculturas!$C$2:$C$48,0)),"#N/D"))</f>
        <v>#N/D</v>
      </c>
      <c r="N105" s="27">
        <v>2</v>
      </c>
      <c r="O105" s="28">
        <v>0</v>
      </c>
      <c r="P105" s="28">
        <v>0</v>
      </c>
      <c r="Q105" s="28">
        <v>0</v>
      </c>
      <c r="R105" s="28">
        <v>1</v>
      </c>
      <c r="S105" s="28">
        <v>0</v>
      </c>
      <c r="T105" s="28">
        <v>1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7">
        <f t="shared" si="20"/>
        <v>2</v>
      </c>
      <c r="AH105" s="28"/>
      <c r="AI105" s="28"/>
      <c r="AJ105" s="28">
        <v>45.7</v>
      </c>
      <c r="AK105" s="28"/>
      <c r="AL105" s="28"/>
      <c r="AM105" s="29" t="s">
        <v>114</v>
      </c>
      <c r="AO105" t="str">
        <f t="shared" si="21"/>
        <v>pueblorrico</v>
      </c>
      <c r="AP105" t="str">
        <f t="shared" si="22"/>
        <v>antioquia</v>
      </c>
      <c r="AQ105" t="b">
        <f t="shared" si="23"/>
        <v>0</v>
      </c>
      <c r="AR105" t="str">
        <f t="shared" si="24"/>
        <v>pueblorrico</v>
      </c>
      <c r="AS105" s="30">
        <f t="shared" si="25"/>
        <v>0</v>
      </c>
      <c r="AT105" s="30">
        <f t="shared" si="26"/>
        <v>2</v>
      </c>
      <c r="AU105" s="30">
        <f t="shared" si="27"/>
        <v>3</v>
      </c>
      <c r="AV105" s="30">
        <f t="shared" si="28"/>
        <v>3</v>
      </c>
      <c r="AZ105" s="31">
        <f t="shared" si="29"/>
        <v>3</v>
      </c>
      <c r="BA105" s="31">
        <f t="shared" si="30"/>
        <v>6</v>
      </c>
      <c r="BB105" s="32">
        <f>IFERROR(INDEX('Análisis general'!$E$4:$E$28,MATCH($B105,'Análisis general'!$B$4:$B$28,0)),"")</f>
        <v>9.5</v>
      </c>
      <c r="BC105" s="31">
        <f t="shared" si="31"/>
        <v>3</v>
      </c>
      <c r="BD105" s="32">
        <f t="shared" si="32"/>
        <v>6.4285714285714279</v>
      </c>
      <c r="BE105" s="32">
        <f t="shared" si="33"/>
        <v>9</v>
      </c>
    </row>
    <row r="106" spans="1:57" ht="25.5" customHeight="1" x14ac:dyDescent="0.25">
      <c r="A106" s="33" t="s">
        <v>389</v>
      </c>
      <c r="B106" s="11" t="s">
        <v>10</v>
      </c>
      <c r="C106" s="34" t="s">
        <v>112</v>
      </c>
      <c r="D106" s="24">
        <f t="shared" si="17"/>
        <v>6</v>
      </c>
      <c r="E106" s="59">
        <f t="shared" si="18"/>
        <v>6.4285714285714279</v>
      </c>
      <c r="F106" s="59">
        <f t="shared" si="19"/>
        <v>9</v>
      </c>
      <c r="G106" s="11" t="s">
        <v>390</v>
      </c>
      <c r="H106" s="25" t="s">
        <v>106</v>
      </c>
      <c r="I106" s="25" t="s">
        <v>106</v>
      </c>
      <c r="J106" s="26" t="s">
        <v>106</v>
      </c>
      <c r="K106" s="26" t="str">
        <f>IF($AQ106,"#N/D",IFERROR(INDEX(Olimpiadas!$A$2:$A$61,MATCH($AO106,Olimpiadas!$C$2:$C$61,0)),"#N/D"))</f>
        <v>#N/D</v>
      </c>
      <c r="L106" s="26" t="str">
        <f>IF($AQ106,"#N/D",IFERROR(INDEX(Minculturas!$A$2:$A$48,MATCH($AO106,Minculturas!$C$2:$C$48,0)),"#N/D"))</f>
        <v>#N/D</v>
      </c>
      <c r="M106" s="26" t="str">
        <f>IF($AQ106,"#N/D",IFERROR(INDEX(Minculturas!$B$2:$B$48,MATCH($AO106,Minculturas!$C$2:$C$48,0)),"#N/D"))</f>
        <v>#N/D</v>
      </c>
      <c r="N106" s="27">
        <v>2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1</v>
      </c>
      <c r="U106" s="28">
        <v>1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7">
        <f t="shared" si="20"/>
        <v>2</v>
      </c>
      <c r="AH106" s="28"/>
      <c r="AI106" s="28"/>
      <c r="AJ106" s="28">
        <v>42.1</v>
      </c>
      <c r="AK106" s="28"/>
      <c r="AL106" s="28"/>
      <c r="AM106" s="29" t="s">
        <v>114</v>
      </c>
      <c r="AO106" t="str">
        <f t="shared" si="21"/>
        <v>remedios</v>
      </c>
      <c r="AP106" t="str">
        <f t="shared" si="22"/>
        <v>antioquia</v>
      </c>
      <c r="AQ106" t="b">
        <f t="shared" si="23"/>
        <v>0</v>
      </c>
      <c r="AR106" t="str">
        <f t="shared" si="24"/>
        <v>remedios</v>
      </c>
      <c r="AS106" s="30">
        <f t="shared" si="25"/>
        <v>0</v>
      </c>
      <c r="AT106" s="30">
        <f t="shared" si="26"/>
        <v>2</v>
      </c>
      <c r="AU106" s="30">
        <f t="shared" si="27"/>
        <v>3</v>
      </c>
      <c r="AV106" s="30">
        <f t="shared" si="28"/>
        <v>3</v>
      </c>
      <c r="AZ106" s="31">
        <f t="shared" si="29"/>
        <v>3</v>
      </c>
      <c r="BA106" s="31">
        <f t="shared" si="30"/>
        <v>6</v>
      </c>
      <c r="BB106" s="32">
        <f>IFERROR(INDEX('Análisis general'!$E$4:$E$28,MATCH($B106,'Análisis general'!$B$4:$B$28,0)),"")</f>
        <v>9.5</v>
      </c>
      <c r="BC106" s="31">
        <f t="shared" si="31"/>
        <v>3</v>
      </c>
      <c r="BD106" s="32">
        <f t="shared" si="32"/>
        <v>6.4285714285714279</v>
      </c>
      <c r="BE106" s="32">
        <f t="shared" si="33"/>
        <v>9</v>
      </c>
    </row>
    <row r="107" spans="1:57" ht="25.5" customHeight="1" x14ac:dyDescent="0.25">
      <c r="A107" s="33" t="s">
        <v>394</v>
      </c>
      <c r="B107" s="11" t="s">
        <v>10</v>
      </c>
      <c r="C107" s="34" t="s">
        <v>112</v>
      </c>
      <c r="D107" s="24">
        <f t="shared" si="17"/>
        <v>6</v>
      </c>
      <c r="E107" s="59">
        <f t="shared" si="18"/>
        <v>6.4285714285714279</v>
      </c>
      <c r="F107" s="59">
        <f t="shared" si="19"/>
        <v>9</v>
      </c>
      <c r="G107" s="11" t="s">
        <v>395</v>
      </c>
      <c r="H107" s="25" t="s">
        <v>106</v>
      </c>
      <c r="I107" s="25" t="s">
        <v>106</v>
      </c>
      <c r="J107" s="26" t="s">
        <v>106</v>
      </c>
      <c r="K107" s="26" t="str">
        <f>IF($AQ107,"#N/D",IFERROR(INDEX(Olimpiadas!$A$2:$A$61,MATCH($AO107,Olimpiadas!$C$2:$C$61,0)),"#N/D"))</f>
        <v>#N/D</v>
      </c>
      <c r="L107" s="26" t="str">
        <f>IF($AQ107,"#N/D",IFERROR(INDEX(Minculturas!$A$2:$A$48,MATCH($AO107,Minculturas!$C$2:$C$48,0)),"#N/D"))</f>
        <v>#N/D</v>
      </c>
      <c r="M107" s="26" t="str">
        <f>IF($AQ107,"#N/D",IFERROR(INDEX(Minculturas!$B$2:$B$48,MATCH($AO107,Minculturas!$C$2:$C$48,0)),"#N/D"))</f>
        <v>#N/D</v>
      </c>
      <c r="N107" s="27">
        <v>2</v>
      </c>
      <c r="O107" s="28">
        <v>0</v>
      </c>
      <c r="P107" s="28">
        <v>1</v>
      </c>
      <c r="Q107" s="28">
        <v>0</v>
      </c>
      <c r="R107" s="28">
        <v>0</v>
      </c>
      <c r="S107" s="28">
        <v>0</v>
      </c>
      <c r="T107" s="28">
        <v>1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7">
        <f t="shared" si="20"/>
        <v>2</v>
      </c>
      <c r="AH107" s="28"/>
      <c r="AI107" s="28"/>
      <c r="AJ107" s="28">
        <v>29.7</v>
      </c>
      <c r="AK107" s="28"/>
      <c r="AL107" s="28"/>
      <c r="AM107" s="29" t="s">
        <v>365</v>
      </c>
      <c r="AO107" t="str">
        <f t="shared" si="21"/>
        <v>santa fe de antioquia</v>
      </c>
      <c r="AP107" t="str">
        <f t="shared" si="22"/>
        <v>antioquia</v>
      </c>
      <c r="AQ107" t="b">
        <f t="shared" si="23"/>
        <v>0</v>
      </c>
      <c r="AR107" t="str">
        <f t="shared" si="24"/>
        <v>santa fe de antioquia</v>
      </c>
      <c r="AS107" s="30">
        <f t="shared" si="25"/>
        <v>0</v>
      </c>
      <c r="AT107" s="30">
        <f t="shared" si="26"/>
        <v>2</v>
      </c>
      <c r="AU107" s="30">
        <f t="shared" si="27"/>
        <v>3</v>
      </c>
      <c r="AV107" s="30">
        <f t="shared" si="28"/>
        <v>3</v>
      </c>
      <c r="AZ107" s="31">
        <f t="shared" si="29"/>
        <v>3</v>
      </c>
      <c r="BA107" s="31">
        <f t="shared" si="30"/>
        <v>6</v>
      </c>
      <c r="BB107" s="32">
        <f>IFERROR(INDEX('Análisis general'!$E$4:$E$28,MATCH($B107,'Análisis general'!$B$4:$B$28,0)),"")</f>
        <v>9.5</v>
      </c>
      <c r="BC107" s="31">
        <f t="shared" si="31"/>
        <v>3</v>
      </c>
      <c r="BD107" s="32">
        <f t="shared" si="32"/>
        <v>6.4285714285714279</v>
      </c>
      <c r="BE107" s="32">
        <f t="shared" si="33"/>
        <v>9</v>
      </c>
    </row>
    <row r="108" spans="1:57" ht="25.5" customHeight="1" x14ac:dyDescent="0.25">
      <c r="A108" s="33" t="s">
        <v>639</v>
      </c>
      <c r="B108" s="11" t="s">
        <v>24</v>
      </c>
      <c r="C108" s="34" t="s">
        <v>112</v>
      </c>
      <c r="D108" s="24">
        <f t="shared" si="17"/>
        <v>6</v>
      </c>
      <c r="E108" s="59">
        <f t="shared" si="18"/>
        <v>6.4285714285714279</v>
      </c>
      <c r="F108" s="59">
        <f t="shared" si="19"/>
        <v>9</v>
      </c>
      <c r="G108" s="11" t="s">
        <v>640</v>
      </c>
      <c r="H108" s="25" t="str">
        <f>IFERROR(IF($AQ108,INDEX(cpe!$C$2:$C$307,MATCH($AR108,cpe!$F$2:$F$307,0)),INDEX(cpe!$C$2:$C$307,MATCH($AR108,cpe!$D$2:$D$307,0))),"#N/D")</f>
        <v>#N/D</v>
      </c>
      <c r="I108" s="25" t="str">
        <f>IFERROR(IF($AQ108,INDEX(cpe!$B$2:$B$307,MATCH($AR108,cpe!$F$2:$F$307,0)),INDEX(cpe!$B$2:$B$307,MATCH($AR108,cpe!$D$2:$D$307,0))),"#N/D")</f>
        <v>#N/D</v>
      </c>
      <c r="J108" s="26" t="str">
        <f>IF($AQ108,"#N/D",IFERROR(INDEX(Olimpiadas!$B$2:$B$61,MATCH($AO108,Olimpiadas!$C$2:$C$61,0)),"#N/D"))</f>
        <v>#N/D</v>
      </c>
      <c r="K108" s="26" t="str">
        <f>IF($AQ108,"#N/D",IFERROR(INDEX(Olimpiadas!$A$2:$A$61,MATCH($AO108,Olimpiadas!$C$2:$C$61,0)),"#N/D"))</f>
        <v>#N/D</v>
      </c>
      <c r="L108" s="26" t="str">
        <f>IF($AQ108,"#N/D",IFERROR(INDEX(Minculturas!$A$2:$A$48,MATCH($AO108,Minculturas!$C$2:$C$48,0)),"#N/D"))</f>
        <v>#N/D</v>
      </c>
      <c r="M108" s="26" t="str">
        <f>IF($AQ108,"#N/D",IFERROR(INDEX(Minculturas!$B$2:$B$48,MATCH($AO108,Minculturas!$C$2:$C$48,0)),"#N/D"))</f>
        <v>#N/D</v>
      </c>
      <c r="N108" s="27">
        <v>3</v>
      </c>
      <c r="O108" s="28">
        <v>0</v>
      </c>
      <c r="P108" s="28">
        <v>1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1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1</v>
      </c>
      <c r="AC108" s="28">
        <v>0</v>
      </c>
      <c r="AD108" s="28">
        <v>0</v>
      </c>
      <c r="AE108" s="28">
        <v>0</v>
      </c>
      <c r="AF108" s="28">
        <v>0</v>
      </c>
      <c r="AG108" s="27">
        <f t="shared" si="20"/>
        <v>2</v>
      </c>
      <c r="AH108" s="28"/>
      <c r="AI108" s="28"/>
      <c r="AJ108" s="28">
        <v>40.700000000000003</v>
      </c>
      <c r="AK108" s="28"/>
      <c r="AL108" s="28"/>
      <c r="AM108" s="29" t="s">
        <v>114</v>
      </c>
      <c r="AO108" t="str">
        <f t="shared" si="21"/>
        <v>marquetalia</v>
      </c>
      <c r="AP108" t="str">
        <f t="shared" si="22"/>
        <v>caldas</v>
      </c>
      <c r="AQ108" t="b">
        <f t="shared" si="23"/>
        <v>0</v>
      </c>
      <c r="AR108" t="str">
        <f t="shared" si="24"/>
        <v>marquetalia</v>
      </c>
      <c r="AS108" s="30">
        <f t="shared" si="25"/>
        <v>0</v>
      </c>
      <c r="AT108" s="30">
        <f t="shared" si="26"/>
        <v>2</v>
      </c>
      <c r="AU108" s="30">
        <f t="shared" si="27"/>
        <v>3</v>
      </c>
      <c r="AV108" s="30">
        <f t="shared" si="28"/>
        <v>3</v>
      </c>
      <c r="AZ108" s="31">
        <f t="shared" si="29"/>
        <v>3</v>
      </c>
      <c r="BA108" s="31">
        <f t="shared" si="30"/>
        <v>6</v>
      </c>
      <c r="BB108" s="32">
        <f>IFERROR(INDEX('Análisis general'!$E$4:$E$28,MATCH($B108,'Análisis general'!$B$4:$B$28,0)),"")</f>
        <v>7.9</v>
      </c>
      <c r="BC108" s="31">
        <f t="shared" si="31"/>
        <v>3</v>
      </c>
      <c r="BD108" s="32">
        <f t="shared" si="32"/>
        <v>6.4285714285714279</v>
      </c>
      <c r="BE108" s="32">
        <f t="shared" si="33"/>
        <v>9</v>
      </c>
    </row>
    <row r="109" spans="1:57" ht="25.5" customHeight="1" x14ac:dyDescent="0.25">
      <c r="A109" s="33" t="s">
        <v>882</v>
      </c>
      <c r="B109" s="11" t="s">
        <v>10</v>
      </c>
      <c r="C109" s="34" t="s">
        <v>112</v>
      </c>
      <c r="D109" s="24">
        <f t="shared" si="17"/>
        <v>6</v>
      </c>
      <c r="E109" s="59">
        <f t="shared" si="18"/>
        <v>6.4285714285714279</v>
      </c>
      <c r="F109" s="59">
        <f t="shared" si="19"/>
        <v>9</v>
      </c>
      <c r="G109" s="11" t="s">
        <v>883</v>
      </c>
      <c r="H109" s="25" t="str">
        <f>IFERROR(IF($AQ109,INDEX(cpe!$C$2:$C$307,MATCH($AR109,cpe!$F$2:$F$307,0)),INDEX(cpe!$C$2:$C$307,MATCH($AR109,cpe!$D$2:$D$307,0))),"#N/D")</f>
        <v>#N/D</v>
      </c>
      <c r="I109" s="25" t="str">
        <f>IFERROR(IF($AQ109,INDEX(cpe!$B$2:$B$307,MATCH($AR109,cpe!$F$2:$F$307,0)),INDEX(cpe!$B$2:$B$307,MATCH($AR109,cpe!$D$2:$D$307,0))),"#N/D")</f>
        <v>#N/D</v>
      </c>
      <c r="J109" s="26" t="str">
        <f>IF($AQ109,"#N/D",IFERROR(INDEX(Olimpiadas!$B$2:$B$61,MATCH($AO109,Olimpiadas!$C$2:$C$61,0)),"#N/D"))</f>
        <v>#N/D</v>
      </c>
      <c r="K109" s="26" t="str">
        <f>IF($AQ109,"#N/D",IFERROR(INDEX(Olimpiadas!$A$2:$A$61,MATCH($AO109,Olimpiadas!$C$2:$C$61,0)),"#N/D"))</f>
        <v>#N/D</v>
      </c>
      <c r="L109" s="26" t="str">
        <f>IF($AQ109,"#N/D",IFERROR(INDEX(Minculturas!$A$2:$A$48,MATCH($AO109,Minculturas!$C$2:$C$48,0)),"#N/D"))</f>
        <v>#N/D</v>
      </c>
      <c r="M109" s="26" t="str">
        <f>IF($AQ109,"#N/D",IFERROR(INDEX(Minculturas!$B$2:$B$48,MATCH($AO109,Minculturas!$C$2:$C$48,0)),"#N/D"))</f>
        <v>#N/D</v>
      </c>
      <c r="N109" s="27">
        <v>3</v>
      </c>
      <c r="O109" s="28">
        <v>0</v>
      </c>
      <c r="P109" s="28">
        <v>0</v>
      </c>
      <c r="Q109" s="28">
        <v>0</v>
      </c>
      <c r="R109" s="28">
        <v>0</v>
      </c>
      <c r="S109" s="28">
        <v>1</v>
      </c>
      <c r="T109" s="28">
        <v>1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1</v>
      </c>
      <c r="AC109" s="28">
        <v>0</v>
      </c>
      <c r="AD109" s="28">
        <v>0</v>
      </c>
      <c r="AE109" s="28">
        <v>0</v>
      </c>
      <c r="AF109" s="28">
        <v>0</v>
      </c>
      <c r="AG109" s="27">
        <f t="shared" si="20"/>
        <v>2</v>
      </c>
      <c r="AH109" s="28"/>
      <c r="AI109" s="28"/>
      <c r="AJ109" s="28">
        <v>53.1</v>
      </c>
      <c r="AK109" s="28"/>
      <c r="AL109" s="28"/>
      <c r="AM109" s="29" t="s">
        <v>365</v>
      </c>
      <c r="AO109" t="str">
        <f t="shared" si="21"/>
        <v>betulia</v>
      </c>
      <c r="AP109" t="str">
        <f t="shared" si="22"/>
        <v>antioquia</v>
      </c>
      <c r="AQ109" t="b">
        <f t="shared" si="23"/>
        <v>0</v>
      </c>
      <c r="AR109" t="str">
        <f t="shared" si="24"/>
        <v>betulia</v>
      </c>
      <c r="AS109" s="30">
        <f t="shared" si="25"/>
        <v>0</v>
      </c>
      <c r="AT109" s="30">
        <f t="shared" si="26"/>
        <v>2</v>
      </c>
      <c r="AU109" s="30">
        <f t="shared" si="27"/>
        <v>3</v>
      </c>
      <c r="AV109" s="30">
        <f t="shared" si="28"/>
        <v>3</v>
      </c>
      <c r="AZ109" s="31">
        <f t="shared" si="29"/>
        <v>3</v>
      </c>
      <c r="BA109" s="31">
        <f t="shared" si="30"/>
        <v>6</v>
      </c>
      <c r="BB109" s="32">
        <f>IFERROR(INDEX('Análisis general'!$E$4:$E$28,MATCH($B109,'Análisis general'!$B$4:$B$28,0)),"")</f>
        <v>9.5</v>
      </c>
      <c r="BC109" s="31">
        <f t="shared" si="31"/>
        <v>3</v>
      </c>
      <c r="BD109" s="32">
        <f t="shared" si="32"/>
        <v>6.4285714285714279</v>
      </c>
      <c r="BE109" s="32">
        <f t="shared" si="33"/>
        <v>9</v>
      </c>
    </row>
    <row r="110" spans="1:57" ht="25.5" customHeight="1" x14ac:dyDescent="0.25">
      <c r="A110" s="33" t="s">
        <v>406</v>
      </c>
      <c r="B110" s="11" t="s">
        <v>31</v>
      </c>
      <c r="C110" s="34" t="s">
        <v>112</v>
      </c>
      <c r="D110" s="24">
        <f t="shared" si="17"/>
        <v>6</v>
      </c>
      <c r="E110" s="59">
        <f t="shared" si="18"/>
        <v>6.4285714285714279</v>
      </c>
      <c r="F110" s="59">
        <f t="shared" si="19"/>
        <v>9</v>
      </c>
      <c r="G110" s="11" t="s">
        <v>407</v>
      </c>
      <c r="H110" s="25" t="str">
        <f>IFERROR(IF($AQ110,INDEX(cpe!$C$2:$C$307,MATCH($AR110,cpe!$F$2:$F$307,0)),INDEX(cpe!$C$2:$C$307,MATCH($AR110,cpe!$D$2:$D$307,0))),"#N/D")</f>
        <v>#N/D</v>
      </c>
      <c r="I110" s="25" t="str">
        <f>IFERROR(IF($AQ110,INDEX(cpe!$B$2:$B$307,MATCH($AR110,cpe!$F$2:$F$307,0)),INDEX(cpe!$B$2:$B$307,MATCH($AR110,cpe!$D$2:$D$307,0))),"#N/D")</f>
        <v>#N/D</v>
      </c>
      <c r="J110" s="26" t="str">
        <f>IF($AQ110,"#N/D",IFERROR(INDEX(Olimpiadas!$B$2:$B$61,MATCH($AO110,Olimpiadas!$C$2:$C$61,0)),"#N/D"))</f>
        <v>#N/D</v>
      </c>
      <c r="K110" s="26" t="str">
        <f>IF($AQ110,"#N/D",IFERROR(INDEX(Olimpiadas!$A$2:$A$61,MATCH($AO110,Olimpiadas!$C$2:$C$61,0)),"#N/D"))</f>
        <v>#N/D</v>
      </c>
      <c r="L110" s="26" t="str">
        <f>IF($AQ110,"#N/D",IFERROR(INDEX(Minculturas!$A$2:$A$48,MATCH($AO110,Minculturas!$C$2:$C$48,0)),"#N/D"))</f>
        <v>#N/D</v>
      </c>
      <c r="M110" s="26" t="str">
        <f>IF($AQ110,"#N/D",IFERROR(INDEX(Minculturas!$B$2:$B$48,MATCH($AO110,Minculturas!$C$2:$C$48,0)),"#N/D"))</f>
        <v>#N/D</v>
      </c>
      <c r="N110" s="27">
        <v>2</v>
      </c>
      <c r="O110" s="28">
        <v>1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1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7">
        <f t="shared" si="20"/>
        <v>1</v>
      </c>
      <c r="AH110" s="28" t="s">
        <v>233</v>
      </c>
      <c r="AI110" s="28" t="s">
        <v>408</v>
      </c>
      <c r="AJ110" s="28">
        <v>46.6</v>
      </c>
      <c r="AK110" s="28"/>
      <c r="AL110" s="28"/>
      <c r="AM110" s="29" t="s">
        <v>114</v>
      </c>
      <c r="AO110" t="str">
        <f t="shared" si="21"/>
        <v>bahia solano</v>
      </c>
      <c r="AP110" t="str">
        <f t="shared" si="22"/>
        <v>choco</v>
      </c>
      <c r="AQ110" t="b">
        <f t="shared" si="23"/>
        <v>0</v>
      </c>
      <c r="AR110" t="str">
        <f t="shared" si="24"/>
        <v>bahia solano</v>
      </c>
      <c r="AS110" s="30">
        <f t="shared" si="25"/>
        <v>0</v>
      </c>
      <c r="AT110" s="30">
        <f t="shared" si="26"/>
        <v>1</v>
      </c>
      <c r="AU110" s="30">
        <f t="shared" si="27"/>
        <v>3</v>
      </c>
      <c r="AV110" s="30">
        <f t="shared" si="28"/>
        <v>3</v>
      </c>
      <c r="AZ110" s="31">
        <f t="shared" si="29"/>
        <v>3</v>
      </c>
      <c r="BA110" s="31">
        <f t="shared" si="30"/>
        <v>6</v>
      </c>
      <c r="BB110" s="32">
        <f>IFERROR(INDEX('Análisis general'!$E$4:$E$28,MATCH($B110,'Análisis general'!$B$4:$B$28,0)),"")</f>
        <v>30.8</v>
      </c>
      <c r="BC110" s="31">
        <f t="shared" si="31"/>
        <v>3</v>
      </c>
      <c r="BD110" s="32">
        <f t="shared" si="32"/>
        <v>6.4285714285714279</v>
      </c>
      <c r="BE110" s="32">
        <f t="shared" si="33"/>
        <v>9</v>
      </c>
    </row>
    <row r="111" spans="1:57" ht="25.5" customHeight="1" x14ac:dyDescent="0.25">
      <c r="A111" s="33" t="s">
        <v>409</v>
      </c>
      <c r="B111" s="11" t="s">
        <v>28</v>
      </c>
      <c r="C111" s="34" t="s">
        <v>112</v>
      </c>
      <c r="D111" s="24">
        <f t="shared" si="17"/>
        <v>6</v>
      </c>
      <c r="E111" s="59">
        <f t="shared" si="18"/>
        <v>6.4285714285714279</v>
      </c>
      <c r="F111" s="59">
        <f t="shared" si="19"/>
        <v>9</v>
      </c>
      <c r="G111" s="11" t="s">
        <v>410</v>
      </c>
      <c r="H111" s="25" t="str">
        <f>IFERROR(IF($AQ111,INDEX(cpe!$C$2:$C$307,MATCH($AR111,cpe!$F$2:$F$307,0)),INDEX(cpe!$C$2:$C$307,MATCH($AR111,cpe!$D$2:$D$307,0))),"#N/D")</f>
        <v>#N/D</v>
      </c>
      <c r="I111" s="25" t="str">
        <f>IFERROR(IF($AQ111,INDEX(cpe!$B$2:$B$307,MATCH($AR111,cpe!$F$2:$F$307,0)),INDEX(cpe!$B$2:$B$307,MATCH($AR111,cpe!$D$2:$D$307,0))),"#N/D")</f>
        <v>#N/D</v>
      </c>
      <c r="J111" s="26" t="str">
        <f>IF($AQ111,"#N/D",IFERROR(INDEX(Olimpiadas!$B$2:$B$61,MATCH($AO111,Olimpiadas!$C$2:$C$61,0)),"#N/D"))</f>
        <v>#N/D</v>
      </c>
      <c r="K111" s="26" t="str">
        <f>IF($AQ111,"#N/D",IFERROR(INDEX(Olimpiadas!$A$2:$A$61,MATCH($AO111,Olimpiadas!$C$2:$C$61,0)),"#N/D"))</f>
        <v>#N/D</v>
      </c>
      <c r="L111" s="26" t="str">
        <f>IF($AQ111,"#N/D",IFERROR(INDEX(Minculturas!$A$2:$A$48,MATCH($AO111,Minculturas!$C$2:$C$48,0)),"#N/D"))</f>
        <v>#N/D</v>
      </c>
      <c r="M111" s="26" t="str">
        <f>IF($AQ111,"#N/D",IFERROR(INDEX(Minculturas!$B$2:$B$48,MATCH($AO111,Minculturas!$C$2:$C$48,0)),"#N/D"))</f>
        <v>#N/D</v>
      </c>
      <c r="N111" s="27">
        <v>2</v>
      </c>
      <c r="O111" s="28">
        <v>0</v>
      </c>
      <c r="P111" s="28">
        <v>0</v>
      </c>
      <c r="Q111" s="28">
        <v>1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1</v>
      </c>
      <c r="AC111" s="28">
        <v>0</v>
      </c>
      <c r="AD111" s="28">
        <v>0</v>
      </c>
      <c r="AE111" s="28">
        <v>0</v>
      </c>
      <c r="AF111" s="28">
        <v>0</v>
      </c>
      <c r="AG111" s="27">
        <f t="shared" si="20"/>
        <v>1</v>
      </c>
      <c r="AH111" s="28"/>
      <c r="AI111" s="28"/>
      <c r="AJ111" s="28">
        <v>56.9</v>
      </c>
      <c r="AK111" s="28"/>
      <c r="AL111" s="28"/>
      <c r="AM111" s="29" t="s">
        <v>114</v>
      </c>
      <c r="AO111" t="str">
        <f t="shared" si="21"/>
        <v>cajibio</v>
      </c>
      <c r="AP111" t="str">
        <f t="shared" si="22"/>
        <v>cauca</v>
      </c>
      <c r="AQ111" t="b">
        <f t="shared" si="23"/>
        <v>0</v>
      </c>
      <c r="AR111" t="str">
        <f t="shared" si="24"/>
        <v>cajibio</v>
      </c>
      <c r="AS111" s="30">
        <f t="shared" si="25"/>
        <v>0</v>
      </c>
      <c r="AT111" s="30">
        <f t="shared" si="26"/>
        <v>1</v>
      </c>
      <c r="AU111" s="30">
        <f t="shared" si="27"/>
        <v>3</v>
      </c>
      <c r="AV111" s="30">
        <f t="shared" si="28"/>
        <v>3</v>
      </c>
      <c r="AZ111" s="31">
        <f t="shared" si="29"/>
        <v>3</v>
      </c>
      <c r="BA111" s="31">
        <f t="shared" si="30"/>
        <v>6</v>
      </c>
      <c r="BB111" s="32">
        <f>IFERROR(INDEX('Análisis general'!$E$4:$E$28,MATCH($B111,'Análisis general'!$B$4:$B$28,0)),"")</f>
        <v>13</v>
      </c>
      <c r="BC111" s="31">
        <f t="shared" si="31"/>
        <v>3</v>
      </c>
      <c r="BD111" s="32">
        <f t="shared" si="32"/>
        <v>6.4285714285714279</v>
      </c>
      <c r="BE111" s="32">
        <f t="shared" si="33"/>
        <v>9</v>
      </c>
    </row>
    <row r="112" spans="1:57" ht="25.5" customHeight="1" x14ac:dyDescent="0.25">
      <c r="A112" s="33" t="s">
        <v>411</v>
      </c>
      <c r="B112" s="11" t="s">
        <v>28</v>
      </c>
      <c r="C112" s="34" t="s">
        <v>112</v>
      </c>
      <c r="D112" s="24">
        <f t="shared" si="17"/>
        <v>6</v>
      </c>
      <c r="E112" s="59">
        <f t="shared" si="18"/>
        <v>6.4285714285714279</v>
      </c>
      <c r="F112" s="59">
        <f t="shared" si="19"/>
        <v>9</v>
      </c>
      <c r="G112" s="11" t="s">
        <v>412</v>
      </c>
      <c r="H112" s="25" t="str">
        <f>IFERROR(IF($AQ112,INDEX(cpe!$C$2:$C$307,MATCH($AR112,cpe!$F$2:$F$307,0)),INDEX(cpe!$C$2:$C$307,MATCH($AR112,cpe!$D$2:$D$307,0))),"#N/D")</f>
        <v>#N/D</v>
      </c>
      <c r="I112" s="25" t="str">
        <f>IFERROR(IF($AQ112,INDEX(cpe!$B$2:$B$307,MATCH($AR112,cpe!$F$2:$F$307,0)),INDEX(cpe!$B$2:$B$307,MATCH($AR112,cpe!$D$2:$D$307,0))),"#N/D")</f>
        <v>#N/D</v>
      </c>
      <c r="J112" s="26" t="str">
        <f>IF($AQ112,"#N/D",IFERROR(INDEX(Olimpiadas!$B$2:$B$61,MATCH($AO112,Olimpiadas!$C$2:$C$61,0)),"#N/D"))</f>
        <v>#N/D</v>
      </c>
      <c r="K112" s="26" t="str">
        <f>IF($AQ112,"#N/D",IFERROR(INDEX(Olimpiadas!$A$2:$A$61,MATCH($AO112,Olimpiadas!$C$2:$C$61,0)),"#N/D"))</f>
        <v>#N/D</v>
      </c>
      <c r="L112" s="26" t="str">
        <f>IF($AQ112,"#N/D",IFERROR(INDEX(Minculturas!$A$2:$A$48,MATCH($AO112,Minculturas!$C$2:$C$48,0)),"#N/D"))</f>
        <v>#N/D</v>
      </c>
      <c r="M112" s="26" t="str">
        <f>IF($AQ112,"#N/D",IFERROR(INDEX(Minculturas!$B$2:$B$48,MATCH($AO112,Minculturas!$C$2:$C$48,0)),"#N/D"))</f>
        <v>#N/D</v>
      </c>
      <c r="N112" s="27">
        <v>1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1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7">
        <f t="shared" si="20"/>
        <v>1</v>
      </c>
      <c r="AH112" s="28"/>
      <c r="AI112" s="28"/>
      <c r="AJ112" s="28">
        <v>56</v>
      </c>
      <c r="AK112" s="28"/>
      <c r="AL112" s="28"/>
      <c r="AM112" s="29" t="s">
        <v>114</v>
      </c>
      <c r="AO112" t="str">
        <f t="shared" si="21"/>
        <v>caldono</v>
      </c>
      <c r="AP112" t="str">
        <f t="shared" si="22"/>
        <v>cauca</v>
      </c>
      <c r="AQ112" t="b">
        <f t="shared" si="23"/>
        <v>0</v>
      </c>
      <c r="AR112" t="str">
        <f t="shared" si="24"/>
        <v>caldono</v>
      </c>
      <c r="AS112" s="30">
        <f t="shared" si="25"/>
        <v>0</v>
      </c>
      <c r="AT112" s="30">
        <f t="shared" si="26"/>
        <v>1</v>
      </c>
      <c r="AU112" s="30">
        <f t="shared" si="27"/>
        <v>3</v>
      </c>
      <c r="AV112" s="30">
        <f t="shared" si="28"/>
        <v>3</v>
      </c>
      <c r="AZ112" s="31">
        <f t="shared" si="29"/>
        <v>3</v>
      </c>
      <c r="BA112" s="31">
        <f t="shared" si="30"/>
        <v>6</v>
      </c>
      <c r="BB112" s="32">
        <f>IFERROR(INDEX('Análisis general'!$E$4:$E$28,MATCH($B112,'Análisis general'!$B$4:$B$28,0)),"")</f>
        <v>13</v>
      </c>
      <c r="BC112" s="31">
        <f t="shared" si="31"/>
        <v>3</v>
      </c>
      <c r="BD112" s="32">
        <f t="shared" si="32"/>
        <v>6.4285714285714279</v>
      </c>
      <c r="BE112" s="32">
        <f t="shared" si="33"/>
        <v>9</v>
      </c>
    </row>
    <row r="113" spans="1:57" ht="25.5" customHeight="1" x14ac:dyDescent="0.25">
      <c r="A113" s="33" t="s">
        <v>413</v>
      </c>
      <c r="B113" s="11" t="s">
        <v>42</v>
      </c>
      <c r="C113" s="34" t="s">
        <v>112</v>
      </c>
      <c r="D113" s="24">
        <f t="shared" si="17"/>
        <v>6</v>
      </c>
      <c r="E113" s="59">
        <f t="shared" si="18"/>
        <v>6.4285714285714279</v>
      </c>
      <c r="F113" s="59">
        <f t="shared" si="19"/>
        <v>9</v>
      </c>
      <c r="G113" s="11" t="s">
        <v>414</v>
      </c>
      <c r="H113" s="25" t="str">
        <f>IFERROR(IF($AQ113,INDEX(cpe!$C$2:$C$307,MATCH($AR113,cpe!$F$2:$F$307,0)),INDEX(cpe!$C$2:$C$307,MATCH($AR113,cpe!$D$2:$D$307,0))),"#N/D")</f>
        <v>#N/D</v>
      </c>
      <c r="I113" s="25" t="str">
        <f>IFERROR(IF($AQ113,INDEX(cpe!$B$2:$B$307,MATCH($AR113,cpe!$F$2:$F$307,0)),INDEX(cpe!$B$2:$B$307,MATCH($AR113,cpe!$D$2:$D$307,0))),"#N/D")</f>
        <v>#N/D</v>
      </c>
      <c r="J113" s="26" t="str">
        <f>IF($AQ113,"#N/D",IFERROR(INDEX(Olimpiadas!$B$2:$B$61,MATCH($AO113,Olimpiadas!$C$2:$C$61,0)),"#N/D"))</f>
        <v>#N/D</v>
      </c>
      <c r="K113" s="26" t="str">
        <f>IF($AQ113,"#N/D",IFERROR(INDEX(Olimpiadas!$A$2:$A$61,MATCH($AO113,Olimpiadas!$C$2:$C$61,0)),"#N/D"))</f>
        <v>#N/D</v>
      </c>
      <c r="L113" s="26" t="str">
        <f>IF($AQ113,"#N/D",IFERROR(INDEX(Minculturas!$A$2:$A$48,MATCH($AO113,Minculturas!$C$2:$C$48,0)),"#N/D"))</f>
        <v>#N/D</v>
      </c>
      <c r="M113" s="26" t="str">
        <f>IF($AQ113,"#N/D",IFERROR(INDEX(Minculturas!$B$2:$B$48,MATCH($AO113,Minculturas!$C$2:$C$48,0)),"#N/D"))</f>
        <v>#N/D</v>
      </c>
      <c r="N113" s="27">
        <v>1</v>
      </c>
      <c r="O113" s="28">
        <v>0</v>
      </c>
      <c r="P113" s="28">
        <v>0</v>
      </c>
      <c r="Q113" s="28">
        <v>0</v>
      </c>
      <c r="R113" s="28">
        <v>0</v>
      </c>
      <c r="S113" s="28">
        <v>1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7">
        <f t="shared" si="20"/>
        <v>1</v>
      </c>
      <c r="AH113" s="28"/>
      <c r="AI113" s="28"/>
      <c r="AJ113" s="28">
        <v>30.3</v>
      </c>
      <c r="AK113" s="28"/>
      <c r="AL113" s="28"/>
      <c r="AM113" s="29" t="s">
        <v>114</v>
      </c>
      <c r="AO113" t="str">
        <f t="shared" si="21"/>
        <v>chinacota</v>
      </c>
      <c r="AP113" t="str">
        <f t="shared" si="22"/>
        <v>norte de santander</v>
      </c>
      <c r="AQ113" t="b">
        <f t="shared" si="23"/>
        <v>0</v>
      </c>
      <c r="AR113" t="str">
        <f t="shared" si="24"/>
        <v>chinacota</v>
      </c>
      <c r="AS113" s="30">
        <f t="shared" si="25"/>
        <v>0</v>
      </c>
      <c r="AT113" s="30">
        <f t="shared" si="26"/>
        <v>1</v>
      </c>
      <c r="AU113" s="30">
        <f t="shared" si="27"/>
        <v>3</v>
      </c>
      <c r="AV113" s="30">
        <f t="shared" si="28"/>
        <v>3</v>
      </c>
      <c r="AZ113" s="31">
        <f t="shared" si="29"/>
        <v>3</v>
      </c>
      <c r="BA113" s="31">
        <f t="shared" si="30"/>
        <v>6</v>
      </c>
      <c r="BB113" s="32">
        <f>IFERROR(INDEX('Análisis general'!$E$4:$E$28,MATCH($B113,'Análisis general'!$B$4:$B$28,0)),"")</f>
        <v>13.3</v>
      </c>
      <c r="BC113" s="31">
        <f t="shared" si="31"/>
        <v>3</v>
      </c>
      <c r="BD113" s="32">
        <f t="shared" si="32"/>
        <v>6.4285714285714279</v>
      </c>
      <c r="BE113" s="32">
        <f t="shared" si="33"/>
        <v>9</v>
      </c>
    </row>
    <row r="114" spans="1:57" ht="25.5" customHeight="1" x14ac:dyDescent="0.25">
      <c r="A114" s="33" t="s">
        <v>415</v>
      </c>
      <c r="B114" s="11" t="s">
        <v>41</v>
      </c>
      <c r="C114" s="34" t="s">
        <v>112</v>
      </c>
      <c r="D114" s="24">
        <f t="shared" si="17"/>
        <v>6</v>
      </c>
      <c r="E114" s="59">
        <f t="shared" si="18"/>
        <v>6.4285714285714279</v>
      </c>
      <c r="F114" s="59">
        <f t="shared" si="19"/>
        <v>9</v>
      </c>
      <c r="G114" s="11" t="s">
        <v>416</v>
      </c>
      <c r="H114" s="25" t="str">
        <f>IFERROR(IF($AQ114,INDEX(cpe!$C$2:$C$307,MATCH($AR114,cpe!$F$2:$F$307,0)),INDEX(cpe!$C$2:$C$307,MATCH($AR114,cpe!$D$2:$D$307,0))),"#N/D")</f>
        <v>#N/D</v>
      </c>
      <c r="I114" s="25" t="str">
        <f>IFERROR(IF($AQ114,INDEX(cpe!$B$2:$B$307,MATCH($AR114,cpe!$F$2:$F$307,0)),INDEX(cpe!$B$2:$B$307,MATCH($AR114,cpe!$D$2:$D$307,0))),"#N/D")</f>
        <v>#N/D</v>
      </c>
      <c r="J114" s="26" t="str">
        <f>IF($AQ114,"#N/D",IFERROR(INDEX(Olimpiadas!$B$2:$B$61,MATCH($AO114,Olimpiadas!$C$2:$C$61,0)),"#N/D"))</f>
        <v>#N/D</v>
      </c>
      <c r="K114" s="26" t="str">
        <f>IF($AQ114,"#N/D",IFERROR(INDEX(Olimpiadas!$A$2:$A$61,MATCH($AO114,Olimpiadas!$C$2:$C$61,0)),"#N/D"))</f>
        <v>#N/D</v>
      </c>
      <c r="L114" s="26" t="str">
        <f>IF($AQ114,"#N/D",IFERROR(INDEX(Minculturas!$A$2:$A$48,MATCH($AO114,Minculturas!$C$2:$C$48,0)),"#N/D"))</f>
        <v>#N/D</v>
      </c>
      <c r="M114" s="26" t="str">
        <f>IF($AQ114,"#N/D",IFERROR(INDEX(Minculturas!$B$2:$B$48,MATCH($AO114,Minculturas!$C$2:$C$48,0)),"#N/D"))</f>
        <v>#N/D</v>
      </c>
      <c r="N114" s="27">
        <v>1</v>
      </c>
      <c r="O114" s="28">
        <v>0</v>
      </c>
      <c r="P114" s="28">
        <v>0</v>
      </c>
      <c r="Q114" s="28">
        <v>0</v>
      </c>
      <c r="R114" s="28">
        <v>0</v>
      </c>
      <c r="S114" s="28">
        <v>1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7">
        <f t="shared" si="20"/>
        <v>1</v>
      </c>
      <c r="AH114" s="28"/>
      <c r="AI114" s="28"/>
      <c r="AJ114" s="28">
        <v>34.9</v>
      </c>
      <c r="AK114" s="28"/>
      <c r="AL114" s="28"/>
      <c r="AM114" s="29" t="s">
        <v>114</v>
      </c>
      <c r="AO114" t="str">
        <f t="shared" si="21"/>
        <v>consaca</v>
      </c>
      <c r="AP114" t="str">
        <f t="shared" si="22"/>
        <v>narino</v>
      </c>
      <c r="AQ114" t="b">
        <f t="shared" si="23"/>
        <v>0</v>
      </c>
      <c r="AR114" t="str">
        <f t="shared" si="24"/>
        <v>consaca</v>
      </c>
      <c r="AS114" s="30">
        <f t="shared" si="25"/>
        <v>0</v>
      </c>
      <c r="AT114" s="30">
        <f t="shared" si="26"/>
        <v>1</v>
      </c>
      <c r="AU114" s="30">
        <f t="shared" si="27"/>
        <v>3</v>
      </c>
      <c r="AV114" s="30">
        <f t="shared" si="28"/>
        <v>3</v>
      </c>
      <c r="AZ114" s="31">
        <f t="shared" si="29"/>
        <v>3</v>
      </c>
      <c r="BA114" s="31">
        <f t="shared" si="30"/>
        <v>6</v>
      </c>
      <c r="BB114" s="32">
        <f>IFERROR(INDEX('Análisis general'!$E$4:$E$28,MATCH($B114,'Análisis general'!$B$4:$B$28,0)),"")</f>
        <v>13.2</v>
      </c>
      <c r="BC114" s="31">
        <f t="shared" si="31"/>
        <v>3</v>
      </c>
      <c r="BD114" s="32">
        <f t="shared" si="32"/>
        <v>6.4285714285714279</v>
      </c>
      <c r="BE114" s="32">
        <f t="shared" si="33"/>
        <v>9</v>
      </c>
    </row>
    <row r="115" spans="1:57" ht="25.5" customHeight="1" x14ac:dyDescent="0.25">
      <c r="A115" s="33" t="s">
        <v>417</v>
      </c>
      <c r="B115" s="11" t="s">
        <v>47</v>
      </c>
      <c r="C115" s="34" t="s">
        <v>112</v>
      </c>
      <c r="D115" s="24">
        <f t="shared" si="17"/>
        <v>6</v>
      </c>
      <c r="E115" s="59">
        <f t="shared" si="18"/>
        <v>6.4285714285714279</v>
      </c>
      <c r="F115" s="59">
        <f t="shared" si="19"/>
        <v>9</v>
      </c>
      <c r="G115" s="11" t="s">
        <v>418</v>
      </c>
      <c r="H115" s="25" t="str">
        <f>IFERROR(IF($AQ115,INDEX(cpe!$C$2:$C$307,MATCH($AR115,cpe!$F$2:$F$307,0)),INDEX(cpe!$C$2:$C$307,MATCH($AR115,cpe!$D$2:$D$307,0))),"#N/D")</f>
        <v>#N/D</v>
      </c>
      <c r="I115" s="25" t="str">
        <f>IFERROR(IF($AQ115,INDEX(cpe!$B$2:$B$307,MATCH($AR115,cpe!$F$2:$F$307,0)),INDEX(cpe!$B$2:$B$307,MATCH($AR115,cpe!$D$2:$D$307,0))),"#N/D")</f>
        <v>#N/D</v>
      </c>
      <c r="J115" s="26" t="str">
        <f>IF($AQ115,"#N/D",IFERROR(INDEX(Olimpiadas!$B$2:$B$61,MATCH($AO115,Olimpiadas!$C$2:$C$61,0)),"#N/D"))</f>
        <v>#N/D</v>
      </c>
      <c r="K115" s="26" t="str">
        <f>IF($AQ115,"#N/D",IFERROR(INDEX(Olimpiadas!$A$2:$A$61,MATCH($AO115,Olimpiadas!$C$2:$C$61,0)),"#N/D"))</f>
        <v>#N/D</v>
      </c>
      <c r="L115" s="26" t="str">
        <f>IF($AQ115,"#N/D",IFERROR(INDEX(Minculturas!$A$2:$A$48,MATCH($AO115,Minculturas!$C$2:$C$48,0)),"#N/D"))</f>
        <v>#N/D</v>
      </c>
      <c r="M115" s="26" t="str">
        <f>IF($AQ115,"#N/D",IFERROR(INDEX(Minculturas!$B$2:$B$48,MATCH($AO115,Minculturas!$C$2:$C$48,0)),"#N/D"))</f>
        <v>#N/D</v>
      </c>
      <c r="N115" s="27">
        <v>1</v>
      </c>
      <c r="O115" s="28">
        <v>0</v>
      </c>
      <c r="P115" s="28">
        <v>0</v>
      </c>
      <c r="Q115" s="28">
        <v>1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7">
        <f t="shared" si="20"/>
        <v>1</v>
      </c>
      <c r="AH115" s="28"/>
      <c r="AI115" s="28"/>
      <c r="AJ115" s="28">
        <v>45</v>
      </c>
      <c r="AK115" s="28"/>
      <c r="AL115" s="28"/>
      <c r="AM115" s="29" t="s">
        <v>246</v>
      </c>
      <c r="AO115" t="str">
        <f t="shared" si="21"/>
        <v>covenas</v>
      </c>
      <c r="AP115" t="str">
        <f t="shared" si="22"/>
        <v>sucre</v>
      </c>
      <c r="AQ115" t="b">
        <f t="shared" si="23"/>
        <v>0</v>
      </c>
      <c r="AR115" t="str">
        <f t="shared" si="24"/>
        <v>covenas</v>
      </c>
      <c r="AS115" s="30">
        <f t="shared" si="25"/>
        <v>0</v>
      </c>
      <c r="AT115" s="30">
        <f t="shared" si="26"/>
        <v>1</v>
      </c>
      <c r="AU115" s="30">
        <f t="shared" si="27"/>
        <v>3</v>
      </c>
      <c r="AV115" s="30">
        <f t="shared" si="28"/>
        <v>3</v>
      </c>
      <c r="AZ115" s="31">
        <f t="shared" si="29"/>
        <v>3</v>
      </c>
      <c r="BA115" s="31">
        <f t="shared" si="30"/>
        <v>6</v>
      </c>
      <c r="BB115" s="32">
        <f>IFERROR(INDEX('Análisis general'!$E$4:$E$28,MATCH($B115,'Análisis general'!$B$4:$B$28,0)),"")</f>
        <v>25.4</v>
      </c>
      <c r="BC115" s="31">
        <f t="shared" si="31"/>
        <v>3</v>
      </c>
      <c r="BD115" s="32">
        <f t="shared" si="32"/>
        <v>6.4285714285714279</v>
      </c>
      <c r="BE115" s="32">
        <f t="shared" si="33"/>
        <v>9</v>
      </c>
    </row>
    <row r="116" spans="1:57" ht="25.5" customHeight="1" x14ac:dyDescent="0.25">
      <c r="A116" s="33" t="s">
        <v>419</v>
      </c>
      <c r="B116" s="11" t="s">
        <v>41</v>
      </c>
      <c r="C116" s="34" t="s">
        <v>112</v>
      </c>
      <c r="D116" s="24">
        <f t="shared" si="17"/>
        <v>6</v>
      </c>
      <c r="E116" s="59">
        <f t="shared" si="18"/>
        <v>6.4285714285714279</v>
      </c>
      <c r="F116" s="59">
        <f t="shared" si="19"/>
        <v>9</v>
      </c>
      <c r="G116" s="11" t="s">
        <v>420</v>
      </c>
      <c r="H116" s="25" t="str">
        <f>IFERROR(IF($AQ116,INDEX(cpe!$C$2:$C$307,MATCH($AR116,cpe!$F$2:$F$307,0)),INDEX(cpe!$C$2:$C$307,MATCH($AR116,cpe!$D$2:$D$307,0))),"#N/D")</f>
        <v>#N/D</v>
      </c>
      <c r="I116" s="25" t="str">
        <f>IFERROR(IF($AQ116,INDEX(cpe!$B$2:$B$307,MATCH($AR116,cpe!$F$2:$F$307,0)),INDEX(cpe!$B$2:$B$307,MATCH($AR116,cpe!$D$2:$D$307,0))),"#N/D")</f>
        <v>#N/D</v>
      </c>
      <c r="J116" s="26" t="str">
        <f>IF($AQ116,"#N/D",IFERROR(INDEX(Olimpiadas!$B$2:$B$61,MATCH($AO116,Olimpiadas!$C$2:$C$61,0)),"#N/D"))</f>
        <v>#N/D</v>
      </c>
      <c r="K116" s="26" t="str">
        <f>IF($AQ116,"#N/D",IFERROR(INDEX(Olimpiadas!$A$2:$A$61,MATCH($AO116,Olimpiadas!$C$2:$C$61,0)),"#N/D"))</f>
        <v>#N/D</v>
      </c>
      <c r="L116" s="26" t="str">
        <f>IF($AQ116,"#N/D",IFERROR(INDEX(Minculturas!$A$2:$A$48,MATCH($AO116,Minculturas!$C$2:$C$48,0)),"#N/D"))</f>
        <v>#N/D</v>
      </c>
      <c r="M116" s="26" t="str">
        <f>IF($AQ116,"#N/D",IFERROR(INDEX(Minculturas!$B$2:$B$48,MATCH($AO116,Minculturas!$C$2:$C$48,0)),"#N/D"))</f>
        <v>#N/D</v>
      </c>
      <c r="N116" s="27">
        <v>1</v>
      </c>
      <c r="O116" s="28">
        <v>0</v>
      </c>
      <c r="P116" s="28">
        <v>0</v>
      </c>
      <c r="Q116" s="28">
        <v>1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7">
        <f t="shared" si="20"/>
        <v>1</v>
      </c>
      <c r="AH116" s="28"/>
      <c r="AI116" s="28"/>
      <c r="AJ116" s="28">
        <v>51.4</v>
      </c>
      <c r="AK116" s="28"/>
      <c r="AL116" s="28"/>
      <c r="AM116" s="29" t="s">
        <v>114</v>
      </c>
      <c r="AO116" t="str">
        <f t="shared" si="21"/>
        <v>cuaspud</v>
      </c>
      <c r="AP116" t="str">
        <f t="shared" si="22"/>
        <v>narino</v>
      </c>
      <c r="AQ116" t="b">
        <f t="shared" si="23"/>
        <v>0</v>
      </c>
      <c r="AR116" t="str">
        <f t="shared" si="24"/>
        <v>cuaspud</v>
      </c>
      <c r="AS116" s="30">
        <f t="shared" si="25"/>
        <v>0</v>
      </c>
      <c r="AT116" s="30">
        <f t="shared" si="26"/>
        <v>1</v>
      </c>
      <c r="AU116" s="30">
        <f t="shared" si="27"/>
        <v>3</v>
      </c>
      <c r="AV116" s="30">
        <f t="shared" si="28"/>
        <v>3</v>
      </c>
      <c r="AZ116" s="31">
        <f t="shared" si="29"/>
        <v>3</v>
      </c>
      <c r="BA116" s="31">
        <f t="shared" si="30"/>
        <v>6</v>
      </c>
      <c r="BB116" s="32">
        <f>IFERROR(INDEX('Análisis general'!$E$4:$E$28,MATCH($B116,'Análisis general'!$B$4:$B$28,0)),"")</f>
        <v>13.2</v>
      </c>
      <c r="BC116" s="31">
        <f t="shared" si="31"/>
        <v>3</v>
      </c>
      <c r="BD116" s="32">
        <f t="shared" si="32"/>
        <v>6.4285714285714279</v>
      </c>
      <c r="BE116" s="32">
        <f t="shared" si="33"/>
        <v>9</v>
      </c>
    </row>
    <row r="117" spans="1:57" ht="25.5" customHeight="1" x14ac:dyDescent="0.25">
      <c r="A117" s="33" t="s">
        <v>421</v>
      </c>
      <c r="B117" s="11" t="s">
        <v>41</v>
      </c>
      <c r="C117" s="34" t="s">
        <v>112</v>
      </c>
      <c r="D117" s="24">
        <f t="shared" si="17"/>
        <v>6</v>
      </c>
      <c r="E117" s="59">
        <f t="shared" si="18"/>
        <v>6.4285714285714279</v>
      </c>
      <c r="F117" s="59">
        <f t="shared" si="19"/>
        <v>9</v>
      </c>
      <c r="G117" s="11" t="s">
        <v>422</v>
      </c>
      <c r="H117" s="25" t="str">
        <f>IFERROR(IF($AQ117,INDEX(cpe!$C$2:$C$307,MATCH($AR117,cpe!$F$2:$F$307,0)),INDEX(cpe!$C$2:$C$307,MATCH($AR117,cpe!$D$2:$D$307,0))),"#N/D")</f>
        <v>#N/D</v>
      </c>
      <c r="I117" s="25" t="str">
        <f>IFERROR(IF($AQ117,INDEX(cpe!$B$2:$B$307,MATCH($AR117,cpe!$F$2:$F$307,0)),INDEX(cpe!$B$2:$B$307,MATCH($AR117,cpe!$D$2:$D$307,0))),"#N/D")</f>
        <v>#N/D</v>
      </c>
      <c r="J117" s="26" t="str">
        <f>IF($AQ117,"#N/D",IFERROR(INDEX(Olimpiadas!$B$2:$B$61,MATCH($AO117,Olimpiadas!$C$2:$C$61,0)),"#N/D"))</f>
        <v>#N/D</v>
      </c>
      <c r="K117" s="26" t="str">
        <f>IF($AQ117,"#N/D",IFERROR(INDEX(Olimpiadas!$A$2:$A$61,MATCH($AO117,Olimpiadas!$C$2:$C$61,0)),"#N/D"))</f>
        <v>#N/D</v>
      </c>
      <c r="L117" s="26" t="str">
        <f>IF($AQ117,"#N/D",IFERROR(INDEX(Minculturas!$A$2:$A$48,MATCH($AO117,Minculturas!$C$2:$C$48,0)),"#N/D"))</f>
        <v>#N/D</v>
      </c>
      <c r="M117" s="26" t="str">
        <f>IF($AQ117,"#N/D",IFERROR(INDEX(Minculturas!$B$2:$B$48,MATCH($AO117,Minculturas!$C$2:$C$48,0)),"#N/D"))</f>
        <v>#N/D</v>
      </c>
      <c r="N117" s="27">
        <v>1</v>
      </c>
      <c r="O117" s="28">
        <v>0</v>
      </c>
      <c r="P117" s="28">
        <v>0</v>
      </c>
      <c r="Q117" s="28">
        <v>0</v>
      </c>
      <c r="R117" s="28">
        <v>0</v>
      </c>
      <c r="S117" s="28">
        <v>1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7">
        <f t="shared" si="20"/>
        <v>1</v>
      </c>
      <c r="AH117" s="28"/>
      <c r="AI117" s="28"/>
      <c r="AJ117" s="28">
        <v>43</v>
      </c>
      <c r="AK117" s="28"/>
      <c r="AL117" s="28"/>
      <c r="AM117" s="29" t="s">
        <v>114</v>
      </c>
      <c r="AO117" t="str">
        <f t="shared" si="21"/>
        <v>el penol</v>
      </c>
      <c r="AP117" t="str">
        <f t="shared" si="22"/>
        <v>narino</v>
      </c>
      <c r="AQ117" t="b">
        <f t="shared" si="23"/>
        <v>1</v>
      </c>
      <c r="AR117" t="str">
        <f t="shared" si="24"/>
        <v>el penol|narino</v>
      </c>
      <c r="AS117" s="30">
        <f t="shared" si="25"/>
        <v>0</v>
      </c>
      <c r="AT117" s="30">
        <f t="shared" si="26"/>
        <v>1</v>
      </c>
      <c r="AU117" s="30">
        <f t="shared" si="27"/>
        <v>3</v>
      </c>
      <c r="AV117" s="30">
        <f t="shared" si="28"/>
        <v>3</v>
      </c>
      <c r="AZ117" s="31">
        <f t="shared" si="29"/>
        <v>3</v>
      </c>
      <c r="BA117" s="31">
        <f t="shared" si="30"/>
        <v>6</v>
      </c>
      <c r="BB117" s="32">
        <f>IFERROR(INDEX('Análisis general'!$E$4:$E$28,MATCH($B117,'Análisis general'!$B$4:$B$28,0)),"")</f>
        <v>13.2</v>
      </c>
      <c r="BC117" s="31">
        <f t="shared" si="31"/>
        <v>3</v>
      </c>
      <c r="BD117" s="32">
        <f t="shared" si="32"/>
        <v>6.4285714285714279</v>
      </c>
      <c r="BE117" s="32">
        <f t="shared" si="33"/>
        <v>9</v>
      </c>
    </row>
    <row r="118" spans="1:57" ht="25.5" customHeight="1" x14ac:dyDescent="0.25">
      <c r="A118" s="33" t="s">
        <v>423</v>
      </c>
      <c r="B118" s="11" t="s">
        <v>41</v>
      </c>
      <c r="C118" s="34" t="s">
        <v>112</v>
      </c>
      <c r="D118" s="24">
        <f t="shared" si="17"/>
        <v>6</v>
      </c>
      <c r="E118" s="59">
        <f t="shared" si="18"/>
        <v>6.4285714285714279</v>
      </c>
      <c r="F118" s="59">
        <f t="shared" si="19"/>
        <v>9</v>
      </c>
      <c r="G118" s="11" t="s">
        <v>424</v>
      </c>
      <c r="H118" s="25" t="str">
        <f>IFERROR(IF($AQ118,INDEX(cpe!$C$2:$C$307,MATCH($AR118,cpe!$F$2:$F$307,0)),INDEX(cpe!$C$2:$C$307,MATCH($AR118,cpe!$D$2:$D$307,0))),"#N/D")</f>
        <v>#N/D</v>
      </c>
      <c r="I118" s="25" t="str">
        <f>IFERROR(IF($AQ118,INDEX(cpe!$B$2:$B$307,MATCH($AR118,cpe!$F$2:$F$307,0)),INDEX(cpe!$B$2:$B$307,MATCH($AR118,cpe!$D$2:$D$307,0))),"#N/D")</f>
        <v>#N/D</v>
      </c>
      <c r="J118" s="26" t="str">
        <f>IF($AQ118,"#N/D",IFERROR(INDEX(Olimpiadas!$B$2:$B$61,MATCH($AO118,Olimpiadas!$C$2:$C$61,0)),"#N/D"))</f>
        <v>#N/D</v>
      </c>
      <c r="K118" s="26" t="str">
        <f>IF($AQ118,"#N/D",IFERROR(INDEX(Olimpiadas!$A$2:$A$61,MATCH($AO118,Olimpiadas!$C$2:$C$61,0)),"#N/D"))</f>
        <v>#N/D</v>
      </c>
      <c r="L118" s="26" t="str">
        <f>IF($AQ118,"#N/D",IFERROR(INDEX(Minculturas!$A$2:$A$48,MATCH($AO118,Minculturas!$C$2:$C$48,0)),"#N/D"))</f>
        <v>#N/D</v>
      </c>
      <c r="M118" s="26" t="str">
        <f>IF($AQ118,"#N/D",IFERROR(INDEX(Minculturas!$B$2:$B$48,MATCH($AO118,Minculturas!$C$2:$C$48,0)),"#N/D"))</f>
        <v>#N/D</v>
      </c>
      <c r="N118" s="27">
        <v>1</v>
      </c>
      <c r="O118" s="28">
        <v>0</v>
      </c>
      <c r="P118" s="28">
        <v>1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7">
        <f t="shared" si="20"/>
        <v>1</v>
      </c>
      <c r="AH118" s="28"/>
      <c r="AI118" s="28"/>
      <c r="AJ118" s="28">
        <v>69.5</v>
      </c>
      <c r="AK118" s="28"/>
      <c r="AL118" s="28"/>
      <c r="AM118" s="29" t="s">
        <v>114</v>
      </c>
      <c r="AO118" t="str">
        <f t="shared" si="21"/>
        <v>francisco pizarro</v>
      </c>
      <c r="AP118" t="str">
        <f t="shared" si="22"/>
        <v>narino</v>
      </c>
      <c r="AQ118" t="b">
        <f t="shared" si="23"/>
        <v>0</v>
      </c>
      <c r="AR118" t="str">
        <f t="shared" si="24"/>
        <v>francisco pizarro</v>
      </c>
      <c r="AS118" s="30">
        <f t="shared" si="25"/>
        <v>0</v>
      </c>
      <c r="AT118" s="30">
        <f t="shared" si="26"/>
        <v>1</v>
      </c>
      <c r="AU118" s="30">
        <f t="shared" si="27"/>
        <v>3</v>
      </c>
      <c r="AV118" s="30">
        <f t="shared" si="28"/>
        <v>3</v>
      </c>
      <c r="AZ118" s="31">
        <f t="shared" si="29"/>
        <v>3</v>
      </c>
      <c r="BA118" s="31">
        <f t="shared" si="30"/>
        <v>6</v>
      </c>
      <c r="BB118" s="32">
        <f>IFERROR(INDEX('Análisis general'!$E$4:$E$28,MATCH($B118,'Análisis general'!$B$4:$B$28,0)),"")</f>
        <v>13.2</v>
      </c>
      <c r="BC118" s="31">
        <f t="shared" si="31"/>
        <v>3</v>
      </c>
      <c r="BD118" s="32">
        <f t="shared" si="32"/>
        <v>6.4285714285714279</v>
      </c>
      <c r="BE118" s="32">
        <f t="shared" si="33"/>
        <v>9</v>
      </c>
    </row>
    <row r="119" spans="1:57" ht="25.5" customHeight="1" x14ac:dyDescent="0.25">
      <c r="A119" s="33" t="s">
        <v>425</v>
      </c>
      <c r="B119" s="11" t="s">
        <v>41</v>
      </c>
      <c r="C119" s="34" t="s">
        <v>112</v>
      </c>
      <c r="D119" s="24">
        <f t="shared" si="17"/>
        <v>6</v>
      </c>
      <c r="E119" s="59">
        <f t="shared" si="18"/>
        <v>6.4285714285714279</v>
      </c>
      <c r="F119" s="59">
        <f t="shared" si="19"/>
        <v>9</v>
      </c>
      <c r="G119" s="11" t="s">
        <v>426</v>
      </c>
      <c r="H119" s="25" t="str">
        <f>IFERROR(IF($AQ119,INDEX(cpe!$C$2:$C$307,MATCH($AR119,cpe!$F$2:$F$307,0)),INDEX(cpe!$C$2:$C$307,MATCH($AR119,cpe!$D$2:$D$307,0))),"#N/D")</f>
        <v>#N/D</v>
      </c>
      <c r="I119" s="25" t="str">
        <f>IFERROR(IF($AQ119,INDEX(cpe!$B$2:$B$307,MATCH($AR119,cpe!$F$2:$F$307,0)),INDEX(cpe!$B$2:$B$307,MATCH($AR119,cpe!$D$2:$D$307,0))),"#N/D")</f>
        <v>#N/D</v>
      </c>
      <c r="J119" s="26" t="str">
        <f>IF($AQ119,"#N/D",IFERROR(INDEX(Olimpiadas!$B$2:$B$61,MATCH($AO119,Olimpiadas!$C$2:$C$61,0)),"#N/D"))</f>
        <v>#N/D</v>
      </c>
      <c r="K119" s="26" t="str">
        <f>IF($AQ119,"#N/D",IFERROR(INDEX(Olimpiadas!$A$2:$A$61,MATCH($AO119,Olimpiadas!$C$2:$C$61,0)),"#N/D"))</f>
        <v>#N/D</v>
      </c>
      <c r="L119" s="26" t="str">
        <f>IF($AQ119,"#N/D",IFERROR(INDEX(Minculturas!$A$2:$A$48,MATCH($AO119,Minculturas!$C$2:$C$48,0)),"#N/D"))</f>
        <v>#N/D</v>
      </c>
      <c r="M119" s="26" t="str">
        <f>IF($AQ119,"#N/D",IFERROR(INDEX(Minculturas!$B$2:$B$48,MATCH($AO119,Minculturas!$C$2:$C$48,0)),"#N/D"))</f>
        <v>#N/D</v>
      </c>
      <c r="N119" s="27">
        <v>1</v>
      </c>
      <c r="O119" s="28">
        <v>0</v>
      </c>
      <c r="P119" s="28">
        <v>0</v>
      </c>
      <c r="Q119" s="28">
        <v>0</v>
      </c>
      <c r="R119" s="28">
        <v>0</v>
      </c>
      <c r="S119" s="28">
        <v>1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7">
        <f t="shared" si="20"/>
        <v>1</v>
      </c>
      <c r="AH119" s="28"/>
      <c r="AI119" s="28"/>
      <c r="AJ119" s="28">
        <v>41.1</v>
      </c>
      <c r="AK119" s="28"/>
      <c r="AL119" s="28"/>
      <c r="AM119" s="29" t="s">
        <v>114</v>
      </c>
      <c r="AO119" t="str">
        <f t="shared" si="21"/>
        <v>funes</v>
      </c>
      <c r="AP119" t="str">
        <f t="shared" si="22"/>
        <v>narino</v>
      </c>
      <c r="AQ119" t="b">
        <f t="shared" si="23"/>
        <v>0</v>
      </c>
      <c r="AR119" t="str">
        <f t="shared" si="24"/>
        <v>funes</v>
      </c>
      <c r="AS119" s="30">
        <f t="shared" si="25"/>
        <v>0</v>
      </c>
      <c r="AT119" s="30">
        <f t="shared" si="26"/>
        <v>1</v>
      </c>
      <c r="AU119" s="30">
        <f t="shared" si="27"/>
        <v>3</v>
      </c>
      <c r="AV119" s="30">
        <f t="shared" si="28"/>
        <v>3</v>
      </c>
      <c r="AZ119" s="31">
        <f t="shared" si="29"/>
        <v>3</v>
      </c>
      <c r="BA119" s="31">
        <f t="shared" si="30"/>
        <v>6</v>
      </c>
      <c r="BB119" s="32">
        <f>IFERROR(INDEX('Análisis general'!$E$4:$E$28,MATCH($B119,'Análisis general'!$B$4:$B$28,0)),"")</f>
        <v>13.2</v>
      </c>
      <c r="BC119" s="31">
        <f t="shared" si="31"/>
        <v>3</v>
      </c>
      <c r="BD119" s="32">
        <f t="shared" si="32"/>
        <v>6.4285714285714279</v>
      </c>
      <c r="BE119" s="32">
        <f t="shared" si="33"/>
        <v>9</v>
      </c>
    </row>
    <row r="120" spans="1:57" ht="25.5" customHeight="1" x14ac:dyDescent="0.25">
      <c r="A120" s="33" t="s">
        <v>427</v>
      </c>
      <c r="B120" s="11" t="s">
        <v>40</v>
      </c>
      <c r="C120" s="34" t="s">
        <v>112</v>
      </c>
      <c r="D120" s="24">
        <f t="shared" si="17"/>
        <v>6</v>
      </c>
      <c r="E120" s="59">
        <f t="shared" si="18"/>
        <v>6.4285714285714279</v>
      </c>
      <c r="F120" s="59">
        <f t="shared" si="19"/>
        <v>9</v>
      </c>
      <c r="G120" s="11" t="s">
        <v>428</v>
      </c>
      <c r="H120" s="25" t="str">
        <f>IFERROR(IF($AQ120,INDEX(cpe!$C$2:$C$307,MATCH($AR120,cpe!$F$2:$F$307,0)),INDEX(cpe!$C$2:$C$307,MATCH($AR120,cpe!$D$2:$D$307,0))),"#N/D")</f>
        <v>#N/D</v>
      </c>
      <c r="I120" s="25" t="str">
        <f>IFERROR(IF($AQ120,INDEX(cpe!$B$2:$B$307,MATCH($AR120,cpe!$F$2:$F$307,0)),INDEX(cpe!$B$2:$B$307,MATCH($AR120,cpe!$D$2:$D$307,0))),"#N/D")</f>
        <v>#N/D</v>
      </c>
      <c r="J120" s="26" t="str">
        <f>IF($AQ120,"#N/D",IFERROR(INDEX(Olimpiadas!$B$2:$B$61,MATCH($AO120,Olimpiadas!$C$2:$C$61,0)),"#N/D"))</f>
        <v>#N/D</v>
      </c>
      <c r="K120" s="26" t="str">
        <f>IF($AQ120,"#N/D",IFERROR(INDEX(Olimpiadas!$A$2:$A$61,MATCH($AO120,Olimpiadas!$C$2:$C$61,0)),"#N/D"))</f>
        <v>#N/D</v>
      </c>
      <c r="L120" s="26" t="str">
        <f>IF($AQ120,"#N/D",IFERROR(INDEX(Minculturas!$A$2:$A$48,MATCH($AO120,Minculturas!$C$2:$C$48,0)),"#N/D"))</f>
        <v>#N/D</v>
      </c>
      <c r="M120" s="26" t="str">
        <f>IF($AQ120,"#N/D",IFERROR(INDEX(Minculturas!$B$2:$B$48,MATCH($AO120,Minculturas!$C$2:$C$48,0)),"#N/D"))</f>
        <v>#N/D</v>
      </c>
      <c r="N120" s="27">
        <v>1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1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7">
        <f t="shared" si="20"/>
        <v>1</v>
      </c>
      <c r="AH120" s="28"/>
      <c r="AI120" s="28"/>
      <c r="AJ120" s="28">
        <v>33.4</v>
      </c>
      <c r="AK120" s="28"/>
      <c r="AL120" s="28"/>
      <c r="AM120" s="29" t="s">
        <v>114</v>
      </c>
      <c r="AO120" t="str">
        <f t="shared" si="21"/>
        <v>granada</v>
      </c>
      <c r="AP120" t="str">
        <f t="shared" si="22"/>
        <v>meta</v>
      </c>
      <c r="AQ120" t="b">
        <f t="shared" si="23"/>
        <v>1</v>
      </c>
      <c r="AR120" t="str">
        <f t="shared" si="24"/>
        <v>granada|meta</v>
      </c>
      <c r="AS120" s="30">
        <f t="shared" si="25"/>
        <v>0</v>
      </c>
      <c r="AT120" s="30">
        <f t="shared" si="26"/>
        <v>1</v>
      </c>
      <c r="AU120" s="30">
        <f t="shared" si="27"/>
        <v>3</v>
      </c>
      <c r="AV120" s="30">
        <f t="shared" si="28"/>
        <v>3</v>
      </c>
      <c r="AZ120" s="31">
        <f t="shared" si="29"/>
        <v>3</v>
      </c>
      <c r="BA120" s="31">
        <f t="shared" si="30"/>
        <v>6</v>
      </c>
      <c r="BB120" s="32">
        <f>IFERROR(INDEX('Análisis general'!$E$4:$E$28,MATCH($B120,'Análisis general'!$B$4:$B$28,0)),"")</f>
        <v>12.3</v>
      </c>
      <c r="BC120" s="31">
        <f t="shared" si="31"/>
        <v>3</v>
      </c>
      <c r="BD120" s="32">
        <f t="shared" si="32"/>
        <v>6.4285714285714279</v>
      </c>
      <c r="BE120" s="32">
        <f t="shared" si="33"/>
        <v>9</v>
      </c>
    </row>
    <row r="121" spans="1:57" ht="25.5" customHeight="1" x14ac:dyDescent="0.25">
      <c r="A121" s="33" t="s">
        <v>429</v>
      </c>
      <c r="B121" s="11" t="s">
        <v>31</v>
      </c>
      <c r="C121" s="34" t="s">
        <v>112</v>
      </c>
      <c r="D121" s="24">
        <f t="shared" si="17"/>
        <v>6</v>
      </c>
      <c r="E121" s="59">
        <f t="shared" si="18"/>
        <v>6.4285714285714279</v>
      </c>
      <c r="F121" s="59">
        <f t="shared" si="19"/>
        <v>9</v>
      </c>
      <c r="G121" s="11" t="s">
        <v>430</v>
      </c>
      <c r="H121" s="25" t="str">
        <f>IFERROR(IF($AQ121,INDEX(cpe!$C$2:$C$307,MATCH($AR121,cpe!$F$2:$F$307,0)),INDEX(cpe!$C$2:$C$307,MATCH($AR121,cpe!$D$2:$D$307,0))),"#N/D")</f>
        <v>#N/D</v>
      </c>
      <c r="I121" s="25" t="str">
        <f>IFERROR(IF($AQ121,INDEX(cpe!$B$2:$B$307,MATCH($AR121,cpe!$F$2:$F$307,0)),INDEX(cpe!$B$2:$B$307,MATCH($AR121,cpe!$D$2:$D$307,0))),"#N/D")</f>
        <v>#N/D</v>
      </c>
      <c r="J121" s="26" t="str">
        <f>IF($AQ121,"#N/D",IFERROR(INDEX(Olimpiadas!$B$2:$B$61,MATCH($AO121,Olimpiadas!$C$2:$C$61,0)),"#N/D"))</f>
        <v>#N/D</v>
      </c>
      <c r="K121" s="26" t="str">
        <f>IF($AQ121,"#N/D",IFERROR(INDEX(Olimpiadas!$A$2:$A$61,MATCH($AO121,Olimpiadas!$C$2:$C$61,0)),"#N/D"))</f>
        <v>#N/D</v>
      </c>
      <c r="L121" s="26" t="str">
        <f>IF($AQ121,"#N/D",IFERROR(INDEX(Minculturas!$A$2:$A$48,MATCH($AO121,Minculturas!$C$2:$C$48,0)),"#N/D"))</f>
        <v>#N/D</v>
      </c>
      <c r="M121" s="26" t="str">
        <f>IF($AQ121,"#N/D",IFERROR(INDEX(Minculturas!$B$2:$B$48,MATCH($AO121,Minculturas!$C$2:$C$48,0)),"#N/D"))</f>
        <v>#N/D</v>
      </c>
      <c r="N121" s="27">
        <v>2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1</v>
      </c>
      <c r="Y121" s="28">
        <v>0</v>
      </c>
      <c r="Z121" s="28">
        <v>1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7">
        <f t="shared" si="20"/>
        <v>1</v>
      </c>
      <c r="AH121" s="28" t="s">
        <v>431</v>
      </c>
      <c r="AI121" s="28" t="s">
        <v>201</v>
      </c>
      <c r="AJ121" s="28">
        <v>74.400000000000006</v>
      </c>
      <c r="AK121" s="28"/>
      <c r="AL121" s="28"/>
      <c r="AM121" s="29" t="s">
        <v>114</v>
      </c>
      <c r="AO121" t="str">
        <f t="shared" si="21"/>
        <v>lloro</v>
      </c>
      <c r="AP121" t="str">
        <f t="shared" si="22"/>
        <v>choco</v>
      </c>
      <c r="AQ121" t="b">
        <f t="shared" si="23"/>
        <v>0</v>
      </c>
      <c r="AR121" t="str">
        <f t="shared" si="24"/>
        <v>lloro</v>
      </c>
      <c r="AS121" s="30">
        <f t="shared" si="25"/>
        <v>0</v>
      </c>
      <c r="AT121" s="30">
        <f t="shared" si="26"/>
        <v>1</v>
      </c>
      <c r="AU121" s="30">
        <f t="shared" si="27"/>
        <v>3</v>
      </c>
      <c r="AV121" s="30">
        <f t="shared" si="28"/>
        <v>3</v>
      </c>
      <c r="AZ121" s="31">
        <f t="shared" si="29"/>
        <v>3</v>
      </c>
      <c r="BA121" s="31">
        <f t="shared" si="30"/>
        <v>6</v>
      </c>
      <c r="BB121" s="32">
        <f>IFERROR(INDEX('Análisis general'!$E$4:$E$28,MATCH($B121,'Análisis general'!$B$4:$B$28,0)),"")</f>
        <v>30.8</v>
      </c>
      <c r="BC121" s="31">
        <f t="shared" si="31"/>
        <v>3</v>
      </c>
      <c r="BD121" s="32">
        <f t="shared" si="32"/>
        <v>6.4285714285714279</v>
      </c>
      <c r="BE121" s="32">
        <f t="shared" si="33"/>
        <v>9</v>
      </c>
    </row>
    <row r="122" spans="1:57" ht="25.5" customHeight="1" x14ac:dyDescent="0.25">
      <c r="A122" s="33" t="s">
        <v>432</v>
      </c>
      <c r="B122" s="11" t="s">
        <v>41</v>
      </c>
      <c r="C122" s="34" t="s">
        <v>112</v>
      </c>
      <c r="D122" s="24">
        <f t="shared" si="17"/>
        <v>6</v>
      </c>
      <c r="E122" s="59">
        <f t="shared" si="18"/>
        <v>6.4285714285714279</v>
      </c>
      <c r="F122" s="59">
        <f t="shared" si="19"/>
        <v>9</v>
      </c>
      <c r="G122" s="11" t="s">
        <v>433</v>
      </c>
      <c r="H122" s="25" t="str">
        <f>IFERROR(IF($AQ122,INDEX(cpe!$C$2:$C$307,MATCH($AR122,cpe!$F$2:$F$307,0)),INDEX(cpe!$C$2:$C$307,MATCH($AR122,cpe!$D$2:$D$307,0))),"#N/D")</f>
        <v>#N/D</v>
      </c>
      <c r="I122" s="25" t="str">
        <f>IFERROR(IF($AQ122,INDEX(cpe!$B$2:$B$307,MATCH($AR122,cpe!$F$2:$F$307,0)),INDEX(cpe!$B$2:$B$307,MATCH($AR122,cpe!$D$2:$D$307,0))),"#N/D")</f>
        <v>#N/D</v>
      </c>
      <c r="J122" s="26" t="str">
        <f>IF($AQ122,"#N/D",IFERROR(INDEX(Olimpiadas!$B$2:$B$61,MATCH($AO122,Olimpiadas!$C$2:$C$61,0)),"#N/D"))</f>
        <v>#N/D</v>
      </c>
      <c r="K122" s="26" t="str">
        <f>IF($AQ122,"#N/D",IFERROR(INDEX(Olimpiadas!$A$2:$A$61,MATCH($AO122,Olimpiadas!$C$2:$C$61,0)),"#N/D"))</f>
        <v>#N/D</v>
      </c>
      <c r="L122" s="26" t="str">
        <f>IF($AQ122,"#N/D",IFERROR(INDEX(Minculturas!$A$2:$A$48,MATCH($AO122,Minculturas!$C$2:$C$48,0)),"#N/D"))</f>
        <v>#N/D</v>
      </c>
      <c r="M122" s="26" t="str">
        <f>IF($AQ122,"#N/D",IFERROR(INDEX(Minculturas!$B$2:$B$48,MATCH($AO122,Minculturas!$C$2:$C$48,0)),"#N/D"))</f>
        <v>#N/D</v>
      </c>
      <c r="N122" s="27">
        <v>1</v>
      </c>
      <c r="O122" s="28">
        <v>0</v>
      </c>
      <c r="P122" s="28">
        <v>0</v>
      </c>
      <c r="Q122" s="28">
        <v>1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7">
        <f t="shared" si="20"/>
        <v>1</v>
      </c>
      <c r="AH122" s="28"/>
      <c r="AI122" s="28"/>
      <c r="AJ122" s="28">
        <v>44.9</v>
      </c>
      <c r="AK122" s="28"/>
      <c r="AL122" s="28"/>
      <c r="AM122" s="29" t="s">
        <v>114</v>
      </c>
      <c r="AO122" t="str">
        <f t="shared" si="21"/>
        <v>los andes</v>
      </c>
      <c r="AP122" t="str">
        <f t="shared" si="22"/>
        <v>narino</v>
      </c>
      <c r="AQ122" t="b">
        <f t="shared" si="23"/>
        <v>0</v>
      </c>
      <c r="AR122" t="str">
        <f t="shared" si="24"/>
        <v>los andes</v>
      </c>
      <c r="AS122" s="30">
        <f t="shared" si="25"/>
        <v>0</v>
      </c>
      <c r="AT122" s="30">
        <f t="shared" si="26"/>
        <v>1</v>
      </c>
      <c r="AU122" s="30">
        <f t="shared" si="27"/>
        <v>3</v>
      </c>
      <c r="AV122" s="30">
        <f t="shared" si="28"/>
        <v>3</v>
      </c>
      <c r="AZ122" s="31">
        <f t="shared" si="29"/>
        <v>3</v>
      </c>
      <c r="BA122" s="31">
        <f t="shared" si="30"/>
        <v>6</v>
      </c>
      <c r="BB122" s="32">
        <f>IFERROR(INDEX('Análisis general'!$E$4:$E$28,MATCH($B122,'Análisis general'!$B$4:$B$28,0)),"")</f>
        <v>13.2</v>
      </c>
      <c r="BC122" s="31">
        <f t="shared" si="31"/>
        <v>3</v>
      </c>
      <c r="BD122" s="32">
        <f t="shared" si="32"/>
        <v>6.4285714285714279</v>
      </c>
      <c r="BE122" s="32">
        <f t="shared" si="33"/>
        <v>9</v>
      </c>
    </row>
    <row r="123" spans="1:57" ht="25.5" customHeight="1" x14ac:dyDescent="0.25">
      <c r="A123" s="33" t="s">
        <v>434</v>
      </c>
      <c r="B123" s="11" t="s">
        <v>42</v>
      </c>
      <c r="C123" s="34" t="s">
        <v>112</v>
      </c>
      <c r="D123" s="24">
        <f t="shared" si="17"/>
        <v>6</v>
      </c>
      <c r="E123" s="59">
        <f t="shared" si="18"/>
        <v>6.4285714285714279</v>
      </c>
      <c r="F123" s="59">
        <f t="shared" si="19"/>
        <v>9</v>
      </c>
      <c r="G123" s="11" t="s">
        <v>435</v>
      </c>
      <c r="H123" s="25" t="str">
        <f>IFERROR(IF($AQ123,INDEX(cpe!$C$2:$C$307,MATCH($AR123,cpe!$F$2:$F$307,0)),INDEX(cpe!$C$2:$C$307,MATCH($AR123,cpe!$D$2:$D$307,0))),"#N/D")</f>
        <v>#N/D</v>
      </c>
      <c r="I123" s="25" t="str">
        <f>IFERROR(IF($AQ123,INDEX(cpe!$B$2:$B$307,MATCH($AR123,cpe!$F$2:$F$307,0)),INDEX(cpe!$B$2:$B$307,MATCH($AR123,cpe!$D$2:$D$307,0))),"#N/D")</f>
        <v>#N/D</v>
      </c>
      <c r="J123" s="26" t="str">
        <f>IF($AQ123,"#N/D",IFERROR(INDEX(Olimpiadas!$B$2:$B$61,MATCH($AO123,Olimpiadas!$C$2:$C$61,0)),"#N/D"))</f>
        <v>#N/D</v>
      </c>
      <c r="K123" s="26" t="str">
        <f>IF($AQ123,"#N/D",IFERROR(INDEX(Olimpiadas!$A$2:$A$61,MATCH($AO123,Olimpiadas!$C$2:$C$61,0)),"#N/D"))</f>
        <v>#N/D</v>
      </c>
      <c r="L123" s="26" t="str">
        <f>IF($AQ123,"#N/D",IFERROR(INDEX(Minculturas!$A$2:$A$48,MATCH($AO123,Minculturas!$C$2:$C$48,0)),"#N/D"))</f>
        <v>#N/D</v>
      </c>
      <c r="M123" s="26" t="str">
        <f>IF($AQ123,"#N/D",IFERROR(INDEX(Minculturas!$B$2:$B$48,MATCH($AO123,Minculturas!$C$2:$C$48,0)),"#N/D"))</f>
        <v>#N/D</v>
      </c>
      <c r="N123" s="27">
        <v>1</v>
      </c>
      <c r="O123" s="28">
        <v>0</v>
      </c>
      <c r="P123" s="28">
        <v>0</v>
      </c>
      <c r="Q123" s="28">
        <v>0</v>
      </c>
      <c r="R123" s="28">
        <v>0</v>
      </c>
      <c r="S123" s="28">
        <v>1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7">
        <f t="shared" si="20"/>
        <v>1</v>
      </c>
      <c r="AH123" s="28"/>
      <c r="AI123" s="28"/>
      <c r="AJ123" s="28">
        <v>45.3</v>
      </c>
      <c r="AK123" s="28"/>
      <c r="AL123" s="28"/>
      <c r="AM123" s="29" t="s">
        <v>114</v>
      </c>
      <c r="AO123" t="str">
        <f t="shared" si="21"/>
        <v>lourdes</v>
      </c>
      <c r="AP123" t="str">
        <f t="shared" si="22"/>
        <v>norte de santander</v>
      </c>
      <c r="AQ123" t="b">
        <f t="shared" si="23"/>
        <v>0</v>
      </c>
      <c r="AR123" t="str">
        <f t="shared" si="24"/>
        <v>lourdes</v>
      </c>
      <c r="AS123" s="30">
        <f t="shared" si="25"/>
        <v>0</v>
      </c>
      <c r="AT123" s="30">
        <f t="shared" si="26"/>
        <v>1</v>
      </c>
      <c r="AU123" s="30">
        <f t="shared" si="27"/>
        <v>3</v>
      </c>
      <c r="AV123" s="30">
        <f t="shared" si="28"/>
        <v>3</v>
      </c>
      <c r="AZ123" s="31">
        <f t="shared" si="29"/>
        <v>3</v>
      </c>
      <c r="BA123" s="31">
        <f t="shared" si="30"/>
        <v>6</v>
      </c>
      <c r="BB123" s="32">
        <f>IFERROR(INDEX('Análisis general'!$E$4:$E$28,MATCH($B123,'Análisis general'!$B$4:$B$28,0)),"")</f>
        <v>13.3</v>
      </c>
      <c r="BC123" s="31">
        <f t="shared" si="31"/>
        <v>3</v>
      </c>
      <c r="BD123" s="32">
        <f t="shared" si="32"/>
        <v>6.4285714285714279</v>
      </c>
      <c r="BE123" s="32">
        <f t="shared" si="33"/>
        <v>9</v>
      </c>
    </row>
    <row r="124" spans="1:57" ht="25.5" customHeight="1" x14ac:dyDescent="0.25">
      <c r="A124" s="33" t="s">
        <v>440</v>
      </c>
      <c r="B124" s="11" t="s">
        <v>28</v>
      </c>
      <c r="C124" s="34" t="s">
        <v>112</v>
      </c>
      <c r="D124" s="24">
        <f t="shared" si="17"/>
        <v>6</v>
      </c>
      <c r="E124" s="59">
        <f t="shared" si="18"/>
        <v>6.4285714285714279</v>
      </c>
      <c r="F124" s="59">
        <f t="shared" si="19"/>
        <v>9</v>
      </c>
      <c r="G124" s="11" t="s">
        <v>441</v>
      </c>
      <c r="H124" s="25" t="s">
        <v>106</v>
      </c>
      <c r="I124" s="25" t="s">
        <v>106</v>
      </c>
      <c r="J124" s="26" t="s">
        <v>106</v>
      </c>
      <c r="K124" s="26" t="str">
        <f>IF($AQ124,"#N/D",IFERROR(INDEX(Olimpiadas!$A$2:$A$61,MATCH($AO124,Olimpiadas!$C$2:$C$61,0)),"#N/D"))</f>
        <v>#N/D</v>
      </c>
      <c r="L124" s="26" t="str">
        <f>IF($AQ124,"#N/D",IFERROR(INDEX(Minculturas!$A$2:$A$48,MATCH($AO124,Minculturas!$C$2:$C$48,0)),"#N/D"))</f>
        <v>#N/D</v>
      </c>
      <c r="M124" s="26" t="str">
        <f>IF($AQ124,"#N/D",IFERROR(INDEX(Minculturas!$B$2:$B$48,MATCH($AO124,Minculturas!$C$2:$C$48,0)),"#N/D"))</f>
        <v>#N/D</v>
      </c>
      <c r="N124" s="27">
        <v>3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1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2</v>
      </c>
      <c r="AC124" s="28">
        <v>0</v>
      </c>
      <c r="AD124" s="28">
        <v>0</v>
      </c>
      <c r="AE124" s="28">
        <v>0</v>
      </c>
      <c r="AF124" s="28">
        <v>0</v>
      </c>
      <c r="AG124" s="27">
        <f t="shared" si="20"/>
        <v>1</v>
      </c>
      <c r="AH124" s="28"/>
      <c r="AI124" s="45"/>
      <c r="AJ124" s="28">
        <v>39.5</v>
      </c>
      <c r="AK124" s="28"/>
      <c r="AL124" s="28"/>
      <c r="AM124" s="29" t="s">
        <v>114</v>
      </c>
      <c r="AO124" t="str">
        <f t="shared" si="21"/>
        <v>purace</v>
      </c>
      <c r="AP124" t="str">
        <f t="shared" si="22"/>
        <v>cauca</v>
      </c>
      <c r="AQ124" t="b">
        <f t="shared" si="23"/>
        <v>0</v>
      </c>
      <c r="AR124" t="str">
        <f t="shared" si="24"/>
        <v>purace</v>
      </c>
      <c r="AS124" s="30">
        <f t="shared" si="25"/>
        <v>0</v>
      </c>
      <c r="AT124" s="30">
        <f t="shared" si="26"/>
        <v>1</v>
      </c>
      <c r="AU124" s="30">
        <f t="shared" si="27"/>
        <v>3</v>
      </c>
      <c r="AV124" s="30">
        <f t="shared" si="28"/>
        <v>3</v>
      </c>
      <c r="AZ124" s="31">
        <f t="shared" si="29"/>
        <v>3</v>
      </c>
      <c r="BA124" s="31">
        <f t="shared" si="30"/>
        <v>6</v>
      </c>
      <c r="BB124" s="32">
        <f>IFERROR(INDEX('Análisis general'!$E$4:$E$28,MATCH($B124,'Análisis general'!$B$4:$B$28,0)),"")</f>
        <v>13</v>
      </c>
      <c r="BC124" s="31">
        <f t="shared" si="31"/>
        <v>3</v>
      </c>
      <c r="BD124" s="32">
        <f t="shared" si="32"/>
        <v>6.4285714285714279</v>
      </c>
      <c r="BE124" s="32">
        <f t="shared" si="33"/>
        <v>9</v>
      </c>
    </row>
    <row r="125" spans="1:57" ht="25.5" customHeight="1" x14ac:dyDescent="0.25">
      <c r="A125" s="33" t="s">
        <v>442</v>
      </c>
      <c r="B125" s="11" t="s">
        <v>41</v>
      </c>
      <c r="C125" s="34" t="s">
        <v>112</v>
      </c>
      <c r="D125" s="24">
        <f t="shared" si="17"/>
        <v>6</v>
      </c>
      <c r="E125" s="59">
        <f t="shared" si="18"/>
        <v>6.4285714285714279</v>
      </c>
      <c r="F125" s="59">
        <f t="shared" si="19"/>
        <v>9</v>
      </c>
      <c r="G125" s="11" t="s">
        <v>443</v>
      </c>
      <c r="H125" s="25" t="s">
        <v>106</v>
      </c>
      <c r="I125" s="25" t="s">
        <v>106</v>
      </c>
      <c r="J125" s="26" t="s">
        <v>106</v>
      </c>
      <c r="K125" s="26" t="str">
        <f>IF($AQ125,"#N/D",IFERROR(INDEX(Olimpiadas!$A$2:$A$61,MATCH($AO125,Olimpiadas!$C$2:$C$61,0)),"#N/D"))</f>
        <v>#N/D</v>
      </c>
      <c r="L125" s="26" t="str">
        <f>IF($AQ125,"#N/D",IFERROR(INDEX(Minculturas!$A$2:$A$48,MATCH($AO125,Minculturas!$C$2:$C$48,0)),"#N/D"))</f>
        <v>#N/D</v>
      </c>
      <c r="M125" s="26" t="str">
        <f>IF($AQ125,"#N/D",IFERROR(INDEX(Minculturas!$B$2:$B$48,MATCH($AO125,Minculturas!$C$2:$C$48,0)),"#N/D"))</f>
        <v>#N/D</v>
      </c>
      <c r="N125" s="27">
        <v>1</v>
      </c>
      <c r="O125" s="28">
        <v>0</v>
      </c>
      <c r="P125" s="28">
        <v>0</v>
      </c>
      <c r="Q125" s="28">
        <v>1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7">
        <f t="shared" si="20"/>
        <v>1</v>
      </c>
      <c r="AH125" s="28"/>
      <c r="AI125" s="28"/>
      <c r="AJ125" s="28">
        <v>47.7</v>
      </c>
      <c r="AK125" s="28"/>
      <c r="AL125" s="28"/>
      <c r="AM125" s="29" t="s">
        <v>114</v>
      </c>
      <c r="AO125" t="str">
        <f t="shared" si="21"/>
        <v>samaniego</v>
      </c>
      <c r="AP125" t="str">
        <f t="shared" si="22"/>
        <v>narino</v>
      </c>
      <c r="AQ125" t="b">
        <f t="shared" si="23"/>
        <v>0</v>
      </c>
      <c r="AR125" t="str">
        <f t="shared" si="24"/>
        <v>samaniego</v>
      </c>
      <c r="AS125" s="30">
        <f t="shared" si="25"/>
        <v>0</v>
      </c>
      <c r="AT125" s="30">
        <f t="shared" si="26"/>
        <v>1</v>
      </c>
      <c r="AU125" s="30">
        <f t="shared" si="27"/>
        <v>3</v>
      </c>
      <c r="AV125" s="30">
        <f t="shared" si="28"/>
        <v>3</v>
      </c>
      <c r="AZ125" s="31">
        <f t="shared" si="29"/>
        <v>3</v>
      </c>
      <c r="BA125" s="31">
        <f t="shared" si="30"/>
        <v>6</v>
      </c>
      <c r="BB125" s="32">
        <f>IFERROR(INDEX('Análisis general'!$E$4:$E$28,MATCH($B125,'Análisis general'!$B$4:$B$28,0)),"")</f>
        <v>13.2</v>
      </c>
      <c r="BC125" s="31">
        <f t="shared" si="31"/>
        <v>3</v>
      </c>
      <c r="BD125" s="32">
        <f t="shared" si="32"/>
        <v>6.4285714285714279</v>
      </c>
      <c r="BE125" s="32">
        <f t="shared" si="33"/>
        <v>9</v>
      </c>
    </row>
    <row r="126" spans="1:57" ht="25.5" customHeight="1" x14ac:dyDescent="0.25">
      <c r="A126" s="33" t="s">
        <v>444</v>
      </c>
      <c r="B126" s="11" t="s">
        <v>28</v>
      </c>
      <c r="C126" s="34" t="s">
        <v>112</v>
      </c>
      <c r="D126" s="24">
        <f t="shared" si="17"/>
        <v>6</v>
      </c>
      <c r="E126" s="59">
        <f t="shared" si="18"/>
        <v>6.4285714285714279</v>
      </c>
      <c r="F126" s="59">
        <f t="shared" si="19"/>
        <v>9</v>
      </c>
      <c r="G126" s="11" t="s">
        <v>445</v>
      </c>
      <c r="H126" s="25" t="s">
        <v>106</v>
      </c>
      <c r="I126" s="25" t="s">
        <v>106</v>
      </c>
      <c r="J126" s="26" t="s">
        <v>106</v>
      </c>
      <c r="K126" s="26" t="str">
        <f>IF($AQ126,"#N/D",IFERROR(INDEX(Olimpiadas!$A$2:$A$61,MATCH($AO126,Olimpiadas!$C$2:$C$61,0)),"#N/D"))</f>
        <v>#N/D</v>
      </c>
      <c r="L126" s="26" t="str">
        <f>IF($AQ126,"#N/D",IFERROR(INDEX(Minculturas!$A$2:$A$48,MATCH($AO126,Minculturas!$C$2:$C$48,0)),"#N/D"))</f>
        <v>#N/D</v>
      </c>
      <c r="M126" s="26" t="str">
        <f>IF($AQ126,"#N/D",IFERROR(INDEX(Minculturas!$B$2:$B$48,MATCH($AO126,Minculturas!$C$2:$C$48,0)),"#N/D"))</f>
        <v>#N/D</v>
      </c>
      <c r="N126" s="27">
        <v>2</v>
      </c>
      <c r="O126" s="28">
        <v>0</v>
      </c>
      <c r="P126" s="28">
        <v>1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1</v>
      </c>
      <c r="AC126" s="28">
        <v>0</v>
      </c>
      <c r="AD126" s="28">
        <v>0</v>
      </c>
      <c r="AE126" s="28">
        <v>0</v>
      </c>
      <c r="AF126" s="28">
        <v>0</v>
      </c>
      <c r="AG126" s="27">
        <f t="shared" si="20"/>
        <v>1</v>
      </c>
      <c r="AH126" s="28"/>
      <c r="AI126" s="28"/>
      <c r="AJ126" s="28">
        <v>43.8</v>
      </c>
      <c r="AK126" s="28"/>
      <c r="AL126" s="28"/>
      <c r="AM126" s="29" t="s">
        <v>114</v>
      </c>
      <c r="AO126" t="str">
        <f t="shared" si="21"/>
        <v>silvia</v>
      </c>
      <c r="AP126" t="str">
        <f t="shared" si="22"/>
        <v>cauca</v>
      </c>
      <c r="AQ126" t="b">
        <f t="shared" si="23"/>
        <v>0</v>
      </c>
      <c r="AR126" t="str">
        <f t="shared" si="24"/>
        <v>silvia</v>
      </c>
      <c r="AS126" s="30">
        <f t="shared" si="25"/>
        <v>0</v>
      </c>
      <c r="AT126" s="30">
        <f t="shared" si="26"/>
        <v>1</v>
      </c>
      <c r="AU126" s="30">
        <f t="shared" si="27"/>
        <v>3</v>
      </c>
      <c r="AV126" s="30">
        <f t="shared" si="28"/>
        <v>3</v>
      </c>
      <c r="AZ126" s="31">
        <f t="shared" si="29"/>
        <v>3</v>
      </c>
      <c r="BA126" s="31">
        <f t="shared" si="30"/>
        <v>6</v>
      </c>
      <c r="BB126" s="32">
        <f>IFERROR(INDEX('Análisis general'!$E$4:$E$28,MATCH($B126,'Análisis general'!$B$4:$B$28,0)),"")</f>
        <v>13</v>
      </c>
      <c r="BC126" s="31">
        <f t="shared" si="31"/>
        <v>3</v>
      </c>
      <c r="BD126" s="32">
        <f t="shared" si="32"/>
        <v>6.4285714285714279</v>
      </c>
      <c r="BE126" s="32">
        <f t="shared" si="33"/>
        <v>9</v>
      </c>
    </row>
    <row r="127" spans="1:57" ht="25.5" customHeight="1" x14ac:dyDescent="0.25">
      <c r="A127" s="33" t="s">
        <v>448</v>
      </c>
      <c r="B127" s="11" t="s">
        <v>28</v>
      </c>
      <c r="C127" s="34" t="s">
        <v>112</v>
      </c>
      <c r="D127" s="24">
        <f t="shared" si="17"/>
        <v>6</v>
      </c>
      <c r="E127" s="59">
        <f t="shared" si="18"/>
        <v>6.4285714285714279</v>
      </c>
      <c r="F127" s="59">
        <f t="shared" si="19"/>
        <v>9</v>
      </c>
      <c r="G127" s="11" t="s">
        <v>449</v>
      </c>
      <c r="H127" s="25" t="s">
        <v>106</v>
      </c>
      <c r="I127" s="25" t="s">
        <v>106</v>
      </c>
      <c r="J127" s="26" t="s">
        <v>106</v>
      </c>
      <c r="K127" s="26" t="str">
        <f>IF($AQ127,"#N/D",IFERROR(INDEX(Olimpiadas!$A$2:$A$61,MATCH($AO127,Olimpiadas!$C$2:$C$61,0)),"#N/D"))</f>
        <v>#N/D</v>
      </c>
      <c r="L127" s="26" t="str">
        <f>IF($AQ127,"#N/D",IFERROR(INDEX(Minculturas!$A$2:$A$48,MATCH($AO127,Minculturas!$C$2:$C$48,0)),"#N/D"))</f>
        <v>#N/D</v>
      </c>
      <c r="M127" s="26" t="str">
        <f>IF($AQ127,"#N/D",IFERROR(INDEX(Minculturas!$B$2:$B$48,MATCH($AO127,Minculturas!$C$2:$C$48,0)),"#N/D"))</f>
        <v>#N/D</v>
      </c>
      <c r="N127" s="27">
        <v>1</v>
      </c>
      <c r="O127" s="28">
        <v>0</v>
      </c>
      <c r="P127" s="28">
        <v>0</v>
      </c>
      <c r="Q127" s="28">
        <v>0</v>
      </c>
      <c r="R127" s="28">
        <v>1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7">
        <f t="shared" si="20"/>
        <v>1</v>
      </c>
      <c r="AH127" s="28"/>
      <c r="AI127" s="28"/>
      <c r="AJ127" s="28">
        <v>45.1</v>
      </c>
      <c r="AK127" s="28"/>
      <c r="AL127" s="28"/>
      <c r="AM127" s="29" t="s">
        <v>114</v>
      </c>
      <c r="AO127" t="str">
        <f t="shared" si="21"/>
        <v>toribio</v>
      </c>
      <c r="AP127" t="str">
        <f t="shared" si="22"/>
        <v>cauca</v>
      </c>
      <c r="AQ127" t="b">
        <f t="shared" si="23"/>
        <v>0</v>
      </c>
      <c r="AR127" t="str">
        <f t="shared" si="24"/>
        <v>toribio</v>
      </c>
      <c r="AS127" s="30">
        <f t="shared" si="25"/>
        <v>0</v>
      </c>
      <c r="AT127" s="30">
        <f t="shared" si="26"/>
        <v>1</v>
      </c>
      <c r="AU127" s="30">
        <f t="shared" si="27"/>
        <v>3</v>
      </c>
      <c r="AV127" s="30">
        <f t="shared" si="28"/>
        <v>3</v>
      </c>
      <c r="AZ127" s="31">
        <f t="shared" si="29"/>
        <v>3</v>
      </c>
      <c r="BA127" s="31">
        <f t="shared" si="30"/>
        <v>6</v>
      </c>
      <c r="BB127" s="32">
        <f>IFERROR(INDEX('Análisis general'!$E$4:$E$28,MATCH($B127,'Análisis general'!$B$4:$B$28,0)),"")</f>
        <v>13</v>
      </c>
      <c r="BC127" s="31">
        <f t="shared" si="31"/>
        <v>3</v>
      </c>
      <c r="BD127" s="32">
        <f t="shared" si="32"/>
        <v>6.4285714285714279</v>
      </c>
      <c r="BE127" s="32">
        <f t="shared" si="33"/>
        <v>9</v>
      </c>
    </row>
    <row r="128" spans="1:57" ht="25.5" customHeight="1" x14ac:dyDescent="0.25">
      <c r="A128" s="33" t="s">
        <v>672</v>
      </c>
      <c r="B128" s="11" t="s">
        <v>28</v>
      </c>
      <c r="C128" s="34" t="s">
        <v>112</v>
      </c>
      <c r="D128" s="24">
        <f t="shared" si="17"/>
        <v>6</v>
      </c>
      <c r="E128" s="59">
        <f t="shared" si="18"/>
        <v>6.4285714285714279</v>
      </c>
      <c r="F128" s="59">
        <f t="shared" si="19"/>
        <v>9</v>
      </c>
      <c r="G128" s="11" t="s">
        <v>673</v>
      </c>
      <c r="H128" s="25" t="str">
        <f>IFERROR(IF($AQ128,INDEX(cpe!$C$2:$C$307,MATCH($AR128,cpe!$F$2:$F$307,0)),INDEX(cpe!$C$2:$C$307,MATCH($AR128,cpe!$D$2:$D$307,0))),"#N/D")</f>
        <v>#N/D</v>
      </c>
      <c r="I128" s="25" t="str">
        <f>IFERROR(IF($AQ128,INDEX(cpe!$B$2:$B$307,MATCH($AR128,cpe!$F$2:$F$307,0)),INDEX(cpe!$B$2:$B$307,MATCH($AR128,cpe!$D$2:$D$307,0))),"#N/D")</f>
        <v>#N/D</v>
      </c>
      <c r="J128" s="26" t="str">
        <f>IF($AQ128,"#N/D",IFERROR(INDEX(Olimpiadas!$B$2:$B$61,MATCH($AO128,Olimpiadas!$C$2:$C$61,0)),"#N/D"))</f>
        <v>#N/D</v>
      </c>
      <c r="K128" s="26" t="str">
        <f>IF($AQ128,"#N/D",IFERROR(INDEX(Olimpiadas!$A$2:$A$61,MATCH($AO128,Olimpiadas!$C$2:$C$61,0)),"#N/D"))</f>
        <v>#N/D</v>
      </c>
      <c r="L128" s="26" t="str">
        <f>IF($AQ128,"#N/D",IFERROR(INDEX(Minculturas!$A$2:$A$48,MATCH($AO128,Minculturas!$C$2:$C$48,0)),"#N/D"))</f>
        <v>#N/D</v>
      </c>
      <c r="M128" s="26" t="str">
        <f>IF($AQ128,"#N/D",IFERROR(INDEX(Minculturas!$B$2:$B$48,MATCH($AO128,Minculturas!$C$2:$C$48,0)),"#N/D"))</f>
        <v>#N/D</v>
      </c>
      <c r="N128" s="27">
        <v>2</v>
      </c>
      <c r="O128" s="28">
        <v>0</v>
      </c>
      <c r="P128" s="28">
        <v>1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1</v>
      </c>
      <c r="AC128" s="28">
        <v>0</v>
      </c>
      <c r="AD128" s="28">
        <v>0</v>
      </c>
      <c r="AE128" s="28">
        <v>0</v>
      </c>
      <c r="AF128" s="28">
        <v>0</v>
      </c>
      <c r="AG128" s="27">
        <f t="shared" si="20"/>
        <v>1</v>
      </c>
      <c r="AH128" s="28"/>
      <c r="AI128" s="28"/>
      <c r="AJ128" s="28">
        <v>42.5</v>
      </c>
      <c r="AK128" s="28"/>
      <c r="AL128" s="28"/>
      <c r="AM128" s="29" t="s">
        <v>114</v>
      </c>
      <c r="AO128" t="str">
        <f t="shared" si="21"/>
        <v>buenos aires</v>
      </c>
      <c r="AP128" t="str">
        <f t="shared" si="22"/>
        <v>cauca</v>
      </c>
      <c r="AQ128" t="b">
        <f t="shared" si="23"/>
        <v>0</v>
      </c>
      <c r="AR128" t="str">
        <f t="shared" si="24"/>
        <v>buenos aires</v>
      </c>
      <c r="AS128" s="30">
        <f t="shared" si="25"/>
        <v>0</v>
      </c>
      <c r="AT128" s="30">
        <f t="shared" si="26"/>
        <v>1</v>
      </c>
      <c r="AU128" s="30">
        <f t="shared" si="27"/>
        <v>3</v>
      </c>
      <c r="AV128" s="30">
        <f t="shared" si="28"/>
        <v>3</v>
      </c>
      <c r="AZ128" s="31">
        <f t="shared" si="29"/>
        <v>3</v>
      </c>
      <c r="BA128" s="31">
        <f t="shared" si="30"/>
        <v>6</v>
      </c>
      <c r="BB128" s="32">
        <f>IFERROR(INDEX('Análisis general'!$E$4:$E$28,MATCH($B128,'Análisis general'!$B$4:$B$28,0)),"")</f>
        <v>13</v>
      </c>
      <c r="BC128" s="31">
        <f t="shared" si="31"/>
        <v>3</v>
      </c>
      <c r="BD128" s="32">
        <f t="shared" si="32"/>
        <v>6.4285714285714279</v>
      </c>
      <c r="BE128" s="32">
        <f t="shared" si="33"/>
        <v>9</v>
      </c>
    </row>
    <row r="129" spans="1:57" ht="25.5" customHeight="1" x14ac:dyDescent="0.25">
      <c r="A129" s="33" t="s">
        <v>450</v>
      </c>
      <c r="B129" s="11" t="s">
        <v>49</v>
      </c>
      <c r="C129" s="34" t="s">
        <v>112</v>
      </c>
      <c r="D129" s="24">
        <f t="shared" si="17"/>
        <v>8</v>
      </c>
      <c r="E129" s="59">
        <f t="shared" si="18"/>
        <v>8.1428571428571423</v>
      </c>
      <c r="F129" s="59">
        <f t="shared" si="19"/>
        <v>9</v>
      </c>
      <c r="G129" s="11" t="s">
        <v>451</v>
      </c>
      <c r="H129" s="25" t="s">
        <v>452</v>
      </c>
      <c r="I129" s="25" t="s">
        <v>451</v>
      </c>
      <c r="J129" s="26" t="s">
        <v>451</v>
      </c>
      <c r="K129" s="42" t="str">
        <f>IF($AQ129,"#N/D",IFERROR(INDEX(Olimpiadas!$A$2:$A$61,MATCH($AO129,Olimpiadas!$C$2:$C$61,0)),"#N/D"))</f>
        <v>INSTITUCIÓN EDUCATIVA ATENEO</v>
      </c>
      <c r="L129" s="42" t="str">
        <f>IF($AQ129,"#N/D",IFERROR(INDEX(Minculturas!$A$2:$A$48,MATCH($AO129,Minculturas!$C$2:$C$48,0)),"#N/D"))</f>
        <v>#N/D</v>
      </c>
      <c r="M129" s="42" t="str">
        <f>IF($AQ129,"#N/D",IFERROR(INDEX(Minculturas!$B$2:$B$48,MATCH($AO129,Minculturas!$C$2:$C$48,0)),"#N/D"))</f>
        <v>#N/D</v>
      </c>
      <c r="N129" s="27">
        <v>3</v>
      </c>
      <c r="O129" s="28">
        <v>0</v>
      </c>
      <c r="P129" s="28">
        <v>2</v>
      </c>
      <c r="Q129" s="28">
        <v>0</v>
      </c>
      <c r="R129" s="28">
        <v>1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7">
        <f t="shared" si="20"/>
        <v>3</v>
      </c>
      <c r="AH129" s="28"/>
      <c r="AI129" s="28"/>
      <c r="AJ129" s="28">
        <v>24.8</v>
      </c>
      <c r="AK129" s="28"/>
      <c r="AL129" s="28"/>
      <c r="AM129" s="29" t="s">
        <v>246</v>
      </c>
      <c r="AO129" t="str">
        <f t="shared" si="21"/>
        <v>pradera</v>
      </c>
      <c r="AP129" t="str">
        <f t="shared" si="22"/>
        <v>valle del cauca</v>
      </c>
      <c r="AQ129" t="b">
        <f t="shared" si="23"/>
        <v>0</v>
      </c>
      <c r="AR129" t="str">
        <f t="shared" si="24"/>
        <v>pradera</v>
      </c>
      <c r="AS129" s="30">
        <f t="shared" si="25"/>
        <v>2</v>
      </c>
      <c r="AT129" s="30">
        <f t="shared" si="26"/>
        <v>3</v>
      </c>
      <c r="AU129" s="30">
        <f t="shared" si="27"/>
        <v>3</v>
      </c>
      <c r="AV129" s="30">
        <f t="shared" si="28"/>
        <v>3</v>
      </c>
      <c r="AZ129" s="31">
        <f t="shared" si="29"/>
        <v>3</v>
      </c>
      <c r="BA129" s="31">
        <f t="shared" si="30"/>
        <v>8</v>
      </c>
      <c r="BB129" s="32">
        <f>IFERROR(INDEX('Análisis general'!$E$4:$E$28,MATCH($B129,'Análisis general'!$B$4:$B$28,0)),"")</f>
        <v>4.9000000000000004</v>
      </c>
      <c r="BC129" s="31">
        <f t="shared" si="31"/>
        <v>3</v>
      </c>
      <c r="BD129" s="32">
        <f t="shared" si="32"/>
        <v>8.1428571428571423</v>
      </c>
      <c r="BE129" s="32">
        <f t="shared" si="33"/>
        <v>9</v>
      </c>
    </row>
    <row r="130" spans="1:57" ht="25.5" customHeight="1" x14ac:dyDescent="0.25">
      <c r="A130" s="33" t="s">
        <v>453</v>
      </c>
      <c r="B130" s="11" t="s">
        <v>49</v>
      </c>
      <c r="C130" s="65" t="s">
        <v>1218</v>
      </c>
      <c r="D130" s="24">
        <f t="shared" ref="D130:D193" si="34">AS130+AU130+AV130</f>
        <v>7</v>
      </c>
      <c r="E130" s="59">
        <f t="shared" ref="E130:E193" si="35">BD130</f>
        <v>7.2857142857142856</v>
      </c>
      <c r="F130" s="59">
        <f t="shared" ref="F130:F193" si="36">BE130</f>
        <v>9</v>
      </c>
      <c r="G130" s="11" t="s">
        <v>455</v>
      </c>
      <c r="H130" s="25" t="s">
        <v>456</v>
      </c>
      <c r="I130" s="25" t="s">
        <v>455</v>
      </c>
      <c r="J130" s="26" t="s">
        <v>106</v>
      </c>
      <c r="K130" s="26" t="str">
        <f>IF($AQ130,"#N/D",IFERROR(INDEX(Olimpiadas!$A$2:$A$61,MATCH($AO130,Olimpiadas!$C$2:$C$61,0)),"#N/D"))</f>
        <v>#N/D</v>
      </c>
      <c r="L130" s="26" t="str">
        <f>IF($AQ130,"#N/D",IFERROR(INDEX(Minculturas!$A$2:$A$48,MATCH($AO130,Minculturas!$C$2:$C$48,0)),"#N/D"))</f>
        <v>#N/D</v>
      </c>
      <c r="M130" s="26" t="str">
        <f>IF($AQ130,"#N/D",IFERROR(INDEX(Minculturas!$B$2:$B$48,MATCH($AO130,Minculturas!$C$2:$C$48,0)),"#N/D"))</f>
        <v>#N/D</v>
      </c>
      <c r="N130" s="27">
        <v>5</v>
      </c>
      <c r="O130" s="28">
        <v>0</v>
      </c>
      <c r="P130" s="28">
        <v>2</v>
      </c>
      <c r="Q130" s="28">
        <v>1</v>
      </c>
      <c r="R130" s="28">
        <v>0</v>
      </c>
      <c r="S130" s="28">
        <v>1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1</v>
      </c>
      <c r="AC130" s="28">
        <v>0</v>
      </c>
      <c r="AD130" s="28">
        <v>0</v>
      </c>
      <c r="AE130" s="28">
        <v>0</v>
      </c>
      <c r="AF130" s="28">
        <v>0</v>
      </c>
      <c r="AG130" s="27">
        <f t="shared" ref="AG130:AG193" si="37">SUM(O130:X130)</f>
        <v>4</v>
      </c>
      <c r="AH130" s="28" t="s">
        <v>136</v>
      </c>
      <c r="AI130" s="28" t="s">
        <v>457</v>
      </c>
      <c r="AJ130" s="28">
        <v>23.2</v>
      </c>
      <c r="AK130" s="28"/>
      <c r="AL130" s="28"/>
      <c r="AM130" s="29" t="s">
        <v>458</v>
      </c>
      <c r="AO130" t="str">
        <f t="shared" ref="AO130:AO193" si="38">TRIM(SUBSTITUTE(SUBSTITUTE(SUBSTITUTE(SUBSTITUTE(SUBSTITUTE(SUBSTITUTE(SUBSTITUTE(SUBSTITUTE(SUBSTITUTE(LOWER(G130),"á","a"),"é","e"),"í","i"),"ó","o"),"ú","u"),"ñ","n"),"-"," "),","," "),"."," "))</f>
        <v>riofrio</v>
      </c>
      <c r="AP130" t="str">
        <f t="shared" ref="AP130:AP193" si="39">TRIM(SUBSTITUTE(SUBSTITUTE(SUBSTITUTE(SUBSTITUTE(SUBSTITUTE(SUBSTITUTE(SUBSTITUTE(SUBSTITUTE(SUBSTITUTE(LOWER(B130),"á","a"),"é","e"),"í","i"),"ó","o"),"ú","u"),"ñ","n"),"-"," "),","," "),"."," "))</f>
        <v>valle del cauca</v>
      </c>
      <c r="AQ130" t="b">
        <f t="shared" ref="AQ130:AQ193" si="40">COUNTIF($AO$2:$AO$433,AO130)&gt;COUNTIFS($AO$2:$AO$433,AO130,$AP$2:$AP$433,AP130)</f>
        <v>0</v>
      </c>
      <c r="AR130" t="str">
        <f t="shared" ref="AR130:AR193" si="41">IF(AQ130,AO130&amp;"|"&amp;AP130,AO130)</f>
        <v>riofrio</v>
      </c>
      <c r="AS130" s="30">
        <f t="shared" ref="AS130:AS193" si="42">(I130&lt;&gt;"#N/D")+(J130&lt;&gt;"#N/D")+(L130&lt;&gt;"#N/D")</f>
        <v>1</v>
      </c>
      <c r="AT130" s="30">
        <f t="shared" ref="AT130:AT193" si="43">SUM(O130:X130)</f>
        <v>4</v>
      </c>
      <c r="AU130" s="30">
        <f t="shared" ref="AU130:AU193" si="44">IF(AT130&lt;=$AY$2,0,IF(AT130&lt;=$AY$3,1,IF(AT130&lt;=$AY$4,2,3)))</f>
        <v>3</v>
      </c>
      <c r="AV130" s="30">
        <f t="shared" ref="AV130:AV193" si="45">IF(Y130&lt;=$AY$7,3,IF(Y130&lt;=$AY$8,2,IF(Y130&lt;=$AY$9,1,0)))</f>
        <v>3</v>
      </c>
      <c r="AZ130" s="31">
        <f t="shared" ref="AZ130:AZ193" si="46">IF(Y130=0,3,0)</f>
        <v>3</v>
      </c>
      <c r="BA130" s="31">
        <f t="shared" ref="BA130:BA193" si="47">AS130+AU130+AZ130</f>
        <v>7</v>
      </c>
      <c r="BB130" s="32">
        <f>IFERROR(INDEX('Análisis general'!$E$4:$E$28,MATCH($B130,'Análisis general'!$B$4:$B$28,0)),"")</f>
        <v>4.9000000000000004</v>
      </c>
      <c r="BC130" s="31">
        <f t="shared" ref="BC130:BC193" si="48">IF(BB130="","",IF(BB130&lt;=$BG$2,0,IF(BB130&lt;=$BG$3,1,IF(BB130&lt;=$BG$4,2,3))))</f>
        <v>3</v>
      </c>
      <c r="BD130" s="32">
        <f t="shared" ref="BD130:BD193" si="49">(AS130+AU130+AZ130+(BC130/2))*(9/10.5)</f>
        <v>7.2857142857142856</v>
      </c>
      <c r="BE130" s="32">
        <f t="shared" ref="BE130:BE193" si="50">(AU130+AZ130+(BC130/2))*(9/7.5)</f>
        <v>9</v>
      </c>
    </row>
    <row r="131" spans="1:57" ht="25.5" customHeight="1" x14ac:dyDescent="0.25">
      <c r="A131" s="33" t="s">
        <v>459</v>
      </c>
      <c r="B131" s="11" t="s">
        <v>35</v>
      </c>
      <c r="C131" s="64" t="s">
        <v>1215</v>
      </c>
      <c r="D131" s="24">
        <f t="shared" si="34"/>
        <v>7</v>
      </c>
      <c r="E131" s="59">
        <f t="shared" si="35"/>
        <v>7.2857142857142856</v>
      </c>
      <c r="F131" s="59">
        <f t="shared" si="36"/>
        <v>9</v>
      </c>
      <c r="G131" s="11" t="s">
        <v>460</v>
      </c>
      <c r="H131" s="25" t="str">
        <f>IFERROR(IF($AQ131,INDEX(cpe!$C$2:$C$307,MATCH($AR131,cpe!$F$2:$F$307,0)),INDEX(cpe!$C$2:$C$307,MATCH($AR131,cpe!$D$2:$D$307,0))),"#N/D")</f>
        <v>Institucion Educativa Maria Luz</v>
      </c>
      <c r="I131" s="25" t="str">
        <f>IFERROR(IF($AQ131,INDEX(cpe!$B$2:$B$307,MATCH($AR131,cpe!$F$2:$F$307,0)),INDEX(cpe!$B$2:$B$307,MATCH($AR131,cpe!$D$2:$D$307,0))),"#N/D")</f>
        <v>Nilo</v>
      </c>
      <c r="J131" s="26" t="str">
        <f>IF($AQ131,"#N/D",IFERROR(INDEX(Olimpiadas!$B$2:$B$61,MATCH($AO131,Olimpiadas!$C$2:$C$61,0)),"#N/D"))</f>
        <v>#N/D</v>
      </c>
      <c r="K131" s="26" t="str">
        <f>IF($AQ131,"#N/D",IFERROR(INDEX(Olimpiadas!$A$2:$A$61,MATCH($AO131,Olimpiadas!$C$2:$C$61,0)),"#N/D"))</f>
        <v>#N/D</v>
      </c>
      <c r="L131" s="26" t="str">
        <f>IF($AQ131,"#N/D",IFERROR(INDEX(Minculturas!$A$2:$A$48,MATCH($AO131,Minculturas!$C$2:$C$48,0)),"#N/D"))</f>
        <v>#N/D</v>
      </c>
      <c r="M131" s="26" t="str">
        <f>IF($AQ131,"#N/D",IFERROR(INDEX(Minculturas!$B$2:$B$48,MATCH($AO131,Minculturas!$C$2:$C$48,0)),"#N/D"))</f>
        <v>#N/D</v>
      </c>
      <c r="N131" s="27">
        <v>3</v>
      </c>
      <c r="O131" s="28">
        <v>0</v>
      </c>
      <c r="P131" s="28">
        <v>0</v>
      </c>
      <c r="Q131" s="28">
        <v>2</v>
      </c>
      <c r="R131" s="28">
        <v>0</v>
      </c>
      <c r="S131" s="28">
        <v>1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7">
        <f t="shared" si="37"/>
        <v>3</v>
      </c>
      <c r="AH131" s="28"/>
      <c r="AI131" s="28"/>
      <c r="AJ131" s="28">
        <v>22.1</v>
      </c>
      <c r="AK131" s="28"/>
      <c r="AL131" s="28"/>
      <c r="AM131" s="29" t="s">
        <v>461</v>
      </c>
      <c r="AO131" t="str">
        <f t="shared" si="38"/>
        <v>nilo</v>
      </c>
      <c r="AP131" t="str">
        <f t="shared" si="39"/>
        <v>cundinamarca</v>
      </c>
      <c r="AQ131" t="b">
        <f t="shared" si="40"/>
        <v>0</v>
      </c>
      <c r="AR131" t="str">
        <f t="shared" si="41"/>
        <v>nilo</v>
      </c>
      <c r="AS131" s="30">
        <f t="shared" si="42"/>
        <v>1</v>
      </c>
      <c r="AT131" s="30">
        <f t="shared" si="43"/>
        <v>3</v>
      </c>
      <c r="AU131" s="30">
        <f t="shared" si="44"/>
        <v>3</v>
      </c>
      <c r="AV131" s="30">
        <f t="shared" si="45"/>
        <v>3</v>
      </c>
      <c r="AZ131" s="31">
        <f t="shared" si="46"/>
        <v>3</v>
      </c>
      <c r="BA131" s="31">
        <f t="shared" si="47"/>
        <v>7</v>
      </c>
      <c r="BB131" s="32">
        <f>IFERROR(INDEX('Análisis general'!$E$4:$E$28,MATCH($B131,'Análisis general'!$B$4:$B$28,0)),"")</f>
        <v>4.0999999999999996</v>
      </c>
      <c r="BC131" s="31">
        <f t="shared" si="48"/>
        <v>3</v>
      </c>
      <c r="BD131" s="32">
        <f t="shared" si="49"/>
        <v>7.2857142857142856</v>
      </c>
      <c r="BE131" s="32">
        <f t="shared" si="50"/>
        <v>9</v>
      </c>
    </row>
    <row r="132" spans="1:57" ht="25.5" customHeight="1" x14ac:dyDescent="0.25">
      <c r="A132" s="33" t="s">
        <v>466</v>
      </c>
      <c r="B132" s="11" t="s">
        <v>49</v>
      </c>
      <c r="C132" s="34" t="s">
        <v>112</v>
      </c>
      <c r="D132" s="24">
        <f t="shared" si="34"/>
        <v>7</v>
      </c>
      <c r="E132" s="59">
        <f t="shared" si="35"/>
        <v>7.2857142857142856</v>
      </c>
      <c r="F132" s="59">
        <f t="shared" si="36"/>
        <v>9</v>
      </c>
      <c r="G132" s="11" t="s">
        <v>467</v>
      </c>
      <c r="H132" s="25" t="str">
        <f>IFERROR(IF($AQ132,INDEX(cpe!$C$2:$C$307,MATCH($AR132,cpe!$F$2:$F$307,0)),INDEX(cpe!$C$2:$C$307,MATCH($AR132,cpe!$D$2:$D$307,0))),"#N/D")</f>
        <v>Institucion Educativa Pedregal</v>
      </c>
      <c r="I132" s="25" t="str">
        <f>IFERROR(IF($AQ132,INDEX(cpe!$B$2:$B$307,MATCH($AR132,cpe!$F$2:$F$307,0)),INDEX(cpe!$B$2:$B$307,MATCH($AR132,cpe!$D$2:$D$307,0))),"#N/D")</f>
        <v>El Dovio</v>
      </c>
      <c r="J132" s="26" t="str">
        <f>IF($AQ132,"#N/D",IFERROR(INDEX(Olimpiadas!$B$2:$B$61,MATCH($AO132,Olimpiadas!$C$2:$C$61,0)),"#N/D"))</f>
        <v>#N/D</v>
      </c>
      <c r="K132" s="26" t="str">
        <f>IF($AQ132,"#N/D",IFERROR(INDEX(Olimpiadas!$A$2:$A$61,MATCH($AO132,Olimpiadas!$C$2:$C$61,0)),"#N/D"))</f>
        <v>#N/D</v>
      </c>
      <c r="L132" s="26" t="str">
        <f>IF($AQ132,"#N/D",IFERROR(INDEX(Minculturas!$A$2:$A$48,MATCH($AO132,Minculturas!$C$2:$C$48,0)),"#N/D"))</f>
        <v>#N/D</v>
      </c>
      <c r="M132" s="26" t="str">
        <f>IF($AQ132,"#N/D",IFERROR(INDEX(Minculturas!$B$2:$B$48,MATCH($AO132,Minculturas!$C$2:$C$48,0)),"#N/D"))</f>
        <v>#N/D</v>
      </c>
      <c r="N132" s="27">
        <v>3</v>
      </c>
      <c r="O132" s="28">
        <v>0</v>
      </c>
      <c r="P132" s="28">
        <v>0</v>
      </c>
      <c r="Q132" s="28">
        <v>1</v>
      </c>
      <c r="R132" s="28">
        <v>0</v>
      </c>
      <c r="S132" s="28">
        <v>0</v>
      </c>
      <c r="T132" s="28">
        <v>0</v>
      </c>
      <c r="U132" s="28">
        <v>1</v>
      </c>
      <c r="V132" s="28">
        <v>0</v>
      </c>
      <c r="W132" s="28">
        <v>1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7">
        <f t="shared" si="37"/>
        <v>3</v>
      </c>
      <c r="AH132" s="28" t="s">
        <v>468</v>
      </c>
      <c r="AI132" s="28" t="s">
        <v>469</v>
      </c>
      <c r="AJ132" s="28">
        <v>37.200000000000003</v>
      </c>
      <c r="AK132" s="28"/>
      <c r="AL132" s="28"/>
      <c r="AM132" s="29" t="s">
        <v>246</v>
      </c>
      <c r="AO132" t="str">
        <f t="shared" si="38"/>
        <v>el dovio</v>
      </c>
      <c r="AP132" t="str">
        <f t="shared" si="39"/>
        <v>valle del cauca</v>
      </c>
      <c r="AQ132" t="b">
        <f t="shared" si="40"/>
        <v>0</v>
      </c>
      <c r="AR132" t="str">
        <f t="shared" si="41"/>
        <v>el dovio</v>
      </c>
      <c r="AS132" s="30">
        <f t="shared" si="42"/>
        <v>1</v>
      </c>
      <c r="AT132" s="30">
        <f t="shared" si="43"/>
        <v>3</v>
      </c>
      <c r="AU132" s="30">
        <f t="shared" si="44"/>
        <v>3</v>
      </c>
      <c r="AV132" s="30">
        <f t="shared" si="45"/>
        <v>3</v>
      </c>
      <c r="AZ132" s="31">
        <f t="shared" si="46"/>
        <v>3</v>
      </c>
      <c r="BA132" s="31">
        <f t="shared" si="47"/>
        <v>7</v>
      </c>
      <c r="BB132" s="32">
        <f>IFERROR(INDEX('Análisis general'!$E$4:$E$28,MATCH($B132,'Análisis general'!$B$4:$B$28,0)),"")</f>
        <v>4.9000000000000004</v>
      </c>
      <c r="BC132" s="31">
        <f t="shared" si="48"/>
        <v>3</v>
      </c>
      <c r="BD132" s="32">
        <f t="shared" si="49"/>
        <v>7.2857142857142856</v>
      </c>
      <c r="BE132" s="32">
        <f t="shared" si="50"/>
        <v>9</v>
      </c>
    </row>
    <row r="133" spans="1:57" ht="25.5" customHeight="1" x14ac:dyDescent="0.25">
      <c r="A133" s="33" t="s">
        <v>470</v>
      </c>
      <c r="B133" s="11" t="s">
        <v>49</v>
      </c>
      <c r="C133" s="34" t="s">
        <v>112</v>
      </c>
      <c r="D133" s="24">
        <f t="shared" si="34"/>
        <v>7</v>
      </c>
      <c r="E133" s="59">
        <f t="shared" si="35"/>
        <v>7.2857142857142856</v>
      </c>
      <c r="F133" s="59">
        <f t="shared" si="36"/>
        <v>9</v>
      </c>
      <c r="G133" s="11" t="s">
        <v>471</v>
      </c>
      <c r="H133" s="25" t="str">
        <f>IFERROR(IF($AQ133,INDEX(cpe!$C$2:$C$307,MATCH($AR133,cpe!$F$2:$F$307,0)),INDEX(cpe!$C$2:$C$307,MATCH($AR133,cpe!$D$2:$D$307,0))),"#N/D")</f>
        <v>Inst Educativa Marcos Garcia Carrillo</v>
      </c>
      <c r="I133" s="25" t="str">
        <f>IFERROR(IF($AQ133,INDEX(cpe!$B$2:$B$307,MATCH($AR133,cpe!$F$2:$F$307,0)),INDEX(cpe!$B$2:$B$307,MATCH($AR133,cpe!$D$2:$D$307,0))),"#N/D")</f>
        <v>Jamundí</v>
      </c>
      <c r="J133" s="26" t="str">
        <f>IF($AQ133,"#N/D",IFERROR(INDEX(Olimpiadas!$B$2:$B$61,MATCH($AO133,Olimpiadas!$C$2:$C$61,0)),"#N/D"))</f>
        <v>#N/D</v>
      </c>
      <c r="K133" s="26" t="str">
        <f>IF($AQ133,"#N/D",IFERROR(INDEX(Olimpiadas!$A$2:$A$61,MATCH($AO133,Olimpiadas!$C$2:$C$61,0)),"#N/D"))</f>
        <v>#N/D</v>
      </c>
      <c r="L133" s="26" t="str">
        <f>IF($AQ133,"#N/D",IFERROR(INDEX(Minculturas!$A$2:$A$48,MATCH($AO133,Minculturas!$C$2:$C$48,0)),"#N/D"))</f>
        <v>#N/D</v>
      </c>
      <c r="M133" s="26" t="str">
        <f>IF($AQ133,"#N/D",IFERROR(INDEX(Minculturas!$B$2:$B$48,MATCH($AO133,Minculturas!$C$2:$C$48,0)),"#N/D"))</f>
        <v>#N/D</v>
      </c>
      <c r="N133" s="27">
        <v>5</v>
      </c>
      <c r="O133" s="28">
        <v>0</v>
      </c>
      <c r="P133" s="28">
        <v>2</v>
      </c>
      <c r="Q133" s="28">
        <v>0</v>
      </c>
      <c r="R133" s="28">
        <v>1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1</v>
      </c>
      <c r="AA133" s="28">
        <v>0</v>
      </c>
      <c r="AB133" s="28">
        <v>1</v>
      </c>
      <c r="AC133" s="28">
        <v>0</v>
      </c>
      <c r="AD133" s="28">
        <v>0</v>
      </c>
      <c r="AE133" s="28">
        <v>0</v>
      </c>
      <c r="AF133" s="28">
        <v>0</v>
      </c>
      <c r="AG133" s="27">
        <f t="shared" si="37"/>
        <v>3</v>
      </c>
      <c r="AH133" s="28" t="s">
        <v>146</v>
      </c>
      <c r="AI133" s="28" t="s">
        <v>472</v>
      </c>
      <c r="AJ133" s="28">
        <v>14.9</v>
      </c>
      <c r="AK133" s="28"/>
      <c r="AL133" s="28"/>
      <c r="AM133" s="29" t="s">
        <v>114</v>
      </c>
      <c r="AO133" t="str">
        <f t="shared" si="38"/>
        <v>jamundi</v>
      </c>
      <c r="AP133" t="str">
        <f t="shared" si="39"/>
        <v>valle del cauca</v>
      </c>
      <c r="AQ133" t="b">
        <f t="shared" si="40"/>
        <v>0</v>
      </c>
      <c r="AR133" t="str">
        <f t="shared" si="41"/>
        <v>jamundi</v>
      </c>
      <c r="AS133" s="30">
        <f t="shared" si="42"/>
        <v>1</v>
      </c>
      <c r="AT133" s="30">
        <f t="shared" si="43"/>
        <v>3</v>
      </c>
      <c r="AU133" s="30">
        <f t="shared" si="44"/>
        <v>3</v>
      </c>
      <c r="AV133" s="30">
        <f t="shared" si="45"/>
        <v>3</v>
      </c>
      <c r="AZ133" s="31">
        <f t="shared" si="46"/>
        <v>3</v>
      </c>
      <c r="BA133" s="31">
        <f t="shared" si="47"/>
        <v>7</v>
      </c>
      <c r="BB133" s="32">
        <f>IFERROR(INDEX('Análisis general'!$E$4:$E$28,MATCH($B133,'Análisis general'!$B$4:$B$28,0)),"")</f>
        <v>4.9000000000000004</v>
      </c>
      <c r="BC133" s="31">
        <f t="shared" si="48"/>
        <v>3</v>
      </c>
      <c r="BD133" s="32">
        <f t="shared" si="49"/>
        <v>7.2857142857142856</v>
      </c>
      <c r="BE133" s="32">
        <f t="shared" si="50"/>
        <v>9</v>
      </c>
    </row>
    <row r="134" spans="1:57" ht="25.5" customHeight="1" x14ac:dyDescent="0.25">
      <c r="A134" s="33" t="s">
        <v>473</v>
      </c>
      <c r="B134" s="11" t="s">
        <v>49</v>
      </c>
      <c r="C134" s="34" t="s">
        <v>112</v>
      </c>
      <c r="D134" s="24">
        <f t="shared" si="34"/>
        <v>7</v>
      </c>
      <c r="E134" s="59">
        <f t="shared" si="35"/>
        <v>7.2857142857142856</v>
      </c>
      <c r="F134" s="59">
        <f t="shared" si="36"/>
        <v>9</v>
      </c>
      <c r="G134" s="11" t="s">
        <v>474</v>
      </c>
      <c r="H134" s="25" t="s">
        <v>475</v>
      </c>
      <c r="I134" s="25" t="s">
        <v>474</v>
      </c>
      <c r="J134" s="26" t="s">
        <v>106</v>
      </c>
      <c r="K134" s="26" t="str">
        <f>IF($AQ134,"#N/D",IFERROR(INDEX(Olimpiadas!$A$2:$A$61,MATCH($AO134,Olimpiadas!$C$2:$C$61,0)),"#N/D"))</f>
        <v>#N/D</v>
      </c>
      <c r="L134" s="26" t="str">
        <f>IF($AQ134,"#N/D",IFERROR(INDEX(Minculturas!$A$2:$A$48,MATCH($AO134,Minculturas!$C$2:$C$48,0)),"#N/D"))</f>
        <v>#N/D</v>
      </c>
      <c r="M134" s="26" t="str">
        <f>IF($AQ134,"#N/D",IFERROR(INDEX(Minculturas!$B$2:$B$48,MATCH($AO134,Minculturas!$C$2:$C$48,0)),"#N/D"))</f>
        <v>#N/D</v>
      </c>
      <c r="N134" s="27">
        <v>3</v>
      </c>
      <c r="O134" s="28">
        <v>0</v>
      </c>
      <c r="P134" s="28">
        <v>0</v>
      </c>
      <c r="Q134" s="28">
        <v>0</v>
      </c>
      <c r="R134" s="28">
        <v>1</v>
      </c>
      <c r="S134" s="28">
        <v>1</v>
      </c>
      <c r="T134" s="28">
        <v>0</v>
      </c>
      <c r="U134" s="28">
        <v>1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7">
        <f t="shared" si="37"/>
        <v>3</v>
      </c>
      <c r="AH134" s="28" t="s">
        <v>476</v>
      </c>
      <c r="AI134" s="28" t="s">
        <v>477</v>
      </c>
      <c r="AJ134" s="28">
        <v>20.7</v>
      </c>
      <c r="AK134" s="28"/>
      <c r="AL134" s="28"/>
      <c r="AM134" s="29" t="s">
        <v>114</v>
      </c>
      <c r="AO134" t="str">
        <f t="shared" si="38"/>
        <v>restrepo</v>
      </c>
      <c r="AP134" t="str">
        <f t="shared" si="39"/>
        <v>valle del cauca</v>
      </c>
      <c r="AQ134" t="b">
        <f t="shared" si="40"/>
        <v>0</v>
      </c>
      <c r="AR134" t="str">
        <f t="shared" si="41"/>
        <v>restrepo</v>
      </c>
      <c r="AS134" s="30">
        <f t="shared" si="42"/>
        <v>1</v>
      </c>
      <c r="AT134" s="30">
        <f t="shared" si="43"/>
        <v>3</v>
      </c>
      <c r="AU134" s="30">
        <f t="shared" si="44"/>
        <v>3</v>
      </c>
      <c r="AV134" s="30">
        <f t="shared" si="45"/>
        <v>3</v>
      </c>
      <c r="AZ134" s="31">
        <f t="shared" si="46"/>
        <v>3</v>
      </c>
      <c r="BA134" s="31">
        <f t="shared" si="47"/>
        <v>7</v>
      </c>
      <c r="BB134" s="32">
        <f>IFERROR(INDEX('Análisis general'!$E$4:$E$28,MATCH($B134,'Análisis general'!$B$4:$B$28,0)),"")</f>
        <v>4.9000000000000004</v>
      </c>
      <c r="BC134" s="31">
        <f t="shared" si="48"/>
        <v>3</v>
      </c>
      <c r="BD134" s="32">
        <f t="shared" si="49"/>
        <v>7.2857142857142856</v>
      </c>
      <c r="BE134" s="32">
        <f t="shared" si="50"/>
        <v>9</v>
      </c>
    </row>
    <row r="135" spans="1:57" ht="25.5" customHeight="1" x14ac:dyDescent="0.25">
      <c r="A135" s="33" t="s">
        <v>483</v>
      </c>
      <c r="B135" s="11" t="s">
        <v>49</v>
      </c>
      <c r="C135" s="34" t="s">
        <v>112</v>
      </c>
      <c r="D135" s="24">
        <f t="shared" si="34"/>
        <v>7</v>
      </c>
      <c r="E135" s="59">
        <f t="shared" si="35"/>
        <v>7.2857142857142856</v>
      </c>
      <c r="F135" s="59">
        <f t="shared" si="36"/>
        <v>9</v>
      </c>
      <c r="G135" s="11" t="s">
        <v>484</v>
      </c>
      <c r="H135" s="25" t="s">
        <v>485</v>
      </c>
      <c r="I135" s="25" t="s">
        <v>484</v>
      </c>
      <c r="J135" s="26" t="s">
        <v>106</v>
      </c>
      <c r="K135" s="26" t="str">
        <f>IF($AQ135,"#N/D",IFERROR(INDEX(Olimpiadas!$A$2:$A$61,MATCH($AO135,Olimpiadas!$C$2:$C$61,0)),"#N/D"))</f>
        <v>#N/D</v>
      </c>
      <c r="L135" s="26" t="str">
        <f>IF($AQ135,"#N/D",IFERROR(INDEX(Minculturas!$A$2:$A$48,MATCH($AO135,Minculturas!$C$2:$C$48,0)),"#N/D"))</f>
        <v>#N/D</v>
      </c>
      <c r="M135" s="26" t="str">
        <f>IF($AQ135,"#N/D",IFERROR(INDEX(Minculturas!$B$2:$B$48,MATCH($AO135,Minculturas!$C$2:$C$48,0)),"#N/D"))</f>
        <v>#N/D</v>
      </c>
      <c r="N135" s="27">
        <v>3</v>
      </c>
      <c r="O135" s="28">
        <v>0</v>
      </c>
      <c r="P135" s="28">
        <v>1</v>
      </c>
      <c r="Q135" s="28">
        <v>1</v>
      </c>
      <c r="R135" s="28">
        <v>0</v>
      </c>
      <c r="S135" s="28">
        <v>0</v>
      </c>
      <c r="T135" s="28">
        <v>0</v>
      </c>
      <c r="U135" s="28">
        <v>1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7">
        <f t="shared" si="37"/>
        <v>3</v>
      </c>
      <c r="AH135" s="28" t="s">
        <v>486</v>
      </c>
      <c r="AI135" s="28" t="s">
        <v>487</v>
      </c>
      <c r="AJ135" s="28">
        <v>24.2</v>
      </c>
      <c r="AK135" s="28"/>
      <c r="AL135" s="28"/>
      <c r="AM135" s="29" t="s">
        <v>246</v>
      </c>
      <c r="AO135" t="str">
        <f t="shared" si="38"/>
        <v>ulloa</v>
      </c>
      <c r="AP135" t="str">
        <f t="shared" si="39"/>
        <v>valle del cauca</v>
      </c>
      <c r="AQ135" t="b">
        <f t="shared" si="40"/>
        <v>0</v>
      </c>
      <c r="AR135" t="str">
        <f t="shared" si="41"/>
        <v>ulloa</v>
      </c>
      <c r="AS135" s="30">
        <f t="shared" si="42"/>
        <v>1</v>
      </c>
      <c r="AT135" s="30">
        <f t="shared" si="43"/>
        <v>3</v>
      </c>
      <c r="AU135" s="30">
        <f t="shared" si="44"/>
        <v>3</v>
      </c>
      <c r="AV135" s="30">
        <f t="shared" si="45"/>
        <v>3</v>
      </c>
      <c r="AZ135" s="31">
        <f t="shared" si="46"/>
        <v>3</v>
      </c>
      <c r="BA135" s="31">
        <f t="shared" si="47"/>
        <v>7</v>
      </c>
      <c r="BB135" s="32">
        <f>IFERROR(INDEX('Análisis general'!$E$4:$E$28,MATCH($B135,'Análisis general'!$B$4:$B$28,0)),"")</f>
        <v>4.9000000000000004</v>
      </c>
      <c r="BC135" s="31">
        <f t="shared" si="48"/>
        <v>3</v>
      </c>
      <c r="BD135" s="32">
        <f t="shared" si="49"/>
        <v>7.2857142857142856</v>
      </c>
      <c r="BE135" s="32">
        <f t="shared" si="50"/>
        <v>9</v>
      </c>
    </row>
    <row r="136" spans="1:57" ht="25.5" customHeight="1" x14ac:dyDescent="0.25">
      <c r="A136" s="33" t="s">
        <v>462</v>
      </c>
      <c r="B136" s="11" t="s">
        <v>49</v>
      </c>
      <c r="C136" s="34" t="s">
        <v>112</v>
      </c>
      <c r="D136" s="24">
        <f t="shared" si="34"/>
        <v>7</v>
      </c>
      <c r="E136" s="59">
        <f t="shared" si="35"/>
        <v>7.2857142857142856</v>
      </c>
      <c r="F136" s="59">
        <f t="shared" si="36"/>
        <v>9</v>
      </c>
      <c r="G136" s="11" t="s">
        <v>463</v>
      </c>
      <c r="H136" s="25" t="str">
        <f>IFERROR(IF($AQ136,INDEX(cpe!$C$2:$C$307,MATCH($AR136,cpe!$F$2:$F$307,0)),INDEX(cpe!$C$2:$C$307,MATCH($AR136,cpe!$D$2:$D$307,0))),"#N/D")</f>
        <v>Institucion Educativa Versalles</v>
      </c>
      <c r="I136" s="25" t="str">
        <f>IFERROR(IF($AQ136,INDEX(cpe!$B$2:$B$307,MATCH($AR136,cpe!$F$2:$F$307,0)),INDEX(cpe!$B$2:$B$307,MATCH($AR136,cpe!$D$2:$D$307,0))),"#N/D")</f>
        <v>Candelaria</v>
      </c>
      <c r="J136" s="26" t="str">
        <f>IF($AQ136,"#N/D",IFERROR(INDEX(Olimpiadas!$B$2:$B$61,MATCH($AO136,Olimpiadas!$C$2:$C$61,0)),"#N/D"))</f>
        <v>#N/D</v>
      </c>
      <c r="K136" s="26" t="str">
        <f>IF($AQ136,"#N/D",IFERROR(INDEX(Olimpiadas!$A$2:$A$61,MATCH($AO136,Olimpiadas!$C$2:$C$61,0)),"#N/D"))</f>
        <v>#N/D</v>
      </c>
      <c r="L136" s="26" t="str">
        <f>IF($AQ136,"#N/D",IFERROR(INDEX(Minculturas!$A$2:$A$48,MATCH($AO136,Minculturas!$C$2:$C$48,0)),"#N/D"))</f>
        <v>#N/D</v>
      </c>
      <c r="M136" s="26" t="str">
        <f>IF($AQ136,"#N/D",IFERROR(INDEX(Minculturas!$B$2:$B$48,MATCH($AO136,Minculturas!$C$2:$C$48,0)),"#N/D"))</f>
        <v>#N/D</v>
      </c>
      <c r="N136" s="27">
        <v>2</v>
      </c>
      <c r="O136" s="28">
        <v>0</v>
      </c>
      <c r="P136" s="28">
        <v>1</v>
      </c>
      <c r="Q136" s="28">
        <v>1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7">
        <f t="shared" si="37"/>
        <v>2</v>
      </c>
      <c r="AH136" s="28" t="s">
        <v>464</v>
      </c>
      <c r="AI136" s="28" t="s">
        <v>465</v>
      </c>
      <c r="AJ136" s="28">
        <v>15.5</v>
      </c>
      <c r="AK136" s="28"/>
      <c r="AL136" s="28"/>
      <c r="AM136" s="29" t="s">
        <v>246</v>
      </c>
      <c r="AO136" t="str">
        <f t="shared" si="38"/>
        <v>candelaria</v>
      </c>
      <c r="AP136" t="str">
        <f t="shared" si="39"/>
        <v>valle del cauca</v>
      </c>
      <c r="AQ136" t="b">
        <f t="shared" si="40"/>
        <v>0</v>
      </c>
      <c r="AR136" t="str">
        <f t="shared" si="41"/>
        <v>candelaria</v>
      </c>
      <c r="AS136" s="30">
        <f t="shared" si="42"/>
        <v>1</v>
      </c>
      <c r="AT136" s="30">
        <f t="shared" si="43"/>
        <v>2</v>
      </c>
      <c r="AU136" s="30">
        <f t="shared" si="44"/>
        <v>3</v>
      </c>
      <c r="AV136" s="30">
        <f t="shared" si="45"/>
        <v>3</v>
      </c>
      <c r="AZ136" s="31">
        <f t="shared" si="46"/>
        <v>3</v>
      </c>
      <c r="BA136" s="31">
        <f t="shared" si="47"/>
        <v>7</v>
      </c>
      <c r="BB136" s="32">
        <f>IFERROR(INDEX('Análisis general'!$E$4:$E$28,MATCH($B136,'Análisis general'!$B$4:$B$28,0)),"")</f>
        <v>4.9000000000000004</v>
      </c>
      <c r="BC136" s="31">
        <f t="shared" si="48"/>
        <v>3</v>
      </c>
      <c r="BD136" s="32">
        <f t="shared" si="49"/>
        <v>7.2857142857142856</v>
      </c>
      <c r="BE136" s="32">
        <f t="shared" si="50"/>
        <v>9</v>
      </c>
    </row>
    <row r="137" spans="1:57" ht="25.5" customHeight="1" x14ac:dyDescent="0.25">
      <c r="A137" s="33" t="s">
        <v>478</v>
      </c>
      <c r="B137" s="11" t="s">
        <v>49</v>
      </c>
      <c r="C137" s="34" t="s">
        <v>112</v>
      </c>
      <c r="D137" s="24">
        <f t="shared" si="34"/>
        <v>7</v>
      </c>
      <c r="E137" s="59">
        <f t="shared" si="35"/>
        <v>7.2857142857142856</v>
      </c>
      <c r="F137" s="59">
        <f t="shared" si="36"/>
        <v>9</v>
      </c>
      <c r="G137" s="11" t="s">
        <v>479</v>
      </c>
      <c r="H137" s="25" t="s">
        <v>480</v>
      </c>
      <c r="I137" s="25" t="s">
        <v>479</v>
      </c>
      <c r="J137" s="26" t="s">
        <v>106</v>
      </c>
      <c r="K137" s="26" t="str">
        <f>IF($AQ137,"#N/D",IFERROR(INDEX(Olimpiadas!$A$2:$A$61,MATCH($AO137,Olimpiadas!$C$2:$C$61,0)),"#N/D"))</f>
        <v>#N/D</v>
      </c>
      <c r="L137" s="26" t="str">
        <f>IF($AQ137,"#N/D",IFERROR(INDEX(Minculturas!$A$2:$A$48,MATCH($AO137,Minculturas!$C$2:$C$48,0)),"#N/D"))</f>
        <v>#N/D</v>
      </c>
      <c r="M137" s="26" t="str">
        <f>IF($AQ137,"#N/D",IFERROR(INDEX(Minculturas!$B$2:$B$48,MATCH($AO137,Minculturas!$C$2:$C$48,0)),"#N/D"))</f>
        <v>#N/D</v>
      </c>
      <c r="N137" s="27">
        <v>2</v>
      </c>
      <c r="O137" s="28">
        <v>0</v>
      </c>
      <c r="P137" s="28">
        <v>0</v>
      </c>
      <c r="Q137" s="28">
        <v>2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7">
        <f t="shared" si="37"/>
        <v>2</v>
      </c>
      <c r="AH137" s="28" t="s">
        <v>481</v>
      </c>
      <c r="AI137" s="28" t="s">
        <v>482</v>
      </c>
      <c r="AJ137" s="28">
        <v>34.9</v>
      </c>
      <c r="AK137" s="28"/>
      <c r="AL137" s="28"/>
      <c r="AM137" s="29" t="s">
        <v>114</v>
      </c>
      <c r="AO137" t="str">
        <f t="shared" si="38"/>
        <v>trujillo</v>
      </c>
      <c r="AP137" t="str">
        <f t="shared" si="39"/>
        <v>valle del cauca</v>
      </c>
      <c r="AQ137" t="b">
        <f t="shared" si="40"/>
        <v>0</v>
      </c>
      <c r="AR137" t="str">
        <f t="shared" si="41"/>
        <v>trujillo</v>
      </c>
      <c r="AS137" s="30">
        <f t="shared" si="42"/>
        <v>1</v>
      </c>
      <c r="AT137" s="30">
        <f t="shared" si="43"/>
        <v>2</v>
      </c>
      <c r="AU137" s="30">
        <f t="shared" si="44"/>
        <v>3</v>
      </c>
      <c r="AV137" s="30">
        <f t="shared" si="45"/>
        <v>3</v>
      </c>
      <c r="AZ137" s="31">
        <f t="shared" si="46"/>
        <v>3</v>
      </c>
      <c r="BA137" s="31">
        <f t="shared" si="47"/>
        <v>7</v>
      </c>
      <c r="BB137" s="32">
        <f>IFERROR(INDEX('Análisis general'!$E$4:$E$28,MATCH($B137,'Análisis general'!$B$4:$B$28,0)),"")</f>
        <v>4.9000000000000004</v>
      </c>
      <c r="BC137" s="31">
        <f t="shared" si="48"/>
        <v>3</v>
      </c>
      <c r="BD137" s="32">
        <f t="shared" si="49"/>
        <v>7.2857142857142856</v>
      </c>
      <c r="BE137" s="32">
        <f t="shared" si="50"/>
        <v>9</v>
      </c>
    </row>
    <row r="138" spans="1:57" ht="25.5" customHeight="1" x14ac:dyDescent="0.25">
      <c r="A138" s="33" t="s">
        <v>488</v>
      </c>
      <c r="B138" s="11" t="s">
        <v>48</v>
      </c>
      <c r="C138" s="34" t="s">
        <v>112</v>
      </c>
      <c r="D138" s="24">
        <f t="shared" si="34"/>
        <v>7</v>
      </c>
      <c r="E138" s="59">
        <f t="shared" si="35"/>
        <v>7.2857142857142856</v>
      </c>
      <c r="F138" s="59">
        <f t="shared" si="36"/>
        <v>9</v>
      </c>
      <c r="G138" s="11" t="s">
        <v>489</v>
      </c>
      <c r="H138" s="25" t="str">
        <f>IFERROR(IF($AQ138,INDEX(cpe!$C$2:$C$307,MATCH($AR138,cpe!$F$2:$F$307,0)),INDEX(cpe!$C$2:$C$307,MATCH($AR138,cpe!$D$2:$D$307,0))),"#N/D")</f>
        <v>Institucion Educativa de Desarrollo Rural de Berruecos</v>
      </c>
      <c r="I138" s="25" t="str">
        <f>IFERROR(IF($AQ138,INDEX(cpe!$B$2:$B$307,MATCH($AR138,cpe!$F$2:$F$307,0)),INDEX(cpe!$B$2:$B$307,MATCH($AR138,cpe!$D$2:$D$307,0))),"#N/D")</f>
        <v>Ataco</v>
      </c>
      <c r="J138" s="26" t="str">
        <f>IF($AQ138,"#N/D",IFERROR(INDEX(Olimpiadas!$B$2:$B$61,MATCH($AO138,Olimpiadas!$C$2:$C$61,0)),"#N/D"))</f>
        <v>#N/D</v>
      </c>
      <c r="K138" s="26" t="str">
        <f>IF($AQ138,"#N/D",IFERROR(INDEX(Olimpiadas!$A$2:$A$61,MATCH($AO138,Olimpiadas!$C$2:$C$61,0)),"#N/D"))</f>
        <v>#N/D</v>
      </c>
      <c r="L138" s="26" t="str">
        <f>IF($AQ138,"#N/D",IFERROR(INDEX(Minculturas!$A$2:$A$48,MATCH($AO138,Minculturas!$C$2:$C$48,0)),"#N/D"))</f>
        <v>#N/D</v>
      </c>
      <c r="M138" s="26" t="str">
        <f>IF($AQ138,"#N/D",IFERROR(INDEX(Minculturas!$B$2:$B$48,MATCH($AO138,Minculturas!$C$2:$C$48,0)),"#N/D"))</f>
        <v>#N/D</v>
      </c>
      <c r="N138" s="27">
        <v>1</v>
      </c>
      <c r="O138" s="28">
        <v>0</v>
      </c>
      <c r="P138" s="28">
        <v>1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7">
        <f t="shared" si="37"/>
        <v>1</v>
      </c>
      <c r="AH138" s="28"/>
      <c r="AI138" s="28"/>
      <c r="AJ138" s="28">
        <v>64</v>
      </c>
      <c r="AK138" s="28"/>
      <c r="AL138" s="28"/>
      <c r="AM138" s="29" t="s">
        <v>114</v>
      </c>
      <c r="AO138" t="str">
        <f t="shared" si="38"/>
        <v>ataco</v>
      </c>
      <c r="AP138" t="str">
        <f t="shared" si="39"/>
        <v>tolima</v>
      </c>
      <c r="AQ138" t="b">
        <f t="shared" si="40"/>
        <v>0</v>
      </c>
      <c r="AR138" t="str">
        <f t="shared" si="41"/>
        <v>ataco</v>
      </c>
      <c r="AS138" s="30">
        <f t="shared" si="42"/>
        <v>1</v>
      </c>
      <c r="AT138" s="30">
        <f t="shared" si="43"/>
        <v>1</v>
      </c>
      <c r="AU138" s="30">
        <f t="shared" si="44"/>
        <v>3</v>
      </c>
      <c r="AV138" s="30">
        <f t="shared" si="45"/>
        <v>3</v>
      </c>
      <c r="AZ138" s="31">
        <f t="shared" si="46"/>
        <v>3</v>
      </c>
      <c r="BA138" s="31">
        <f t="shared" si="47"/>
        <v>7</v>
      </c>
      <c r="BB138" s="32">
        <f>IFERROR(INDEX('Análisis general'!$E$4:$E$28,MATCH($B138,'Análisis general'!$B$4:$B$28,0)),"")</f>
        <v>12.2</v>
      </c>
      <c r="BC138" s="31">
        <f t="shared" si="48"/>
        <v>3</v>
      </c>
      <c r="BD138" s="32">
        <f t="shared" si="49"/>
        <v>7.2857142857142856</v>
      </c>
      <c r="BE138" s="32">
        <f t="shared" si="50"/>
        <v>9</v>
      </c>
    </row>
    <row r="139" spans="1:57" ht="25.5" customHeight="1" x14ac:dyDescent="0.25">
      <c r="A139" s="33" t="s">
        <v>490</v>
      </c>
      <c r="B139" s="11" t="s">
        <v>37</v>
      </c>
      <c r="C139" s="34" t="s">
        <v>112</v>
      </c>
      <c r="D139" s="24">
        <f t="shared" si="34"/>
        <v>7</v>
      </c>
      <c r="E139" s="59">
        <f t="shared" si="35"/>
        <v>7.2857142857142856</v>
      </c>
      <c r="F139" s="59">
        <f t="shared" si="36"/>
        <v>9</v>
      </c>
      <c r="G139" s="11" t="s">
        <v>491</v>
      </c>
      <c r="H139" s="25" t="str">
        <f>IFERROR(IF($AQ139,INDEX(cpe!$C$2:$C$307,MATCH($AR139,cpe!$F$2:$F$307,0)),INDEX(cpe!$C$2:$C$307,MATCH($AR139,cpe!$D$2:$D$307,0))),"#N/D")</f>
        <v>Institucion Educativa Anaime</v>
      </c>
      <c r="I139" s="25" t="str">
        <f>IFERROR(IF($AQ139,INDEX(cpe!$B$2:$B$307,MATCH($AR139,cpe!$F$2:$F$307,0)),INDEX(cpe!$B$2:$B$307,MATCH($AR139,cpe!$D$2:$D$307,0))),"#N/D")</f>
        <v>Colombia</v>
      </c>
      <c r="J139" s="26" t="str">
        <f>IF($AQ139,"#N/D",IFERROR(INDEX(Olimpiadas!$B$2:$B$61,MATCH($AO139,Olimpiadas!$C$2:$C$61,0)),"#N/D"))</f>
        <v>#N/D</v>
      </c>
      <c r="K139" s="26" t="str">
        <f>IF($AQ139,"#N/D",IFERROR(INDEX(Olimpiadas!$A$2:$A$61,MATCH($AO139,Olimpiadas!$C$2:$C$61,0)),"#N/D"))</f>
        <v>#N/D</v>
      </c>
      <c r="L139" s="26" t="str">
        <f>IF($AQ139,"#N/D",IFERROR(INDEX(Minculturas!$A$2:$A$48,MATCH($AO139,Minculturas!$C$2:$C$48,0)),"#N/D"))</f>
        <v>#N/D</v>
      </c>
      <c r="M139" s="26" t="str">
        <f>IF($AQ139,"#N/D",IFERROR(INDEX(Minculturas!$B$2:$B$48,MATCH($AO139,Minculturas!$C$2:$C$48,0)),"#N/D"))</f>
        <v>#N/D</v>
      </c>
      <c r="N139" s="27">
        <v>1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1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7">
        <f t="shared" si="37"/>
        <v>1</v>
      </c>
      <c r="AH139" s="28"/>
      <c r="AI139" s="28"/>
      <c r="AJ139" s="28">
        <v>61.7</v>
      </c>
      <c r="AK139" s="28"/>
      <c r="AL139" s="28"/>
      <c r="AM139" s="29" t="s">
        <v>114</v>
      </c>
      <c r="AO139" t="str">
        <f t="shared" si="38"/>
        <v>colombia</v>
      </c>
      <c r="AP139" t="str">
        <f t="shared" si="39"/>
        <v>huila</v>
      </c>
      <c r="AQ139" t="b">
        <f t="shared" si="40"/>
        <v>0</v>
      </c>
      <c r="AR139" t="str">
        <f t="shared" si="41"/>
        <v>colombia</v>
      </c>
      <c r="AS139" s="30">
        <f t="shared" si="42"/>
        <v>1</v>
      </c>
      <c r="AT139" s="30">
        <f t="shared" si="43"/>
        <v>1</v>
      </c>
      <c r="AU139" s="30">
        <f t="shared" si="44"/>
        <v>3</v>
      </c>
      <c r="AV139" s="30">
        <f t="shared" si="45"/>
        <v>3</v>
      </c>
      <c r="AZ139" s="31">
        <f t="shared" si="46"/>
        <v>3</v>
      </c>
      <c r="BA139" s="31">
        <f t="shared" si="47"/>
        <v>7</v>
      </c>
      <c r="BB139" s="32">
        <f>IFERROR(INDEX('Análisis general'!$E$4:$E$28,MATCH($B139,'Análisis general'!$B$4:$B$28,0)),"")</f>
        <v>9.6999999999999993</v>
      </c>
      <c r="BC139" s="31">
        <f t="shared" si="48"/>
        <v>3</v>
      </c>
      <c r="BD139" s="32">
        <f t="shared" si="49"/>
        <v>7.2857142857142856</v>
      </c>
      <c r="BE139" s="32">
        <f t="shared" si="50"/>
        <v>9</v>
      </c>
    </row>
    <row r="140" spans="1:57" ht="25.5" customHeight="1" x14ac:dyDescent="0.25">
      <c r="A140" s="33" t="s">
        <v>492</v>
      </c>
      <c r="B140" s="11" t="s">
        <v>48</v>
      </c>
      <c r="C140" s="34" t="s">
        <v>112</v>
      </c>
      <c r="D140" s="24">
        <f t="shared" si="34"/>
        <v>7</v>
      </c>
      <c r="E140" s="59">
        <f t="shared" si="35"/>
        <v>7.2857142857142856</v>
      </c>
      <c r="F140" s="59">
        <f t="shared" si="36"/>
        <v>9</v>
      </c>
      <c r="G140" s="11" t="s">
        <v>493</v>
      </c>
      <c r="H140" s="25" t="str">
        <f>IFERROR(IF($AQ140,INDEX(cpe!$C$2:$C$307,MATCH($AR140,cpe!$F$2:$F$307,0)),INDEX(cpe!$C$2:$C$307,MATCH($AR140,cpe!$D$2:$D$307,0))),"#N/D")</f>
        <v>Institucion Educativa Municipal Tecnico de Accion Comunal</v>
      </c>
      <c r="I140" s="25" t="str">
        <f>IFERROR(IF($AQ140,INDEX(cpe!$B$2:$B$307,MATCH($AR140,cpe!$F$2:$F$307,0)),INDEX(cpe!$B$2:$B$307,MATCH($AR140,cpe!$D$2:$D$307,0))),"#N/D")</f>
        <v>Líbano</v>
      </c>
      <c r="J140" s="26" t="str">
        <f>IF($AQ140,"#N/D",IFERROR(INDEX(Olimpiadas!$B$2:$B$61,MATCH($AO140,Olimpiadas!$C$2:$C$61,0)),"#N/D"))</f>
        <v>#N/D</v>
      </c>
      <c r="K140" s="26" t="str">
        <f>IF($AQ140,"#N/D",IFERROR(INDEX(Olimpiadas!$A$2:$A$61,MATCH($AO140,Olimpiadas!$C$2:$C$61,0)),"#N/D"))</f>
        <v>#N/D</v>
      </c>
      <c r="L140" s="26" t="str">
        <f>IF($AQ140,"#N/D",IFERROR(INDEX(Minculturas!$A$2:$A$48,MATCH($AO140,Minculturas!$C$2:$C$48,0)),"#N/D"))</f>
        <v>#N/D</v>
      </c>
      <c r="M140" s="26" t="str">
        <f>IF($AQ140,"#N/D",IFERROR(INDEX(Minculturas!$B$2:$B$48,MATCH($AO140,Minculturas!$C$2:$C$48,0)),"#N/D"))</f>
        <v>#N/D</v>
      </c>
      <c r="N140" s="27">
        <v>1</v>
      </c>
      <c r="O140" s="28">
        <v>0</v>
      </c>
      <c r="P140" s="28">
        <v>0</v>
      </c>
      <c r="Q140" s="28">
        <v>0</v>
      </c>
      <c r="R140" s="28">
        <v>1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7">
        <f t="shared" si="37"/>
        <v>1</v>
      </c>
      <c r="AH140" s="28"/>
      <c r="AI140" s="28"/>
      <c r="AJ140" s="28">
        <v>33.4</v>
      </c>
      <c r="AK140" s="28"/>
      <c r="AL140" s="28"/>
      <c r="AM140" s="29" t="s">
        <v>114</v>
      </c>
      <c r="AO140" t="str">
        <f t="shared" si="38"/>
        <v>libano</v>
      </c>
      <c r="AP140" t="str">
        <f t="shared" si="39"/>
        <v>tolima</v>
      </c>
      <c r="AQ140" t="b">
        <f t="shared" si="40"/>
        <v>0</v>
      </c>
      <c r="AR140" t="str">
        <f t="shared" si="41"/>
        <v>libano</v>
      </c>
      <c r="AS140" s="30">
        <f t="shared" si="42"/>
        <v>1</v>
      </c>
      <c r="AT140" s="30">
        <f t="shared" si="43"/>
        <v>1</v>
      </c>
      <c r="AU140" s="30">
        <f t="shared" si="44"/>
        <v>3</v>
      </c>
      <c r="AV140" s="30">
        <f t="shared" si="45"/>
        <v>3</v>
      </c>
      <c r="AZ140" s="31">
        <f t="shared" si="46"/>
        <v>3</v>
      </c>
      <c r="BA140" s="31">
        <f t="shared" si="47"/>
        <v>7</v>
      </c>
      <c r="BB140" s="32">
        <f>IFERROR(INDEX('Análisis general'!$E$4:$E$28,MATCH($B140,'Análisis general'!$B$4:$B$28,0)),"")</f>
        <v>12.2</v>
      </c>
      <c r="BC140" s="31">
        <f t="shared" si="48"/>
        <v>3</v>
      </c>
      <c r="BD140" s="32">
        <f t="shared" si="49"/>
        <v>7.2857142857142856</v>
      </c>
      <c r="BE140" s="32">
        <f t="shared" si="50"/>
        <v>9</v>
      </c>
    </row>
    <row r="141" spans="1:57" ht="25.5" customHeight="1" x14ac:dyDescent="0.25">
      <c r="A141" s="33" t="s">
        <v>494</v>
      </c>
      <c r="B141" s="11" t="s">
        <v>48</v>
      </c>
      <c r="C141" s="34" t="s">
        <v>112</v>
      </c>
      <c r="D141" s="24">
        <f t="shared" si="34"/>
        <v>7</v>
      </c>
      <c r="E141" s="59">
        <f t="shared" si="35"/>
        <v>7.2857142857142856</v>
      </c>
      <c r="F141" s="59">
        <f t="shared" si="36"/>
        <v>9</v>
      </c>
      <c r="G141" s="11" t="s">
        <v>495</v>
      </c>
      <c r="H141" s="25" t="str">
        <f>IFERROR(IF($AQ141,INDEX(cpe!$C$2:$C$307,MATCH($AR141,cpe!$F$2:$F$307,0)),INDEX(cpe!$C$2:$C$307,MATCH($AR141,cpe!$D$2:$D$307,0))),"#N/D")</f>
        <v>Institucion Educativa Maria Mandiguagua</v>
      </c>
      <c r="I141" s="25" t="str">
        <f>IFERROR(IF($AQ141,INDEX(cpe!$B$2:$B$307,MATCH($AR141,cpe!$F$2:$F$307,0)),INDEX(cpe!$B$2:$B$307,MATCH($AR141,cpe!$D$2:$D$307,0))),"#N/D")</f>
        <v>Melgar</v>
      </c>
      <c r="J141" s="26" t="str">
        <f>IF($AQ141,"#N/D",IFERROR(INDEX(Olimpiadas!$B$2:$B$61,MATCH($AO141,Olimpiadas!$C$2:$C$61,0)),"#N/D"))</f>
        <v>#N/D</v>
      </c>
      <c r="K141" s="26" t="str">
        <f>IF($AQ141,"#N/D",IFERROR(INDEX(Olimpiadas!$A$2:$A$61,MATCH($AO141,Olimpiadas!$C$2:$C$61,0)),"#N/D"))</f>
        <v>#N/D</v>
      </c>
      <c r="L141" s="26" t="str">
        <f>IF($AQ141,"#N/D",IFERROR(INDEX(Minculturas!$A$2:$A$48,MATCH($AO141,Minculturas!$C$2:$C$48,0)),"#N/D"))</f>
        <v>#N/D</v>
      </c>
      <c r="M141" s="26" t="str">
        <f>IF($AQ141,"#N/D",IFERROR(INDEX(Minculturas!$B$2:$B$48,MATCH($AO141,Minculturas!$C$2:$C$48,0)),"#N/D"))</f>
        <v>#N/D</v>
      </c>
      <c r="N141" s="27">
        <v>2</v>
      </c>
      <c r="O141" s="28">
        <v>0</v>
      </c>
      <c r="P141" s="28">
        <v>1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1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7">
        <f t="shared" si="37"/>
        <v>1</v>
      </c>
      <c r="AH141" s="28"/>
      <c r="AI141" s="28"/>
      <c r="AJ141" s="28">
        <v>19.7</v>
      </c>
      <c r="AK141" s="28"/>
      <c r="AL141" s="28"/>
      <c r="AM141" s="29" t="s">
        <v>114</v>
      </c>
      <c r="AO141" t="str">
        <f t="shared" si="38"/>
        <v>melgar</v>
      </c>
      <c r="AP141" t="str">
        <f t="shared" si="39"/>
        <v>tolima</v>
      </c>
      <c r="AQ141" t="b">
        <f t="shared" si="40"/>
        <v>0</v>
      </c>
      <c r="AR141" t="str">
        <f t="shared" si="41"/>
        <v>melgar</v>
      </c>
      <c r="AS141" s="30">
        <f t="shared" si="42"/>
        <v>1</v>
      </c>
      <c r="AT141" s="30">
        <f t="shared" si="43"/>
        <v>1</v>
      </c>
      <c r="AU141" s="30">
        <f t="shared" si="44"/>
        <v>3</v>
      </c>
      <c r="AV141" s="30">
        <f t="shared" si="45"/>
        <v>3</v>
      </c>
      <c r="AZ141" s="31">
        <f t="shared" si="46"/>
        <v>3</v>
      </c>
      <c r="BA141" s="31">
        <f t="shared" si="47"/>
        <v>7</v>
      </c>
      <c r="BB141" s="32">
        <f>IFERROR(INDEX('Análisis general'!$E$4:$E$28,MATCH($B141,'Análisis general'!$B$4:$B$28,0)),"")</f>
        <v>12.2</v>
      </c>
      <c r="BC141" s="31">
        <f t="shared" si="48"/>
        <v>3</v>
      </c>
      <c r="BD141" s="32">
        <f t="shared" si="49"/>
        <v>7.2857142857142856</v>
      </c>
      <c r="BE141" s="32">
        <f t="shared" si="50"/>
        <v>9</v>
      </c>
    </row>
    <row r="142" spans="1:57" ht="25.5" customHeight="1" x14ac:dyDescent="0.25">
      <c r="A142" s="33" t="s">
        <v>496</v>
      </c>
      <c r="B142" s="11" t="s">
        <v>48</v>
      </c>
      <c r="C142" s="34" t="s">
        <v>112</v>
      </c>
      <c r="D142" s="24">
        <f t="shared" si="34"/>
        <v>7</v>
      </c>
      <c r="E142" s="59">
        <f t="shared" si="35"/>
        <v>7.2857142857142856</v>
      </c>
      <c r="F142" s="59">
        <f t="shared" si="36"/>
        <v>9</v>
      </c>
      <c r="G142" s="11" t="s">
        <v>497</v>
      </c>
      <c r="H142" s="25" t="str">
        <f>IFERROR(IF($AQ142,INDEX(cpe!$C$2:$C$307,MATCH($AR142,cpe!$F$2:$F$307,0)),INDEX(cpe!$C$2:$C$307,MATCH($AR142,cpe!$D$2:$D$307,0))),"#N/D")</f>
        <v>Institucion Educativa Altozano</v>
      </c>
      <c r="I142" s="25" t="str">
        <f>IFERROR(IF($AQ142,INDEX(cpe!$B$2:$B$307,MATCH($AR142,cpe!$F$2:$F$307,0)),INDEX(cpe!$B$2:$B$307,MATCH($AR142,cpe!$D$2:$D$307,0))),"#N/D")</f>
        <v>Natagaima</v>
      </c>
      <c r="J142" s="26" t="str">
        <f>IF($AQ142,"#N/D",IFERROR(INDEX(Olimpiadas!$B$2:$B$61,MATCH($AO142,Olimpiadas!$C$2:$C$61,0)),"#N/D"))</f>
        <v>#N/D</v>
      </c>
      <c r="K142" s="26" t="str">
        <f>IF($AQ142,"#N/D",IFERROR(INDEX(Olimpiadas!$A$2:$A$61,MATCH($AO142,Olimpiadas!$C$2:$C$61,0)),"#N/D"))</f>
        <v>#N/D</v>
      </c>
      <c r="L142" s="26" t="str">
        <f>IF($AQ142,"#N/D",IFERROR(INDEX(Minculturas!$A$2:$A$48,MATCH($AO142,Minculturas!$C$2:$C$48,0)),"#N/D"))</f>
        <v>#N/D</v>
      </c>
      <c r="M142" s="26" t="str">
        <f>IF($AQ142,"#N/D",IFERROR(INDEX(Minculturas!$B$2:$B$48,MATCH($AO142,Minculturas!$C$2:$C$48,0)),"#N/D"))</f>
        <v>#N/D</v>
      </c>
      <c r="N142" s="27">
        <v>1</v>
      </c>
      <c r="O142" s="28">
        <v>0</v>
      </c>
      <c r="P142" s="28">
        <v>0</v>
      </c>
      <c r="Q142" s="28">
        <v>1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7">
        <f t="shared" si="37"/>
        <v>1</v>
      </c>
      <c r="AH142" s="28"/>
      <c r="AI142" s="28"/>
      <c r="AJ142" s="28">
        <v>42.1</v>
      </c>
      <c r="AK142" s="28"/>
      <c r="AL142" s="28"/>
      <c r="AM142" s="29" t="s">
        <v>246</v>
      </c>
      <c r="AO142" t="str">
        <f t="shared" si="38"/>
        <v>natagaima</v>
      </c>
      <c r="AP142" t="str">
        <f t="shared" si="39"/>
        <v>tolima</v>
      </c>
      <c r="AQ142" t="b">
        <f t="shared" si="40"/>
        <v>0</v>
      </c>
      <c r="AR142" t="str">
        <f t="shared" si="41"/>
        <v>natagaima</v>
      </c>
      <c r="AS142" s="30">
        <f t="shared" si="42"/>
        <v>1</v>
      </c>
      <c r="AT142" s="30">
        <f t="shared" si="43"/>
        <v>1</v>
      </c>
      <c r="AU142" s="30">
        <f t="shared" si="44"/>
        <v>3</v>
      </c>
      <c r="AV142" s="30">
        <f t="shared" si="45"/>
        <v>3</v>
      </c>
      <c r="AZ142" s="31">
        <f t="shared" si="46"/>
        <v>3</v>
      </c>
      <c r="BA142" s="31">
        <f t="shared" si="47"/>
        <v>7</v>
      </c>
      <c r="BB142" s="32">
        <f>IFERROR(INDEX('Análisis general'!$E$4:$E$28,MATCH($B142,'Análisis general'!$B$4:$B$28,0)),"")</f>
        <v>12.2</v>
      </c>
      <c r="BC142" s="31">
        <f t="shared" si="48"/>
        <v>3</v>
      </c>
      <c r="BD142" s="32">
        <f t="shared" si="49"/>
        <v>7.2857142857142856</v>
      </c>
      <c r="BE142" s="32">
        <f t="shared" si="50"/>
        <v>9</v>
      </c>
    </row>
    <row r="143" spans="1:57" ht="25.5" customHeight="1" x14ac:dyDescent="0.25">
      <c r="A143" s="33" t="s">
        <v>498</v>
      </c>
      <c r="B143" s="11" t="s">
        <v>48</v>
      </c>
      <c r="C143" s="34" t="s">
        <v>112</v>
      </c>
      <c r="D143" s="24">
        <f t="shared" si="34"/>
        <v>7</v>
      </c>
      <c r="E143" s="59">
        <f t="shared" si="35"/>
        <v>7.2857142857142856</v>
      </c>
      <c r="F143" s="59">
        <f t="shared" si="36"/>
        <v>9</v>
      </c>
      <c r="G143" s="11" t="s">
        <v>499</v>
      </c>
      <c r="H143" s="25" t="s">
        <v>500</v>
      </c>
      <c r="I143" s="25" t="s">
        <v>499</v>
      </c>
      <c r="J143" s="26" t="s">
        <v>106</v>
      </c>
      <c r="K143" s="26" t="str">
        <f>IF($AQ143,"#N/D",IFERROR(INDEX(Olimpiadas!$A$2:$A$61,MATCH($AO143,Olimpiadas!$C$2:$C$61,0)),"#N/D"))</f>
        <v>#N/D</v>
      </c>
      <c r="L143" s="26" t="str">
        <f>IF($AQ143,"#N/D",IFERROR(INDEX(Minculturas!$A$2:$A$48,MATCH($AO143,Minculturas!$C$2:$C$48,0)),"#N/D"))</f>
        <v>#N/D</v>
      </c>
      <c r="M143" s="26" t="str">
        <f>IF($AQ143,"#N/D",IFERROR(INDEX(Minculturas!$B$2:$B$48,MATCH($AO143,Minculturas!$C$2:$C$48,0)),"#N/D"))</f>
        <v>#N/D</v>
      </c>
      <c r="N143" s="27">
        <v>1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1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7">
        <f t="shared" si="37"/>
        <v>1</v>
      </c>
      <c r="AH143" s="28"/>
      <c r="AI143" s="28"/>
      <c r="AJ143" s="28">
        <v>60.5</v>
      </c>
      <c r="AK143" s="28"/>
      <c r="AL143" s="28"/>
      <c r="AM143" s="29" t="s">
        <v>246</v>
      </c>
      <c r="AO143" t="str">
        <f t="shared" si="38"/>
        <v>rioblanco</v>
      </c>
      <c r="AP143" t="str">
        <f t="shared" si="39"/>
        <v>tolima</v>
      </c>
      <c r="AQ143" t="b">
        <f t="shared" si="40"/>
        <v>0</v>
      </c>
      <c r="AR143" t="str">
        <f t="shared" si="41"/>
        <v>rioblanco</v>
      </c>
      <c r="AS143" s="30">
        <f t="shared" si="42"/>
        <v>1</v>
      </c>
      <c r="AT143" s="30">
        <f t="shared" si="43"/>
        <v>1</v>
      </c>
      <c r="AU143" s="30">
        <f t="shared" si="44"/>
        <v>3</v>
      </c>
      <c r="AV143" s="30">
        <f t="shared" si="45"/>
        <v>3</v>
      </c>
      <c r="AZ143" s="31">
        <f t="shared" si="46"/>
        <v>3</v>
      </c>
      <c r="BA143" s="31">
        <f t="shared" si="47"/>
        <v>7</v>
      </c>
      <c r="BB143" s="32">
        <f>IFERROR(INDEX('Análisis general'!$E$4:$E$28,MATCH($B143,'Análisis general'!$B$4:$B$28,0)),"")</f>
        <v>12.2</v>
      </c>
      <c r="BC143" s="31">
        <f t="shared" si="48"/>
        <v>3</v>
      </c>
      <c r="BD143" s="32">
        <f t="shared" si="49"/>
        <v>7.2857142857142856</v>
      </c>
      <c r="BE143" s="32">
        <f t="shared" si="50"/>
        <v>9</v>
      </c>
    </row>
    <row r="144" spans="1:57" ht="25.5" customHeight="1" x14ac:dyDescent="0.25">
      <c r="A144" s="33" t="s">
        <v>501</v>
      </c>
      <c r="B144" s="11" t="s">
        <v>48</v>
      </c>
      <c r="C144" s="34" t="s">
        <v>112</v>
      </c>
      <c r="D144" s="24">
        <f t="shared" si="34"/>
        <v>7</v>
      </c>
      <c r="E144" s="59">
        <f t="shared" si="35"/>
        <v>7.2857142857142856</v>
      </c>
      <c r="F144" s="59">
        <f t="shared" si="36"/>
        <v>9</v>
      </c>
      <c r="G144" s="11" t="s">
        <v>502</v>
      </c>
      <c r="H144" s="25" t="s">
        <v>503</v>
      </c>
      <c r="I144" s="25" t="s">
        <v>502</v>
      </c>
      <c r="J144" s="26" t="s">
        <v>106</v>
      </c>
      <c r="K144" s="26" t="str">
        <f>IF($AQ144,"#N/D",IFERROR(INDEX(Olimpiadas!$A$2:$A$61,MATCH($AO144,Olimpiadas!$C$2:$C$61,0)),"#N/D"))</f>
        <v>#N/D</v>
      </c>
      <c r="L144" s="26" t="str">
        <f>IF($AQ144,"#N/D",IFERROR(INDEX(Minculturas!$A$2:$A$48,MATCH($AO144,Minculturas!$C$2:$C$48,0)),"#N/D"))</f>
        <v>#N/D</v>
      </c>
      <c r="M144" s="26" t="str">
        <f>IF($AQ144,"#N/D",IFERROR(INDEX(Minculturas!$B$2:$B$48,MATCH($AO144,Minculturas!$C$2:$C$48,0)),"#N/D"))</f>
        <v>#N/D</v>
      </c>
      <c r="N144" s="27">
        <v>1</v>
      </c>
      <c r="O144" s="28">
        <v>0</v>
      </c>
      <c r="P144" s="28">
        <v>0</v>
      </c>
      <c r="Q144" s="28">
        <v>1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7">
        <f t="shared" si="37"/>
        <v>1</v>
      </c>
      <c r="AH144" s="28"/>
      <c r="AI144" s="28"/>
      <c r="AJ144" s="28">
        <v>47</v>
      </c>
      <c r="AK144" s="28"/>
      <c r="AL144" s="28"/>
      <c r="AM144" s="29" t="s">
        <v>114</v>
      </c>
      <c r="AO144" t="str">
        <f t="shared" si="38"/>
        <v>rovira</v>
      </c>
      <c r="AP144" t="str">
        <f t="shared" si="39"/>
        <v>tolima</v>
      </c>
      <c r="AQ144" t="b">
        <f t="shared" si="40"/>
        <v>0</v>
      </c>
      <c r="AR144" t="str">
        <f t="shared" si="41"/>
        <v>rovira</v>
      </c>
      <c r="AS144" s="30">
        <f t="shared" si="42"/>
        <v>1</v>
      </c>
      <c r="AT144" s="30">
        <f t="shared" si="43"/>
        <v>1</v>
      </c>
      <c r="AU144" s="30">
        <f t="shared" si="44"/>
        <v>3</v>
      </c>
      <c r="AV144" s="30">
        <f t="shared" si="45"/>
        <v>3</v>
      </c>
      <c r="AZ144" s="31">
        <f t="shared" si="46"/>
        <v>3</v>
      </c>
      <c r="BA144" s="31">
        <f t="shared" si="47"/>
        <v>7</v>
      </c>
      <c r="BB144" s="32">
        <f>IFERROR(INDEX('Análisis general'!$E$4:$E$28,MATCH($B144,'Análisis general'!$B$4:$B$28,0)),"")</f>
        <v>12.2</v>
      </c>
      <c r="BC144" s="31">
        <f t="shared" si="48"/>
        <v>3</v>
      </c>
      <c r="BD144" s="32">
        <f t="shared" si="49"/>
        <v>7.2857142857142856</v>
      </c>
      <c r="BE144" s="32">
        <f t="shared" si="50"/>
        <v>9</v>
      </c>
    </row>
    <row r="145" spans="1:57" ht="25.5" customHeight="1" x14ac:dyDescent="0.25">
      <c r="A145" s="33" t="s">
        <v>504</v>
      </c>
      <c r="B145" s="11" t="s">
        <v>48</v>
      </c>
      <c r="C145" s="34" t="s">
        <v>112</v>
      </c>
      <c r="D145" s="24">
        <f t="shared" si="34"/>
        <v>7</v>
      </c>
      <c r="E145" s="59">
        <f t="shared" si="35"/>
        <v>7.2857142857142856</v>
      </c>
      <c r="F145" s="59">
        <f t="shared" si="36"/>
        <v>9</v>
      </c>
      <c r="G145" s="11" t="s">
        <v>505</v>
      </c>
      <c r="H145" s="25" t="s">
        <v>506</v>
      </c>
      <c r="I145" s="25" t="s">
        <v>505</v>
      </c>
      <c r="J145" s="26" t="s">
        <v>106</v>
      </c>
      <c r="K145" s="26" t="str">
        <f>IF($AQ145,"#N/D",IFERROR(INDEX(Olimpiadas!$A$2:$A$61,MATCH($AO145,Olimpiadas!$C$2:$C$61,0)),"#N/D"))</f>
        <v>#N/D</v>
      </c>
      <c r="L145" s="26" t="str">
        <f>IF($AQ145,"#N/D",IFERROR(INDEX(Minculturas!$A$2:$A$48,MATCH($AO145,Minculturas!$C$2:$C$48,0)),"#N/D"))</f>
        <v>#N/D</v>
      </c>
      <c r="M145" s="26" t="str">
        <f>IF($AQ145,"#N/D",IFERROR(INDEX(Minculturas!$B$2:$B$48,MATCH($AO145,Minculturas!$C$2:$C$48,0)),"#N/D"))</f>
        <v>#N/D</v>
      </c>
      <c r="N145" s="27">
        <v>1</v>
      </c>
      <c r="O145" s="28">
        <v>0</v>
      </c>
      <c r="P145" s="28">
        <v>1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7">
        <f t="shared" si="37"/>
        <v>1</v>
      </c>
      <c r="AH145" s="28"/>
      <c r="AI145" s="28"/>
      <c r="AJ145" s="28">
        <v>50.9</v>
      </c>
      <c r="AK145" s="28"/>
      <c r="AL145" s="28"/>
      <c r="AM145" s="29" t="s">
        <v>114</v>
      </c>
      <c r="AO145" t="str">
        <f t="shared" si="38"/>
        <v>santa isabel</v>
      </c>
      <c r="AP145" t="str">
        <f t="shared" si="39"/>
        <v>tolima</v>
      </c>
      <c r="AQ145" t="b">
        <f t="shared" si="40"/>
        <v>0</v>
      </c>
      <c r="AR145" t="str">
        <f t="shared" si="41"/>
        <v>santa isabel</v>
      </c>
      <c r="AS145" s="30">
        <f t="shared" si="42"/>
        <v>1</v>
      </c>
      <c r="AT145" s="30">
        <f t="shared" si="43"/>
        <v>1</v>
      </c>
      <c r="AU145" s="30">
        <f t="shared" si="44"/>
        <v>3</v>
      </c>
      <c r="AV145" s="30">
        <f t="shared" si="45"/>
        <v>3</v>
      </c>
      <c r="AZ145" s="31">
        <f t="shared" si="46"/>
        <v>3</v>
      </c>
      <c r="BA145" s="31">
        <f t="shared" si="47"/>
        <v>7</v>
      </c>
      <c r="BB145" s="32">
        <f>IFERROR(INDEX('Análisis general'!$E$4:$E$28,MATCH($B145,'Análisis general'!$B$4:$B$28,0)),"")</f>
        <v>12.2</v>
      </c>
      <c r="BC145" s="31">
        <f t="shared" si="48"/>
        <v>3</v>
      </c>
      <c r="BD145" s="32">
        <f t="shared" si="49"/>
        <v>7.2857142857142856</v>
      </c>
      <c r="BE145" s="32">
        <f t="shared" si="50"/>
        <v>9</v>
      </c>
    </row>
    <row r="146" spans="1:57" ht="25.5" customHeight="1" x14ac:dyDescent="0.25">
      <c r="A146" s="33" t="s">
        <v>507</v>
      </c>
      <c r="B146" s="11" t="s">
        <v>48</v>
      </c>
      <c r="C146" s="34" t="s">
        <v>112</v>
      </c>
      <c r="D146" s="24">
        <f t="shared" si="34"/>
        <v>7</v>
      </c>
      <c r="E146" s="59">
        <f t="shared" si="35"/>
        <v>7.2857142857142856</v>
      </c>
      <c r="F146" s="59">
        <f t="shared" si="36"/>
        <v>9</v>
      </c>
      <c r="G146" s="11" t="s">
        <v>508</v>
      </c>
      <c r="H146" s="25" t="s">
        <v>509</v>
      </c>
      <c r="I146" s="25" t="s">
        <v>508</v>
      </c>
      <c r="J146" s="26" t="s">
        <v>106</v>
      </c>
      <c r="K146" s="26" t="str">
        <f>IF($AQ146,"#N/D",IFERROR(INDEX(Olimpiadas!$A$2:$A$61,MATCH($AO146,Olimpiadas!$C$2:$C$61,0)),"#N/D"))</f>
        <v>#N/D</v>
      </c>
      <c r="L146" s="26" t="str">
        <f>IF($AQ146,"#N/D",IFERROR(INDEX(Minculturas!$A$2:$A$48,MATCH($AO146,Minculturas!$C$2:$C$48,0)),"#N/D"))</f>
        <v>#N/D</v>
      </c>
      <c r="M146" s="26" t="str">
        <f>IF($AQ146,"#N/D",IFERROR(INDEX(Minculturas!$B$2:$B$48,MATCH($AO146,Minculturas!$C$2:$C$48,0)),"#N/D"))</f>
        <v>#N/D</v>
      </c>
      <c r="N146" s="27">
        <v>1</v>
      </c>
      <c r="O146" s="28">
        <v>0</v>
      </c>
      <c r="P146" s="28">
        <v>1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7">
        <f t="shared" si="37"/>
        <v>1</v>
      </c>
      <c r="AH146" s="28"/>
      <c r="AI146" s="28"/>
      <c r="AJ146" s="28">
        <v>36.299999999999997</v>
      </c>
      <c r="AK146" s="28"/>
      <c r="AL146" s="28"/>
      <c r="AM146" s="29" t="s">
        <v>114</v>
      </c>
      <c r="AO146" t="str">
        <f t="shared" si="38"/>
        <v>venadillo</v>
      </c>
      <c r="AP146" t="str">
        <f t="shared" si="39"/>
        <v>tolima</v>
      </c>
      <c r="AQ146" t="b">
        <f t="shared" si="40"/>
        <v>0</v>
      </c>
      <c r="AR146" t="str">
        <f t="shared" si="41"/>
        <v>venadillo</v>
      </c>
      <c r="AS146" s="30">
        <f t="shared" si="42"/>
        <v>1</v>
      </c>
      <c r="AT146" s="30">
        <f t="shared" si="43"/>
        <v>1</v>
      </c>
      <c r="AU146" s="30">
        <f t="shared" si="44"/>
        <v>3</v>
      </c>
      <c r="AV146" s="30">
        <f t="shared" si="45"/>
        <v>3</v>
      </c>
      <c r="AZ146" s="31">
        <f t="shared" si="46"/>
        <v>3</v>
      </c>
      <c r="BA146" s="31">
        <f t="shared" si="47"/>
        <v>7</v>
      </c>
      <c r="BB146" s="32">
        <f>IFERROR(INDEX('Análisis general'!$E$4:$E$28,MATCH($B146,'Análisis general'!$B$4:$B$28,0)),"")</f>
        <v>12.2</v>
      </c>
      <c r="BC146" s="31">
        <f t="shared" si="48"/>
        <v>3</v>
      </c>
      <c r="BD146" s="32">
        <f t="shared" si="49"/>
        <v>7.2857142857142856</v>
      </c>
      <c r="BE146" s="32">
        <f t="shared" si="50"/>
        <v>9</v>
      </c>
    </row>
    <row r="147" spans="1:57" ht="25.5" customHeight="1" x14ac:dyDescent="0.25">
      <c r="A147" s="33" t="s">
        <v>510</v>
      </c>
      <c r="B147" s="11" t="s">
        <v>48</v>
      </c>
      <c r="C147" s="34" t="s">
        <v>112</v>
      </c>
      <c r="D147" s="24">
        <f t="shared" si="34"/>
        <v>7</v>
      </c>
      <c r="E147" s="59">
        <f t="shared" si="35"/>
        <v>7.2857142857142856</v>
      </c>
      <c r="F147" s="59">
        <f t="shared" si="36"/>
        <v>9</v>
      </c>
      <c r="G147" s="11" t="s">
        <v>511</v>
      </c>
      <c r="H147" s="25" t="s">
        <v>512</v>
      </c>
      <c r="I147" s="25" t="s">
        <v>511</v>
      </c>
      <c r="J147" s="26" t="s">
        <v>106</v>
      </c>
      <c r="K147" s="26" t="str">
        <f>IF($AQ147,"#N/D",IFERROR(INDEX(Olimpiadas!$A$2:$A$61,MATCH($AO147,Olimpiadas!$C$2:$C$61,0)),"#N/D"))</f>
        <v>#N/D</v>
      </c>
      <c r="L147" s="26" t="str">
        <f>IF($AQ147,"#N/D",IFERROR(INDEX(Minculturas!$A$2:$A$48,MATCH($AO147,Minculturas!$C$2:$C$48,0)),"#N/D"))</f>
        <v>#N/D</v>
      </c>
      <c r="M147" s="26" t="str">
        <f>IF($AQ147,"#N/D",IFERROR(INDEX(Minculturas!$B$2:$B$48,MATCH($AO147,Minculturas!$C$2:$C$48,0)),"#N/D"))</f>
        <v>#N/D</v>
      </c>
      <c r="N147" s="27">
        <v>1</v>
      </c>
      <c r="O147" s="28">
        <v>0</v>
      </c>
      <c r="P147" s="28">
        <v>1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7">
        <f t="shared" si="37"/>
        <v>1</v>
      </c>
      <c r="AH147" s="28"/>
      <c r="AI147" s="28"/>
      <c r="AJ147" s="28">
        <v>38.4</v>
      </c>
      <c r="AK147" s="28"/>
      <c r="AL147" s="28"/>
      <c r="AM147" s="29" t="s">
        <v>114</v>
      </c>
      <c r="AO147" t="str">
        <f t="shared" si="38"/>
        <v>villarrica</v>
      </c>
      <c r="AP147" t="str">
        <f t="shared" si="39"/>
        <v>tolima</v>
      </c>
      <c r="AQ147" t="b">
        <f t="shared" si="40"/>
        <v>0</v>
      </c>
      <c r="AR147" t="str">
        <f t="shared" si="41"/>
        <v>villarrica</v>
      </c>
      <c r="AS147" s="30">
        <f t="shared" si="42"/>
        <v>1</v>
      </c>
      <c r="AT147" s="30">
        <f t="shared" si="43"/>
        <v>1</v>
      </c>
      <c r="AU147" s="30">
        <f t="shared" si="44"/>
        <v>3</v>
      </c>
      <c r="AV147" s="30">
        <f t="shared" si="45"/>
        <v>3</v>
      </c>
      <c r="AZ147" s="31">
        <f t="shared" si="46"/>
        <v>3</v>
      </c>
      <c r="BA147" s="31">
        <f t="shared" si="47"/>
        <v>7</v>
      </c>
      <c r="BB147" s="32">
        <f>IFERROR(INDEX('Análisis general'!$E$4:$E$28,MATCH($B147,'Análisis general'!$B$4:$B$28,0)),"")</f>
        <v>12.2</v>
      </c>
      <c r="BC147" s="31">
        <f t="shared" si="48"/>
        <v>3</v>
      </c>
      <c r="BD147" s="32">
        <f t="shared" si="49"/>
        <v>7.2857142857142856</v>
      </c>
      <c r="BE147" s="32">
        <f t="shared" si="50"/>
        <v>9</v>
      </c>
    </row>
    <row r="148" spans="1:57" ht="25.5" customHeight="1" x14ac:dyDescent="0.25">
      <c r="A148" s="33" t="s">
        <v>531</v>
      </c>
      <c r="B148" s="11" t="s">
        <v>45</v>
      </c>
      <c r="C148" s="34" t="s">
        <v>112</v>
      </c>
      <c r="D148" s="24">
        <f t="shared" si="34"/>
        <v>6</v>
      </c>
      <c r="E148" s="59">
        <f t="shared" si="35"/>
        <v>6.4285714285714279</v>
      </c>
      <c r="F148" s="59">
        <f t="shared" si="36"/>
        <v>9</v>
      </c>
      <c r="G148" s="11" t="s">
        <v>532</v>
      </c>
      <c r="H148" s="25" t="str">
        <f>IFERROR(IF($AQ148,INDEX(cpe!$C$2:$C$307,MATCH($AR148,cpe!$F$2:$F$307,0)),INDEX(cpe!$C$2:$C$307,MATCH($AR148,cpe!$D$2:$D$307,0))),"#N/D")</f>
        <v>#N/D</v>
      </c>
      <c r="I148" s="25" t="str">
        <f>IFERROR(IF($AQ148,INDEX(cpe!$B$2:$B$307,MATCH($AR148,cpe!$F$2:$F$307,0)),INDEX(cpe!$B$2:$B$307,MATCH($AR148,cpe!$D$2:$D$307,0))),"#N/D")</f>
        <v>#N/D</v>
      </c>
      <c r="J148" s="26" t="str">
        <f>IF($AQ148,"#N/D",IFERROR(INDEX(Olimpiadas!$B$2:$B$61,MATCH($AO148,Olimpiadas!$C$2:$C$61,0)),"#N/D"))</f>
        <v>#N/D</v>
      </c>
      <c r="K148" s="26" t="str">
        <f>IF($AQ148,"#N/D",IFERROR(INDEX(Olimpiadas!$A$2:$A$61,MATCH($AO148,Olimpiadas!$C$2:$C$61,0)),"#N/D"))</f>
        <v>#N/D</v>
      </c>
      <c r="L148" s="26" t="str">
        <f>IF($AQ148,"#N/D",IFERROR(INDEX(Minculturas!$A$2:$A$48,MATCH($AO148,Minculturas!$C$2:$C$48,0)),"#N/D"))</f>
        <v>#N/D</v>
      </c>
      <c r="M148" s="26" t="str">
        <f>IF($AQ148,"#N/D",IFERROR(INDEX(Minculturas!$B$2:$B$48,MATCH($AO148,Minculturas!$C$2:$C$48,0)),"#N/D"))</f>
        <v>#N/D</v>
      </c>
      <c r="N148" s="27">
        <v>4</v>
      </c>
      <c r="O148" s="28">
        <v>0</v>
      </c>
      <c r="P148" s="28">
        <v>0</v>
      </c>
      <c r="Q148" s="28">
        <v>0</v>
      </c>
      <c r="R148" s="28">
        <v>1</v>
      </c>
      <c r="S148" s="28">
        <v>0</v>
      </c>
      <c r="T148" s="28">
        <v>1</v>
      </c>
      <c r="U148" s="28">
        <v>1</v>
      </c>
      <c r="V148" s="28">
        <v>1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7">
        <f t="shared" si="37"/>
        <v>4</v>
      </c>
      <c r="AH148" s="28" t="s">
        <v>533</v>
      </c>
      <c r="AI148" s="28" t="s">
        <v>534</v>
      </c>
      <c r="AJ148" s="28">
        <v>36.5</v>
      </c>
      <c r="AK148" s="28"/>
      <c r="AL148" s="28"/>
      <c r="AM148" s="29" t="s">
        <v>246</v>
      </c>
      <c r="AO148" t="str">
        <f t="shared" si="38"/>
        <v>guatica</v>
      </c>
      <c r="AP148" t="str">
        <f t="shared" si="39"/>
        <v>risaralda</v>
      </c>
      <c r="AQ148" t="b">
        <f t="shared" si="40"/>
        <v>0</v>
      </c>
      <c r="AR148" t="str">
        <f t="shared" si="41"/>
        <v>guatica</v>
      </c>
      <c r="AS148" s="30">
        <f t="shared" si="42"/>
        <v>0</v>
      </c>
      <c r="AT148" s="30">
        <f t="shared" si="43"/>
        <v>4</v>
      </c>
      <c r="AU148" s="30">
        <f t="shared" si="44"/>
        <v>3</v>
      </c>
      <c r="AV148" s="30">
        <f t="shared" si="45"/>
        <v>3</v>
      </c>
      <c r="AZ148" s="31">
        <f t="shared" si="46"/>
        <v>3</v>
      </c>
      <c r="BA148" s="31">
        <f t="shared" si="47"/>
        <v>6</v>
      </c>
      <c r="BB148" s="32">
        <f>IFERROR(INDEX('Análisis general'!$E$4:$E$28,MATCH($B148,'Análisis general'!$B$4:$B$28,0)),"")</f>
        <v>4.9000000000000004</v>
      </c>
      <c r="BC148" s="31">
        <f t="shared" si="48"/>
        <v>3</v>
      </c>
      <c r="BD148" s="32">
        <f t="shared" si="49"/>
        <v>6.4285714285714279</v>
      </c>
      <c r="BE148" s="32">
        <f t="shared" si="50"/>
        <v>9</v>
      </c>
    </row>
    <row r="149" spans="1:57" ht="25.5" customHeight="1" x14ac:dyDescent="0.25">
      <c r="A149" s="33" t="s">
        <v>535</v>
      </c>
      <c r="B149" s="11" t="s">
        <v>45</v>
      </c>
      <c r="C149" s="34" t="s">
        <v>112</v>
      </c>
      <c r="D149" s="24">
        <f t="shared" si="34"/>
        <v>6</v>
      </c>
      <c r="E149" s="59">
        <f t="shared" si="35"/>
        <v>6.4285714285714279</v>
      </c>
      <c r="F149" s="59">
        <f t="shared" si="36"/>
        <v>9</v>
      </c>
      <c r="G149" s="11" t="s">
        <v>536</v>
      </c>
      <c r="H149" s="25" t="str">
        <f>IFERROR(IF($AQ149,INDEX(cpe!$C$2:$C$307,MATCH($AR149,cpe!$F$2:$F$307,0)),INDEX(cpe!$C$2:$C$307,MATCH($AR149,cpe!$D$2:$D$307,0))),"#N/D")</f>
        <v>#N/D</v>
      </c>
      <c r="I149" s="25" t="str">
        <f>IFERROR(IF($AQ149,INDEX(cpe!$B$2:$B$307,MATCH($AR149,cpe!$F$2:$F$307,0)),INDEX(cpe!$B$2:$B$307,MATCH($AR149,cpe!$D$2:$D$307,0))),"#N/D")</f>
        <v>#N/D</v>
      </c>
      <c r="J149" s="26" t="str">
        <f>IF($AQ149,"#N/D",IFERROR(INDEX(Olimpiadas!$B$2:$B$61,MATCH($AO149,Olimpiadas!$C$2:$C$61,0)),"#N/D"))</f>
        <v>#N/D</v>
      </c>
      <c r="K149" s="26" t="str">
        <f>IF($AQ149,"#N/D",IFERROR(INDEX(Olimpiadas!$A$2:$A$61,MATCH($AO149,Olimpiadas!$C$2:$C$61,0)),"#N/D"))</f>
        <v>#N/D</v>
      </c>
      <c r="L149" s="26" t="str">
        <f>IF($AQ149,"#N/D",IFERROR(INDEX(Minculturas!$A$2:$A$48,MATCH($AO149,Minculturas!$C$2:$C$48,0)),"#N/D"))</f>
        <v>#N/D</v>
      </c>
      <c r="M149" s="26" t="str">
        <f>IF($AQ149,"#N/D",IFERROR(INDEX(Minculturas!$B$2:$B$48,MATCH($AO149,Minculturas!$C$2:$C$48,0)),"#N/D"))</f>
        <v>#N/D</v>
      </c>
      <c r="N149" s="27">
        <v>4</v>
      </c>
      <c r="O149" s="28">
        <v>0</v>
      </c>
      <c r="P149" s="28">
        <v>1</v>
      </c>
      <c r="Q149" s="28">
        <v>0</v>
      </c>
      <c r="R149" s="28">
        <v>0</v>
      </c>
      <c r="S149" s="28">
        <v>0</v>
      </c>
      <c r="T149" s="28">
        <v>3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7">
        <f t="shared" si="37"/>
        <v>4</v>
      </c>
      <c r="AH149" s="28" t="s">
        <v>537</v>
      </c>
      <c r="AI149" s="28" t="s">
        <v>538</v>
      </c>
      <c r="AJ149" s="28">
        <v>33.299999999999997</v>
      </c>
      <c r="AK149" s="28"/>
      <c r="AL149" s="28"/>
      <c r="AM149" s="29" t="s">
        <v>246</v>
      </c>
      <c r="AO149" t="str">
        <f t="shared" si="38"/>
        <v>marsella</v>
      </c>
      <c r="AP149" t="str">
        <f t="shared" si="39"/>
        <v>risaralda</v>
      </c>
      <c r="AQ149" t="b">
        <f t="shared" si="40"/>
        <v>0</v>
      </c>
      <c r="AR149" t="str">
        <f t="shared" si="41"/>
        <v>marsella</v>
      </c>
      <c r="AS149" s="30">
        <f t="shared" si="42"/>
        <v>0</v>
      </c>
      <c r="AT149" s="30">
        <f t="shared" si="43"/>
        <v>4</v>
      </c>
      <c r="AU149" s="30">
        <f t="shared" si="44"/>
        <v>3</v>
      </c>
      <c r="AV149" s="30">
        <f t="shared" si="45"/>
        <v>3</v>
      </c>
      <c r="AZ149" s="31">
        <f t="shared" si="46"/>
        <v>3</v>
      </c>
      <c r="BA149" s="31">
        <f t="shared" si="47"/>
        <v>6</v>
      </c>
      <c r="BB149" s="32">
        <f>IFERROR(INDEX('Análisis general'!$E$4:$E$28,MATCH($B149,'Análisis general'!$B$4:$B$28,0)),"")</f>
        <v>4.9000000000000004</v>
      </c>
      <c r="BC149" s="31">
        <f t="shared" si="48"/>
        <v>3</v>
      </c>
      <c r="BD149" s="32">
        <f t="shared" si="49"/>
        <v>6.4285714285714279</v>
      </c>
      <c r="BE149" s="32">
        <f t="shared" si="50"/>
        <v>9</v>
      </c>
    </row>
    <row r="150" spans="1:57" ht="25.5" customHeight="1" x14ac:dyDescent="0.25">
      <c r="A150" s="33" t="s">
        <v>543</v>
      </c>
      <c r="B150" s="11" t="s">
        <v>35</v>
      </c>
      <c r="C150" s="34" t="s">
        <v>112</v>
      </c>
      <c r="D150" s="24">
        <f t="shared" si="34"/>
        <v>6</v>
      </c>
      <c r="E150" s="59">
        <f t="shared" si="35"/>
        <v>6.4285714285714279</v>
      </c>
      <c r="F150" s="59">
        <f t="shared" si="36"/>
        <v>9</v>
      </c>
      <c r="G150" s="11" t="s">
        <v>544</v>
      </c>
      <c r="H150" s="25" t="s">
        <v>106</v>
      </c>
      <c r="I150" s="25" t="s">
        <v>106</v>
      </c>
      <c r="J150" s="26" t="s">
        <v>106</v>
      </c>
      <c r="K150" s="26" t="str">
        <f>IF($AQ150,"#N/D",IFERROR(INDEX(Olimpiadas!$A$2:$A$61,MATCH($AO150,Olimpiadas!$C$2:$C$61,0)),"#N/D"))</f>
        <v>#N/D</v>
      </c>
      <c r="L150" s="26" t="str">
        <f>IF($AQ150,"#N/D",IFERROR(INDEX(Minculturas!$A$2:$A$48,MATCH($AO150,Minculturas!$C$2:$C$48,0)),"#N/D"))</f>
        <v>#N/D</v>
      </c>
      <c r="M150" s="26" t="str">
        <f>IF($AQ150,"#N/D",IFERROR(INDEX(Minculturas!$B$2:$B$48,MATCH($AO150,Minculturas!$C$2:$C$48,0)),"#N/D"))</f>
        <v>#N/D</v>
      </c>
      <c r="N150" s="27">
        <v>4</v>
      </c>
      <c r="O150" s="28">
        <v>0</v>
      </c>
      <c r="P150" s="28">
        <v>0</v>
      </c>
      <c r="Q150" s="28">
        <v>0</v>
      </c>
      <c r="R150" s="28">
        <v>1</v>
      </c>
      <c r="S150" s="28">
        <v>2</v>
      </c>
      <c r="T150" s="28">
        <v>0</v>
      </c>
      <c r="U150" s="28">
        <v>1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7">
        <f t="shared" si="37"/>
        <v>4</v>
      </c>
      <c r="AH150" s="28"/>
      <c r="AI150" s="28"/>
      <c r="AJ150" s="28">
        <v>20.2</v>
      </c>
      <c r="AK150" s="28"/>
      <c r="AL150" s="28"/>
      <c r="AM150" s="29" t="s">
        <v>114</v>
      </c>
      <c r="AO150" t="str">
        <f t="shared" si="38"/>
        <v>san francisco</v>
      </c>
      <c r="AP150" t="str">
        <f t="shared" si="39"/>
        <v>cundinamarca</v>
      </c>
      <c r="AQ150" t="b">
        <f t="shared" si="40"/>
        <v>1</v>
      </c>
      <c r="AR150" t="str">
        <f t="shared" si="41"/>
        <v>san francisco|cundinamarca</v>
      </c>
      <c r="AS150" s="30">
        <f t="shared" si="42"/>
        <v>0</v>
      </c>
      <c r="AT150" s="30">
        <f t="shared" si="43"/>
        <v>4</v>
      </c>
      <c r="AU150" s="30">
        <f t="shared" si="44"/>
        <v>3</v>
      </c>
      <c r="AV150" s="30">
        <f t="shared" si="45"/>
        <v>3</v>
      </c>
      <c r="AZ150" s="31">
        <f t="shared" si="46"/>
        <v>3</v>
      </c>
      <c r="BA150" s="31">
        <f t="shared" si="47"/>
        <v>6</v>
      </c>
      <c r="BB150" s="32">
        <f>IFERROR(INDEX('Análisis general'!$E$4:$E$28,MATCH($B150,'Análisis general'!$B$4:$B$28,0)),"")</f>
        <v>4.0999999999999996</v>
      </c>
      <c r="BC150" s="31">
        <f t="shared" si="48"/>
        <v>3</v>
      </c>
      <c r="BD150" s="32">
        <f t="shared" si="49"/>
        <v>6.4285714285714279</v>
      </c>
      <c r="BE150" s="32">
        <f t="shared" si="50"/>
        <v>9</v>
      </c>
    </row>
    <row r="151" spans="1:57" ht="25.5" customHeight="1" x14ac:dyDescent="0.25">
      <c r="A151" s="33" t="s">
        <v>513</v>
      </c>
      <c r="B151" s="11" t="s">
        <v>35</v>
      </c>
      <c r="C151" s="60" t="s">
        <v>1214</v>
      </c>
      <c r="D151" s="24">
        <f t="shared" si="34"/>
        <v>6</v>
      </c>
      <c r="E151" s="59">
        <f t="shared" si="35"/>
        <v>6.4285714285714279</v>
      </c>
      <c r="F151" s="59">
        <f t="shared" si="36"/>
        <v>9</v>
      </c>
      <c r="G151" s="11" t="s">
        <v>514</v>
      </c>
      <c r="H151" s="25" t="str">
        <f>IFERROR(IF($AQ151,INDEX(cpe!$C$2:$C$307,MATCH($AR151,cpe!$F$2:$F$307,0)),INDEX(cpe!$C$2:$C$307,MATCH($AR151,cpe!$D$2:$D$307,0))),"#N/D")</f>
        <v>#N/D</v>
      </c>
      <c r="I151" s="25" t="str">
        <f>IFERROR(IF($AQ151,INDEX(cpe!$B$2:$B$307,MATCH($AR151,cpe!$F$2:$F$307,0)),INDEX(cpe!$B$2:$B$307,MATCH($AR151,cpe!$D$2:$D$307,0))),"#N/D")</f>
        <v>#N/D</v>
      </c>
      <c r="J151" s="26" t="str">
        <f>IF($AQ151,"#N/D",IFERROR(INDEX(Olimpiadas!$B$2:$B$61,MATCH($AO151,Olimpiadas!$C$2:$C$61,0)),"#N/D"))</f>
        <v>#N/D</v>
      </c>
      <c r="K151" s="26" t="str">
        <f>IF($AQ151,"#N/D",IFERROR(INDEX(Olimpiadas!$A$2:$A$61,MATCH($AO151,Olimpiadas!$C$2:$C$61,0)),"#N/D"))</f>
        <v>#N/D</v>
      </c>
      <c r="L151" s="26" t="str">
        <f>IF($AQ151,"#N/D",IFERROR(INDEX(Minculturas!$A$2:$A$48,MATCH($AO151,Minculturas!$C$2:$C$48,0)),"#N/D"))</f>
        <v>#N/D</v>
      </c>
      <c r="M151" s="26" t="str">
        <f>IF($AQ151,"#N/D",IFERROR(INDEX(Minculturas!$B$2:$B$48,MATCH($AO151,Minculturas!$C$2:$C$48,0)),"#N/D"))</f>
        <v>#N/D</v>
      </c>
      <c r="N151" s="27">
        <v>3</v>
      </c>
      <c r="O151" s="28">
        <v>0</v>
      </c>
      <c r="P151" s="28">
        <v>0</v>
      </c>
      <c r="Q151" s="28">
        <v>2</v>
      </c>
      <c r="R151" s="28">
        <v>0</v>
      </c>
      <c r="S151" s="28">
        <v>1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7">
        <f t="shared" si="37"/>
        <v>3</v>
      </c>
      <c r="AH151" s="28"/>
      <c r="AI151" s="28"/>
      <c r="AJ151" s="28">
        <v>28.4</v>
      </c>
      <c r="AK151" s="28"/>
      <c r="AL151" s="28"/>
      <c r="AM151" s="29" t="s">
        <v>515</v>
      </c>
      <c r="AO151" t="str">
        <f t="shared" si="38"/>
        <v>apulo</v>
      </c>
      <c r="AP151" t="str">
        <f t="shared" si="39"/>
        <v>cundinamarca</v>
      </c>
      <c r="AQ151" t="b">
        <f t="shared" si="40"/>
        <v>0</v>
      </c>
      <c r="AR151" t="str">
        <f t="shared" si="41"/>
        <v>apulo</v>
      </c>
      <c r="AS151" s="30">
        <f t="shared" si="42"/>
        <v>0</v>
      </c>
      <c r="AT151" s="30">
        <f t="shared" si="43"/>
        <v>3</v>
      </c>
      <c r="AU151" s="30">
        <f t="shared" si="44"/>
        <v>3</v>
      </c>
      <c r="AV151" s="30">
        <f t="shared" si="45"/>
        <v>3</v>
      </c>
      <c r="AZ151" s="31">
        <f t="shared" si="46"/>
        <v>3</v>
      </c>
      <c r="BA151" s="31">
        <f t="shared" si="47"/>
        <v>6</v>
      </c>
      <c r="BB151" s="32">
        <f>IFERROR(INDEX('Análisis general'!$E$4:$E$28,MATCH($B151,'Análisis general'!$B$4:$B$28,0)),"")</f>
        <v>4.0999999999999996</v>
      </c>
      <c r="BC151" s="31">
        <f t="shared" si="48"/>
        <v>3</v>
      </c>
      <c r="BD151" s="32">
        <f t="shared" si="49"/>
        <v>6.4285714285714279</v>
      </c>
      <c r="BE151" s="32">
        <f t="shared" si="50"/>
        <v>9</v>
      </c>
    </row>
    <row r="152" spans="1:57" ht="25.5" customHeight="1" x14ac:dyDescent="0.25">
      <c r="A152" s="33" t="s">
        <v>539</v>
      </c>
      <c r="B152" s="11" t="s">
        <v>45</v>
      </c>
      <c r="C152" s="34" t="s">
        <v>112</v>
      </c>
      <c r="D152" s="24">
        <f t="shared" si="34"/>
        <v>6</v>
      </c>
      <c r="E152" s="59">
        <f t="shared" si="35"/>
        <v>6.4285714285714279</v>
      </c>
      <c r="F152" s="59">
        <f t="shared" si="36"/>
        <v>9</v>
      </c>
      <c r="G152" s="11" t="s">
        <v>540</v>
      </c>
      <c r="H152" s="25" t="s">
        <v>106</v>
      </c>
      <c r="I152" s="25" t="s">
        <v>106</v>
      </c>
      <c r="J152" s="26" t="s">
        <v>106</v>
      </c>
      <c r="K152" s="26" t="str">
        <f>IF($AQ152,"#N/D",IFERROR(INDEX(Olimpiadas!$A$2:$A$61,MATCH($AO152,Olimpiadas!$C$2:$C$61,0)),"#N/D"))</f>
        <v>#N/D</v>
      </c>
      <c r="L152" s="26" t="str">
        <f>IF($AQ152,"#N/D",IFERROR(INDEX(Minculturas!$A$2:$A$48,MATCH($AO152,Minculturas!$C$2:$C$48,0)),"#N/D"))</f>
        <v>#N/D</v>
      </c>
      <c r="M152" s="26" t="str">
        <f>IF($AQ152,"#N/D",IFERROR(INDEX(Minculturas!$B$2:$B$48,MATCH($AO152,Minculturas!$C$2:$C$48,0)),"#N/D"))</f>
        <v>#N/D</v>
      </c>
      <c r="N152" s="27">
        <v>3</v>
      </c>
      <c r="O152" s="28">
        <v>0</v>
      </c>
      <c r="P152" s="28">
        <v>1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1</v>
      </c>
      <c r="W152" s="28">
        <v>1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7">
        <f t="shared" si="37"/>
        <v>3</v>
      </c>
      <c r="AH152" s="28" t="s">
        <v>541</v>
      </c>
      <c r="AI152" s="28" t="s">
        <v>542</v>
      </c>
      <c r="AJ152" s="28">
        <v>70.5</v>
      </c>
      <c r="AK152" s="28"/>
      <c r="AL152" s="28"/>
      <c r="AM152" s="29" t="s">
        <v>114</v>
      </c>
      <c r="AO152" t="str">
        <f t="shared" si="38"/>
        <v>pueblo rico</v>
      </c>
      <c r="AP152" t="str">
        <f t="shared" si="39"/>
        <v>risaralda</v>
      </c>
      <c r="AQ152" t="b">
        <f t="shared" si="40"/>
        <v>0</v>
      </c>
      <c r="AR152" t="str">
        <f t="shared" si="41"/>
        <v>pueblo rico</v>
      </c>
      <c r="AS152" s="30">
        <f t="shared" si="42"/>
        <v>0</v>
      </c>
      <c r="AT152" s="30">
        <f t="shared" si="43"/>
        <v>3</v>
      </c>
      <c r="AU152" s="30">
        <f t="shared" si="44"/>
        <v>3</v>
      </c>
      <c r="AV152" s="30">
        <f t="shared" si="45"/>
        <v>3</v>
      </c>
      <c r="AZ152" s="31">
        <f t="shared" si="46"/>
        <v>3</v>
      </c>
      <c r="BA152" s="31">
        <f t="shared" si="47"/>
        <v>6</v>
      </c>
      <c r="BB152" s="32">
        <f>IFERROR(INDEX('Análisis general'!$E$4:$E$28,MATCH($B152,'Análisis general'!$B$4:$B$28,0)),"")</f>
        <v>4.9000000000000004</v>
      </c>
      <c r="BC152" s="31">
        <f t="shared" si="48"/>
        <v>3</v>
      </c>
      <c r="BD152" s="32">
        <f t="shared" si="49"/>
        <v>6.4285714285714279</v>
      </c>
      <c r="BE152" s="32">
        <f t="shared" si="50"/>
        <v>9</v>
      </c>
    </row>
    <row r="153" spans="1:57" ht="25.5" customHeight="1" x14ac:dyDescent="0.25">
      <c r="A153" s="33" t="s">
        <v>754</v>
      </c>
      <c r="B153" s="11" t="s">
        <v>45</v>
      </c>
      <c r="C153" s="60" t="s">
        <v>1214</v>
      </c>
      <c r="D153" s="24">
        <f t="shared" si="34"/>
        <v>6</v>
      </c>
      <c r="E153" s="59">
        <f t="shared" si="35"/>
        <v>6.4285714285714279</v>
      </c>
      <c r="F153" s="59">
        <f t="shared" si="36"/>
        <v>9</v>
      </c>
      <c r="G153" s="11" t="s">
        <v>755</v>
      </c>
      <c r="H153" s="25" t="str">
        <f>IFERROR(IF($AQ153,INDEX(cpe!$C$2:$C$307,MATCH($AR153,cpe!$F$2:$F$307,0)),INDEX(cpe!$C$2:$C$307,MATCH($AR153,cpe!$D$2:$D$307,0))),"#N/D")</f>
        <v>#N/D</v>
      </c>
      <c r="I153" s="25" t="str">
        <f>IFERROR(IF($AQ153,INDEX(cpe!$B$2:$B$307,MATCH($AR153,cpe!$F$2:$F$307,0)),INDEX(cpe!$B$2:$B$307,MATCH($AR153,cpe!$D$2:$D$307,0))),"#N/D")</f>
        <v>#N/D</v>
      </c>
      <c r="J153" s="26" t="str">
        <f>IF($AQ153,"#N/D",IFERROR(INDEX(Olimpiadas!$B$2:$B$61,MATCH($AO153,Olimpiadas!$C$2:$C$61,0)),"#N/D"))</f>
        <v>#N/D</v>
      </c>
      <c r="K153" s="26" t="str">
        <f>IF($AQ153,"#N/D",IFERROR(INDEX(Olimpiadas!$A$2:$A$61,MATCH($AO153,Olimpiadas!$C$2:$C$61,0)),"#N/D"))</f>
        <v>#N/D</v>
      </c>
      <c r="L153" s="26" t="str">
        <f>IF($AQ153,"#N/D",IFERROR(INDEX(Minculturas!$A$2:$A$48,MATCH($AO153,Minculturas!$C$2:$C$48,0)),"#N/D"))</f>
        <v>#N/D</v>
      </c>
      <c r="M153" s="26" t="str">
        <f>IF($AQ153,"#N/D",IFERROR(INDEX(Minculturas!$B$2:$B$48,MATCH($AO153,Minculturas!$C$2:$C$48,0)),"#N/D"))</f>
        <v>#N/D</v>
      </c>
      <c r="N153" s="27">
        <v>3</v>
      </c>
      <c r="O153" s="28">
        <v>0</v>
      </c>
      <c r="P153" s="28">
        <v>1</v>
      </c>
      <c r="Q153" s="28">
        <v>0</v>
      </c>
      <c r="R153" s="28">
        <v>0</v>
      </c>
      <c r="S153" s="28">
        <v>0</v>
      </c>
      <c r="T153" s="28">
        <v>1</v>
      </c>
      <c r="U153" s="28">
        <v>0</v>
      </c>
      <c r="V153" s="28">
        <v>1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7">
        <f t="shared" si="37"/>
        <v>3</v>
      </c>
      <c r="AH153" s="28" t="s">
        <v>756</v>
      </c>
      <c r="AI153" s="28" t="s">
        <v>757</v>
      </c>
      <c r="AJ153" s="28">
        <v>37.5</v>
      </c>
      <c r="AK153" s="28"/>
      <c r="AL153" s="28"/>
      <c r="AM153" s="29" t="s">
        <v>758</v>
      </c>
      <c r="AO153" t="str">
        <f t="shared" si="38"/>
        <v>la celia</v>
      </c>
      <c r="AP153" t="str">
        <f t="shared" si="39"/>
        <v>risaralda</v>
      </c>
      <c r="AQ153" t="b">
        <f t="shared" si="40"/>
        <v>0</v>
      </c>
      <c r="AR153" t="str">
        <f t="shared" si="41"/>
        <v>la celia</v>
      </c>
      <c r="AS153" s="30">
        <f t="shared" si="42"/>
        <v>0</v>
      </c>
      <c r="AT153" s="30">
        <f t="shared" si="43"/>
        <v>3</v>
      </c>
      <c r="AU153" s="30">
        <f t="shared" si="44"/>
        <v>3</v>
      </c>
      <c r="AV153" s="30">
        <f t="shared" si="45"/>
        <v>3</v>
      </c>
      <c r="AZ153" s="31">
        <f t="shared" si="46"/>
        <v>3</v>
      </c>
      <c r="BA153" s="31">
        <f t="shared" si="47"/>
        <v>6</v>
      </c>
      <c r="BB153" s="32">
        <f>IFERROR(INDEX('Análisis general'!$E$4:$E$28,MATCH($B153,'Análisis general'!$B$4:$B$28,0)),"")</f>
        <v>4.9000000000000004</v>
      </c>
      <c r="BC153" s="31">
        <f t="shared" si="48"/>
        <v>3</v>
      </c>
      <c r="BD153" s="32">
        <f t="shared" si="49"/>
        <v>6.4285714285714279</v>
      </c>
      <c r="BE153" s="32">
        <f t="shared" si="50"/>
        <v>9</v>
      </c>
    </row>
    <row r="154" spans="1:57" ht="25.5" customHeight="1" x14ac:dyDescent="0.25">
      <c r="A154" s="33" t="s">
        <v>516</v>
      </c>
      <c r="B154" s="11" t="s">
        <v>49</v>
      </c>
      <c r="C154" s="60" t="s">
        <v>1214</v>
      </c>
      <c r="D154" s="24">
        <f t="shared" si="34"/>
        <v>6</v>
      </c>
      <c r="E154" s="59">
        <f t="shared" si="35"/>
        <v>6.4285714285714279</v>
      </c>
      <c r="F154" s="59">
        <f t="shared" si="36"/>
        <v>9</v>
      </c>
      <c r="G154" s="11" t="s">
        <v>517</v>
      </c>
      <c r="H154" s="25" t="str">
        <f>IFERROR(IF($AQ154,INDEX(cpe!$C$2:$C$307,MATCH($AR154,cpe!$F$2:$F$307,0)),INDEX(cpe!$C$2:$C$307,MATCH($AR154,cpe!$D$2:$D$307,0))),"#N/D")</f>
        <v>#N/D</v>
      </c>
      <c r="I154" s="25" t="str">
        <f>IFERROR(IF($AQ154,INDEX(cpe!$B$2:$B$307,MATCH($AR154,cpe!$F$2:$F$307,0)),INDEX(cpe!$B$2:$B$307,MATCH($AR154,cpe!$D$2:$D$307,0))),"#N/D")</f>
        <v>#N/D</v>
      </c>
      <c r="J154" s="26" t="str">
        <f>IF($AQ154,"#N/D",IFERROR(INDEX(Olimpiadas!$B$2:$B$61,MATCH($AO154,Olimpiadas!$C$2:$C$61,0)),"#N/D"))</f>
        <v>#N/D</v>
      </c>
      <c r="K154" s="26" t="str">
        <f>IF($AQ154,"#N/D",IFERROR(INDEX(Olimpiadas!$A$2:$A$61,MATCH($AO154,Olimpiadas!$C$2:$C$61,0)),"#N/D"))</f>
        <v>#N/D</v>
      </c>
      <c r="L154" s="26" t="str">
        <f>IF($AQ154,"#N/D",IFERROR(INDEX(Minculturas!$A$2:$A$48,MATCH($AO154,Minculturas!$C$2:$C$48,0)),"#N/D"))</f>
        <v>#N/D</v>
      </c>
      <c r="M154" s="26" t="str">
        <f>IF($AQ154,"#N/D",IFERROR(INDEX(Minculturas!$B$2:$B$48,MATCH($AO154,Minculturas!$C$2:$C$48,0)),"#N/D"))</f>
        <v>#N/D</v>
      </c>
      <c r="N154" s="27">
        <v>4</v>
      </c>
      <c r="O154" s="28">
        <v>0</v>
      </c>
      <c r="P154" s="28">
        <v>1</v>
      </c>
      <c r="Q154" s="28">
        <v>0</v>
      </c>
      <c r="R154" s="28">
        <v>1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1</v>
      </c>
      <c r="AA154" s="28">
        <v>0</v>
      </c>
      <c r="AB154" s="28">
        <v>1</v>
      </c>
      <c r="AC154" s="28">
        <v>0</v>
      </c>
      <c r="AD154" s="28">
        <v>0</v>
      </c>
      <c r="AE154" s="28">
        <v>0</v>
      </c>
      <c r="AF154" s="28">
        <v>0</v>
      </c>
      <c r="AG154" s="27">
        <f t="shared" si="37"/>
        <v>2</v>
      </c>
      <c r="AH154" s="28"/>
      <c r="AI154" s="28"/>
      <c r="AJ154" s="28">
        <v>18.899999999999999</v>
      </c>
      <c r="AK154" s="28"/>
      <c r="AL154" s="28"/>
      <c r="AM154" s="29" t="s">
        <v>518</v>
      </c>
      <c r="AO154" t="str">
        <f t="shared" si="38"/>
        <v>florida</v>
      </c>
      <c r="AP154" t="str">
        <f t="shared" si="39"/>
        <v>valle del cauca</v>
      </c>
      <c r="AQ154" t="b">
        <f t="shared" si="40"/>
        <v>0</v>
      </c>
      <c r="AR154" t="str">
        <f t="shared" si="41"/>
        <v>florida</v>
      </c>
      <c r="AS154" s="30">
        <f t="shared" si="42"/>
        <v>0</v>
      </c>
      <c r="AT154" s="30">
        <f t="shared" si="43"/>
        <v>2</v>
      </c>
      <c r="AU154" s="30">
        <f t="shared" si="44"/>
        <v>3</v>
      </c>
      <c r="AV154" s="30">
        <f t="shared" si="45"/>
        <v>3</v>
      </c>
      <c r="AZ154" s="31">
        <f t="shared" si="46"/>
        <v>3</v>
      </c>
      <c r="BA154" s="31">
        <f t="shared" si="47"/>
        <v>6</v>
      </c>
      <c r="BB154" s="32">
        <f>IFERROR(INDEX('Análisis general'!$E$4:$E$28,MATCH($B154,'Análisis general'!$B$4:$B$28,0)),"")</f>
        <v>4.9000000000000004</v>
      </c>
      <c r="BC154" s="31">
        <f t="shared" si="48"/>
        <v>3</v>
      </c>
      <c r="BD154" s="32">
        <f t="shared" si="49"/>
        <v>6.4285714285714279</v>
      </c>
      <c r="BE154" s="32">
        <f t="shared" si="50"/>
        <v>9</v>
      </c>
    </row>
    <row r="155" spans="1:57" ht="25.5" customHeight="1" x14ac:dyDescent="0.25">
      <c r="A155" s="33" t="s">
        <v>519</v>
      </c>
      <c r="B155" s="11" t="s">
        <v>35</v>
      </c>
      <c r="C155" s="65" t="s">
        <v>1218</v>
      </c>
      <c r="D155" s="24">
        <f t="shared" si="34"/>
        <v>6</v>
      </c>
      <c r="E155" s="59">
        <f t="shared" si="35"/>
        <v>6.4285714285714279</v>
      </c>
      <c r="F155" s="59">
        <f t="shared" si="36"/>
        <v>9</v>
      </c>
      <c r="G155" s="11" t="s">
        <v>520</v>
      </c>
      <c r="H155" s="25" t="s">
        <v>106</v>
      </c>
      <c r="I155" s="25" t="s">
        <v>106</v>
      </c>
      <c r="J155" s="26" t="s">
        <v>106</v>
      </c>
      <c r="K155" s="26" t="str">
        <f>IF($AQ155,"#N/D",IFERROR(INDEX(Olimpiadas!$A$2:$A$61,MATCH($AO155,Olimpiadas!$C$2:$C$61,0)),"#N/D"))</f>
        <v>#N/D</v>
      </c>
      <c r="L155" s="26" t="str">
        <f>IF($AQ155,"#N/D",IFERROR(INDEX(Minculturas!$A$2:$A$48,MATCH($AO155,Minculturas!$C$2:$C$48,0)),"#N/D"))</f>
        <v>#N/D</v>
      </c>
      <c r="M155" s="26" t="str">
        <f>IF($AQ155,"#N/D",IFERROR(INDEX(Minculturas!$B$2:$B$48,MATCH($AO155,Minculturas!$C$2:$C$48,0)),"#N/D"))</f>
        <v>#N/D</v>
      </c>
      <c r="N155" s="27">
        <v>3</v>
      </c>
      <c r="O155" s="28">
        <v>0</v>
      </c>
      <c r="P155" s="28">
        <v>1</v>
      </c>
      <c r="Q155" s="28">
        <v>0</v>
      </c>
      <c r="R155" s="28">
        <v>1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1</v>
      </c>
      <c r="AC155" s="28">
        <v>0</v>
      </c>
      <c r="AD155" s="28">
        <v>0</v>
      </c>
      <c r="AE155" s="28">
        <v>0</v>
      </c>
      <c r="AF155" s="28">
        <v>0</v>
      </c>
      <c r="AG155" s="27">
        <f t="shared" si="37"/>
        <v>2</v>
      </c>
      <c r="AH155" s="28"/>
      <c r="AI155" s="28"/>
      <c r="AJ155" s="28">
        <v>22.9</v>
      </c>
      <c r="AK155" s="28"/>
      <c r="AL155" s="28"/>
      <c r="AM155" s="29" t="s">
        <v>521</v>
      </c>
      <c r="AO155" t="str">
        <f t="shared" si="38"/>
        <v>sasaima</v>
      </c>
      <c r="AP155" t="str">
        <f t="shared" si="39"/>
        <v>cundinamarca</v>
      </c>
      <c r="AQ155" t="b">
        <f t="shared" si="40"/>
        <v>0</v>
      </c>
      <c r="AR155" t="str">
        <f t="shared" si="41"/>
        <v>sasaima</v>
      </c>
      <c r="AS155" s="30">
        <f t="shared" si="42"/>
        <v>0</v>
      </c>
      <c r="AT155" s="30">
        <f t="shared" si="43"/>
        <v>2</v>
      </c>
      <c r="AU155" s="30">
        <f t="shared" si="44"/>
        <v>3</v>
      </c>
      <c r="AV155" s="30">
        <f t="shared" si="45"/>
        <v>3</v>
      </c>
      <c r="AZ155" s="31">
        <f t="shared" si="46"/>
        <v>3</v>
      </c>
      <c r="BA155" s="31">
        <f t="shared" si="47"/>
        <v>6</v>
      </c>
      <c r="BB155" s="32">
        <f>IFERROR(INDEX('Análisis general'!$E$4:$E$28,MATCH($B155,'Análisis general'!$B$4:$B$28,0)),"")</f>
        <v>4.0999999999999996</v>
      </c>
      <c r="BC155" s="31">
        <f t="shared" si="48"/>
        <v>3</v>
      </c>
      <c r="BD155" s="32">
        <f t="shared" si="49"/>
        <v>6.4285714285714279</v>
      </c>
      <c r="BE155" s="32">
        <f t="shared" si="50"/>
        <v>9</v>
      </c>
    </row>
    <row r="156" spans="1:57" ht="25.5" customHeight="1" x14ac:dyDescent="0.25">
      <c r="A156" s="33" t="s">
        <v>522</v>
      </c>
      <c r="B156" s="11" t="s">
        <v>35</v>
      </c>
      <c r="C156" s="65" t="s">
        <v>1218</v>
      </c>
      <c r="D156" s="24">
        <f t="shared" si="34"/>
        <v>6</v>
      </c>
      <c r="E156" s="59">
        <f t="shared" si="35"/>
        <v>6.4285714285714279</v>
      </c>
      <c r="F156" s="59">
        <f t="shared" si="36"/>
        <v>9</v>
      </c>
      <c r="G156" s="11" t="s">
        <v>523</v>
      </c>
      <c r="H156" s="25" t="s">
        <v>106</v>
      </c>
      <c r="I156" s="25" t="s">
        <v>106</v>
      </c>
      <c r="J156" s="26" t="s">
        <v>106</v>
      </c>
      <c r="K156" s="26" t="str">
        <f>IF($AQ156,"#N/D",IFERROR(INDEX(Olimpiadas!$A$2:$A$61,MATCH($AO156,Olimpiadas!$C$2:$C$61,0)),"#N/D"))</f>
        <v>#N/D</v>
      </c>
      <c r="L156" s="26" t="str">
        <f>IF($AQ156,"#N/D",IFERROR(INDEX(Minculturas!$A$2:$A$48,MATCH($AO156,Minculturas!$C$2:$C$48,0)),"#N/D"))</f>
        <v>#N/D</v>
      </c>
      <c r="M156" s="26" t="str">
        <f>IF($AQ156,"#N/D",IFERROR(INDEX(Minculturas!$B$2:$B$48,MATCH($AO156,Minculturas!$C$2:$C$48,0)),"#N/D"))</f>
        <v>#N/D</v>
      </c>
      <c r="N156" s="27">
        <v>2</v>
      </c>
      <c r="O156" s="28">
        <v>0</v>
      </c>
      <c r="P156" s="28">
        <v>1</v>
      </c>
      <c r="Q156" s="28">
        <v>0</v>
      </c>
      <c r="R156" s="28">
        <v>1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7">
        <f t="shared" si="37"/>
        <v>2</v>
      </c>
      <c r="AH156" s="28"/>
      <c r="AI156" s="28"/>
      <c r="AJ156" s="28">
        <v>10.4</v>
      </c>
      <c r="AK156" s="28"/>
      <c r="AL156" s="28"/>
      <c r="AM156" s="29" t="s">
        <v>524</v>
      </c>
      <c r="AO156" t="str">
        <f t="shared" si="38"/>
        <v>tenjo</v>
      </c>
      <c r="AP156" t="str">
        <f t="shared" si="39"/>
        <v>cundinamarca</v>
      </c>
      <c r="AQ156" t="b">
        <f t="shared" si="40"/>
        <v>0</v>
      </c>
      <c r="AR156" t="str">
        <f t="shared" si="41"/>
        <v>tenjo</v>
      </c>
      <c r="AS156" s="30">
        <f t="shared" si="42"/>
        <v>0</v>
      </c>
      <c r="AT156" s="30">
        <f t="shared" si="43"/>
        <v>2</v>
      </c>
      <c r="AU156" s="30">
        <f t="shared" si="44"/>
        <v>3</v>
      </c>
      <c r="AV156" s="30">
        <f t="shared" si="45"/>
        <v>3</v>
      </c>
      <c r="AZ156" s="31">
        <f t="shared" si="46"/>
        <v>3</v>
      </c>
      <c r="BA156" s="31">
        <f t="shared" si="47"/>
        <v>6</v>
      </c>
      <c r="BB156" s="32">
        <f>IFERROR(INDEX('Análisis general'!$E$4:$E$28,MATCH($B156,'Análisis general'!$B$4:$B$28,0)),"")</f>
        <v>4.0999999999999996</v>
      </c>
      <c r="BC156" s="31">
        <f t="shared" si="48"/>
        <v>3</v>
      </c>
      <c r="BD156" s="32">
        <f t="shared" si="49"/>
        <v>6.4285714285714279</v>
      </c>
      <c r="BE156" s="32">
        <f t="shared" si="50"/>
        <v>9</v>
      </c>
    </row>
    <row r="157" spans="1:57" ht="25.5" customHeight="1" x14ac:dyDescent="0.25">
      <c r="A157" s="33" t="s">
        <v>525</v>
      </c>
      <c r="B157" s="11" t="s">
        <v>35</v>
      </c>
      <c r="C157" s="64" t="s">
        <v>1215</v>
      </c>
      <c r="D157" s="24">
        <f t="shared" si="34"/>
        <v>6</v>
      </c>
      <c r="E157" s="59">
        <f t="shared" si="35"/>
        <v>6.4285714285714279</v>
      </c>
      <c r="F157" s="59">
        <f t="shared" si="36"/>
        <v>9</v>
      </c>
      <c r="G157" s="11" t="s">
        <v>526</v>
      </c>
      <c r="H157" s="25" t="str">
        <f>IFERROR(IF($AQ157,INDEX(cpe!$C$2:$C$307,MATCH($AR157,cpe!$F$2:$F$307,0)),INDEX(cpe!$C$2:$C$307,MATCH($AR157,cpe!$D$2:$D$307,0))),"#N/D")</f>
        <v>#N/D</v>
      </c>
      <c r="I157" s="25" t="str">
        <f>IFERROR(IF($AQ157,INDEX(cpe!$B$2:$B$307,MATCH($AR157,cpe!$F$2:$F$307,0)),INDEX(cpe!$B$2:$B$307,MATCH($AR157,cpe!$D$2:$D$307,0))),"#N/D")</f>
        <v>#N/D</v>
      </c>
      <c r="J157" s="26" t="str">
        <f>IF($AQ157,"#N/D",IFERROR(INDEX(Olimpiadas!$B$2:$B$61,MATCH($AO157,Olimpiadas!$C$2:$C$61,0)),"#N/D"))</f>
        <v>#N/D</v>
      </c>
      <c r="K157" s="26" t="str">
        <f>IF($AQ157,"#N/D",IFERROR(INDEX(Olimpiadas!$A$2:$A$61,MATCH($AO157,Olimpiadas!$C$2:$C$61,0)),"#N/D"))</f>
        <v>#N/D</v>
      </c>
      <c r="L157" s="26" t="str">
        <f>IF($AQ157,"#N/D",IFERROR(INDEX(Minculturas!$A$2:$A$48,MATCH($AO157,Minculturas!$C$2:$C$48,0)),"#N/D"))</f>
        <v>#N/D</v>
      </c>
      <c r="M157" s="26" t="str">
        <f>IF($AQ157,"#N/D",IFERROR(INDEX(Minculturas!$B$2:$B$48,MATCH($AO157,Minculturas!$C$2:$C$48,0)),"#N/D"))</f>
        <v>#N/D</v>
      </c>
      <c r="N157" s="27">
        <v>3</v>
      </c>
      <c r="O157" s="28">
        <v>0</v>
      </c>
      <c r="P157" s="28">
        <v>0</v>
      </c>
      <c r="Q157" s="28">
        <v>1</v>
      </c>
      <c r="R157" s="28">
        <v>0</v>
      </c>
      <c r="S157" s="28">
        <v>0</v>
      </c>
      <c r="T157" s="28">
        <v>0</v>
      </c>
      <c r="U157" s="28">
        <v>1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1</v>
      </c>
      <c r="AC157" s="28">
        <v>0</v>
      </c>
      <c r="AD157" s="28">
        <v>0</v>
      </c>
      <c r="AE157" s="28">
        <v>0</v>
      </c>
      <c r="AF157" s="28">
        <v>0</v>
      </c>
      <c r="AG157" s="27">
        <f t="shared" si="37"/>
        <v>2</v>
      </c>
      <c r="AH157" s="28"/>
      <c r="AI157" s="28"/>
      <c r="AJ157" s="28">
        <v>10.4</v>
      </c>
      <c r="AK157" s="28"/>
      <c r="AL157" s="28"/>
      <c r="AM157" s="29" t="s">
        <v>527</v>
      </c>
      <c r="AO157" t="str">
        <f t="shared" si="38"/>
        <v>madrid</v>
      </c>
      <c r="AP157" t="str">
        <f t="shared" si="39"/>
        <v>cundinamarca</v>
      </c>
      <c r="AQ157" t="b">
        <f t="shared" si="40"/>
        <v>0</v>
      </c>
      <c r="AR157" t="str">
        <f t="shared" si="41"/>
        <v>madrid</v>
      </c>
      <c r="AS157" s="30">
        <f t="shared" si="42"/>
        <v>0</v>
      </c>
      <c r="AT157" s="30">
        <f t="shared" si="43"/>
        <v>2</v>
      </c>
      <c r="AU157" s="30">
        <f t="shared" si="44"/>
        <v>3</v>
      </c>
      <c r="AV157" s="30">
        <f t="shared" si="45"/>
        <v>3</v>
      </c>
      <c r="AZ157" s="31">
        <f t="shared" si="46"/>
        <v>3</v>
      </c>
      <c r="BA157" s="31">
        <f t="shared" si="47"/>
        <v>6</v>
      </c>
      <c r="BB157" s="32">
        <f>IFERROR(INDEX('Análisis general'!$E$4:$E$28,MATCH($B157,'Análisis general'!$B$4:$B$28,0)),"")</f>
        <v>4.0999999999999996</v>
      </c>
      <c r="BC157" s="31">
        <f t="shared" si="48"/>
        <v>3</v>
      </c>
      <c r="BD157" s="32">
        <f t="shared" si="49"/>
        <v>6.4285714285714279</v>
      </c>
      <c r="BE157" s="32">
        <f t="shared" si="50"/>
        <v>9</v>
      </c>
    </row>
    <row r="158" spans="1:57" ht="25.5" customHeight="1" x14ac:dyDescent="0.25">
      <c r="A158" s="33" t="s">
        <v>528</v>
      </c>
      <c r="B158" s="11" t="s">
        <v>35</v>
      </c>
      <c r="C158" s="64" t="s">
        <v>1215</v>
      </c>
      <c r="D158" s="24">
        <f t="shared" si="34"/>
        <v>6</v>
      </c>
      <c r="E158" s="59">
        <f t="shared" si="35"/>
        <v>6.4285714285714279</v>
      </c>
      <c r="F158" s="59">
        <f t="shared" si="36"/>
        <v>9</v>
      </c>
      <c r="G158" s="11" t="s">
        <v>529</v>
      </c>
      <c r="H158" s="25" t="s">
        <v>106</v>
      </c>
      <c r="I158" s="25" t="s">
        <v>106</v>
      </c>
      <c r="J158" s="26" t="s">
        <v>106</v>
      </c>
      <c r="K158" s="26" t="str">
        <f>IF($AQ158,"#N/D",IFERROR(INDEX(Olimpiadas!$A$2:$A$61,MATCH($AO158,Olimpiadas!$C$2:$C$61,0)),"#N/D"))</f>
        <v>#N/D</v>
      </c>
      <c r="L158" s="26" t="str">
        <f>IF($AQ158,"#N/D",IFERROR(INDEX(Minculturas!$A$2:$A$48,MATCH($AO158,Minculturas!$C$2:$C$48,0)),"#N/D"))</f>
        <v>#N/D</v>
      </c>
      <c r="M158" s="26" t="str">
        <f>IF($AQ158,"#N/D",IFERROR(INDEX(Minculturas!$B$2:$B$48,MATCH($AO158,Minculturas!$C$2:$C$48,0)),"#N/D"))</f>
        <v>#N/D</v>
      </c>
      <c r="N158" s="27">
        <v>2</v>
      </c>
      <c r="O158" s="28">
        <v>0</v>
      </c>
      <c r="P158" s="28">
        <v>0</v>
      </c>
      <c r="Q158" s="28">
        <v>2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7">
        <f t="shared" si="37"/>
        <v>2</v>
      </c>
      <c r="AH158" s="28"/>
      <c r="AI158" s="28"/>
      <c r="AJ158" s="28">
        <v>31</v>
      </c>
      <c r="AK158" s="28"/>
      <c r="AL158" s="28"/>
      <c r="AM158" s="29" t="s">
        <v>530</v>
      </c>
      <c r="AO158" t="str">
        <f t="shared" si="38"/>
        <v>puerto salgar</v>
      </c>
      <c r="AP158" t="str">
        <f t="shared" si="39"/>
        <v>cundinamarca</v>
      </c>
      <c r="AQ158" t="b">
        <f t="shared" si="40"/>
        <v>0</v>
      </c>
      <c r="AR158" t="str">
        <f t="shared" si="41"/>
        <v>puerto salgar</v>
      </c>
      <c r="AS158" s="30">
        <f t="shared" si="42"/>
        <v>0</v>
      </c>
      <c r="AT158" s="30">
        <f t="shared" si="43"/>
        <v>2</v>
      </c>
      <c r="AU158" s="30">
        <f t="shared" si="44"/>
        <v>3</v>
      </c>
      <c r="AV158" s="30">
        <f t="shared" si="45"/>
        <v>3</v>
      </c>
      <c r="AZ158" s="31">
        <f t="shared" si="46"/>
        <v>3</v>
      </c>
      <c r="BA158" s="31">
        <f t="shared" si="47"/>
        <v>6</v>
      </c>
      <c r="BB158" s="32">
        <f>IFERROR(INDEX('Análisis general'!$E$4:$E$28,MATCH($B158,'Análisis general'!$B$4:$B$28,0)),"")</f>
        <v>4.0999999999999996</v>
      </c>
      <c r="BC158" s="31">
        <f t="shared" si="48"/>
        <v>3</v>
      </c>
      <c r="BD158" s="32">
        <f t="shared" si="49"/>
        <v>6.4285714285714279</v>
      </c>
      <c r="BE158" s="32">
        <f t="shared" si="50"/>
        <v>9</v>
      </c>
    </row>
    <row r="159" spans="1:57" ht="25.5" customHeight="1" x14ac:dyDescent="0.25">
      <c r="A159" s="33" t="s">
        <v>1093</v>
      </c>
      <c r="B159" s="11" t="s">
        <v>49</v>
      </c>
      <c r="C159" s="34" t="s">
        <v>112</v>
      </c>
      <c r="D159" s="24">
        <f t="shared" si="34"/>
        <v>6</v>
      </c>
      <c r="E159" s="59">
        <f t="shared" si="35"/>
        <v>6.4285714285714279</v>
      </c>
      <c r="F159" s="59">
        <f t="shared" si="36"/>
        <v>9</v>
      </c>
      <c r="G159" s="11" t="s">
        <v>1094</v>
      </c>
      <c r="H159" s="25" t="s">
        <v>106</v>
      </c>
      <c r="I159" s="25" t="s">
        <v>106</v>
      </c>
      <c r="J159" s="26" t="s">
        <v>106</v>
      </c>
      <c r="K159" s="26" t="str">
        <f>IF($AQ159,"#N/D",IFERROR(INDEX(Olimpiadas!$A$2:$A$61,MATCH($AO159,Olimpiadas!$C$2:$C$61,0)),"#N/D"))</f>
        <v>#N/D</v>
      </c>
      <c r="L159" s="26" t="str">
        <f>IF($AQ159,"#N/D",IFERROR(INDEX(Minculturas!$A$2:$A$48,MATCH($AO159,Minculturas!$C$2:$C$48,0)),"#N/D"))</f>
        <v>#N/D</v>
      </c>
      <c r="M159" s="26" t="str">
        <f>IF($AQ159,"#N/D",IFERROR(INDEX(Minculturas!$B$2:$B$48,MATCH($AO159,Minculturas!$C$2:$C$48,0)),"#N/D"))</f>
        <v>#N/D</v>
      </c>
      <c r="N159" s="27">
        <v>4</v>
      </c>
      <c r="O159" s="28">
        <v>0</v>
      </c>
      <c r="P159" s="28">
        <v>1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1</v>
      </c>
      <c r="Y159" s="28">
        <v>0</v>
      </c>
      <c r="Z159" s="28">
        <v>0</v>
      </c>
      <c r="AA159" s="28">
        <v>0</v>
      </c>
      <c r="AB159" s="28">
        <v>2</v>
      </c>
      <c r="AC159" s="28">
        <v>0</v>
      </c>
      <c r="AD159" s="28">
        <v>0</v>
      </c>
      <c r="AE159" s="28">
        <v>0</v>
      </c>
      <c r="AF159" s="28">
        <v>0</v>
      </c>
      <c r="AG159" s="27">
        <f t="shared" si="37"/>
        <v>2</v>
      </c>
      <c r="AH159" s="28" t="s">
        <v>1095</v>
      </c>
      <c r="AI159" s="28" t="s">
        <v>1096</v>
      </c>
      <c r="AJ159" s="28">
        <v>32.1</v>
      </c>
      <c r="AK159" s="28"/>
      <c r="AL159" s="28"/>
      <c r="AM159" s="29" t="s">
        <v>246</v>
      </c>
      <c r="AO159" t="str">
        <f t="shared" si="38"/>
        <v>toro</v>
      </c>
      <c r="AP159" t="str">
        <f t="shared" si="39"/>
        <v>valle del cauca</v>
      </c>
      <c r="AQ159" t="b">
        <f t="shared" si="40"/>
        <v>0</v>
      </c>
      <c r="AR159" t="str">
        <f t="shared" si="41"/>
        <v>toro</v>
      </c>
      <c r="AS159" s="30">
        <f t="shared" si="42"/>
        <v>0</v>
      </c>
      <c r="AT159" s="30">
        <f t="shared" si="43"/>
        <v>2</v>
      </c>
      <c r="AU159" s="30">
        <f t="shared" si="44"/>
        <v>3</v>
      </c>
      <c r="AV159" s="30">
        <f t="shared" si="45"/>
        <v>3</v>
      </c>
      <c r="AZ159" s="31">
        <f t="shared" si="46"/>
        <v>3</v>
      </c>
      <c r="BA159" s="31">
        <f t="shared" si="47"/>
        <v>6</v>
      </c>
      <c r="BB159" s="32">
        <f>IFERROR(INDEX('Análisis general'!$E$4:$E$28,MATCH($B159,'Análisis general'!$B$4:$B$28,0)),"")</f>
        <v>4.9000000000000004</v>
      </c>
      <c r="BC159" s="31">
        <f t="shared" si="48"/>
        <v>3</v>
      </c>
      <c r="BD159" s="32">
        <f t="shared" si="49"/>
        <v>6.4285714285714279</v>
      </c>
      <c r="BE159" s="32">
        <f t="shared" si="50"/>
        <v>9</v>
      </c>
    </row>
    <row r="160" spans="1:57" ht="25.5" customHeight="1" x14ac:dyDescent="0.25">
      <c r="A160" s="33" t="s">
        <v>545</v>
      </c>
      <c r="B160" s="11" t="s">
        <v>37</v>
      </c>
      <c r="C160" s="34" t="s">
        <v>112</v>
      </c>
      <c r="D160" s="24">
        <f t="shared" si="34"/>
        <v>6</v>
      </c>
      <c r="E160" s="59">
        <f t="shared" si="35"/>
        <v>6.4285714285714279</v>
      </c>
      <c r="F160" s="59">
        <f t="shared" si="36"/>
        <v>9</v>
      </c>
      <c r="G160" s="11" t="s">
        <v>546</v>
      </c>
      <c r="H160" s="25" t="str">
        <f>IFERROR(IF($AQ160,INDEX(cpe!$C$2:$C$307,MATCH($AR160,cpe!$F$2:$F$307,0)),INDEX(cpe!$C$2:$C$307,MATCH($AR160,cpe!$D$2:$D$307,0))),"#N/D")</f>
        <v>#N/D</v>
      </c>
      <c r="I160" s="25" t="str">
        <f>IFERROR(IF($AQ160,INDEX(cpe!$B$2:$B$307,MATCH($AR160,cpe!$F$2:$F$307,0)),INDEX(cpe!$B$2:$B$307,MATCH($AR160,cpe!$D$2:$D$307,0))),"#N/D")</f>
        <v>#N/D</v>
      </c>
      <c r="J160" s="26" t="str">
        <f>IF($AQ160,"#N/D",IFERROR(INDEX(Olimpiadas!$B$2:$B$61,MATCH($AO160,Olimpiadas!$C$2:$C$61,0)),"#N/D"))</f>
        <v>#N/D</v>
      </c>
      <c r="K160" s="26" t="str">
        <f>IF($AQ160,"#N/D",IFERROR(INDEX(Olimpiadas!$A$2:$A$61,MATCH($AO160,Olimpiadas!$C$2:$C$61,0)),"#N/D"))</f>
        <v>#N/D</v>
      </c>
      <c r="L160" s="26" t="str">
        <f>IF($AQ160,"#N/D",IFERROR(INDEX(Minculturas!$A$2:$A$48,MATCH($AO160,Minculturas!$C$2:$C$48,0)),"#N/D"))</f>
        <v>#N/D</v>
      </c>
      <c r="M160" s="26" t="str">
        <f>IF($AQ160,"#N/D",IFERROR(INDEX(Minculturas!$B$2:$B$48,MATCH($AO160,Minculturas!$C$2:$C$48,0)),"#N/D"))</f>
        <v>#N/D</v>
      </c>
      <c r="N160" s="27">
        <v>1</v>
      </c>
      <c r="O160" s="28">
        <v>0</v>
      </c>
      <c r="P160" s="28">
        <v>0</v>
      </c>
      <c r="Q160" s="28">
        <v>0</v>
      </c>
      <c r="R160" s="28">
        <v>0</v>
      </c>
      <c r="S160" s="28">
        <v>1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7">
        <f t="shared" si="37"/>
        <v>1</v>
      </c>
      <c r="AH160" s="28"/>
      <c r="AI160" s="28"/>
      <c r="AJ160" s="28">
        <v>50</v>
      </c>
      <c r="AK160" s="28"/>
      <c r="AL160" s="28"/>
      <c r="AM160" s="29" t="s">
        <v>114</v>
      </c>
      <c r="AO160" t="str">
        <f t="shared" si="38"/>
        <v>agrado</v>
      </c>
      <c r="AP160" t="str">
        <f t="shared" si="39"/>
        <v>huila</v>
      </c>
      <c r="AQ160" t="b">
        <f t="shared" si="40"/>
        <v>0</v>
      </c>
      <c r="AR160" t="str">
        <f t="shared" si="41"/>
        <v>agrado</v>
      </c>
      <c r="AS160" s="30">
        <f t="shared" si="42"/>
        <v>0</v>
      </c>
      <c r="AT160" s="30">
        <f t="shared" si="43"/>
        <v>1</v>
      </c>
      <c r="AU160" s="30">
        <f t="shared" si="44"/>
        <v>3</v>
      </c>
      <c r="AV160" s="30">
        <f t="shared" si="45"/>
        <v>3</v>
      </c>
      <c r="AZ160" s="31">
        <f t="shared" si="46"/>
        <v>3</v>
      </c>
      <c r="BA160" s="31">
        <f t="shared" si="47"/>
        <v>6</v>
      </c>
      <c r="BB160" s="32">
        <f>IFERROR(INDEX('Análisis general'!$E$4:$E$28,MATCH($B160,'Análisis general'!$B$4:$B$28,0)),"")</f>
        <v>9.6999999999999993</v>
      </c>
      <c r="BC160" s="31">
        <f t="shared" si="48"/>
        <v>3</v>
      </c>
      <c r="BD160" s="32">
        <f t="shared" si="49"/>
        <v>6.4285714285714279</v>
      </c>
      <c r="BE160" s="32">
        <f t="shared" si="50"/>
        <v>9</v>
      </c>
    </row>
    <row r="161" spans="1:57" ht="25.5" customHeight="1" x14ac:dyDescent="0.25">
      <c r="A161" s="33" t="s">
        <v>547</v>
      </c>
      <c r="B161" s="11" t="s">
        <v>48</v>
      </c>
      <c r="C161" s="34" t="s">
        <v>112</v>
      </c>
      <c r="D161" s="24">
        <f t="shared" si="34"/>
        <v>6</v>
      </c>
      <c r="E161" s="59">
        <f t="shared" si="35"/>
        <v>6.4285714285714279</v>
      </c>
      <c r="F161" s="59">
        <f t="shared" si="36"/>
        <v>9</v>
      </c>
      <c r="G161" s="11" t="s">
        <v>548</v>
      </c>
      <c r="H161" s="25" t="str">
        <f>IFERROR(IF($AQ161,INDEX(cpe!$C$2:$C$307,MATCH($AR161,cpe!$F$2:$F$307,0)),INDEX(cpe!$C$2:$C$307,MATCH($AR161,cpe!$D$2:$D$307,0))),"#N/D")</f>
        <v>#N/D</v>
      </c>
      <c r="I161" s="25" t="str">
        <f>IFERROR(IF($AQ161,INDEX(cpe!$B$2:$B$307,MATCH($AR161,cpe!$F$2:$F$307,0)),INDEX(cpe!$B$2:$B$307,MATCH($AR161,cpe!$D$2:$D$307,0))),"#N/D")</f>
        <v>#N/D</v>
      </c>
      <c r="J161" s="26" t="str">
        <f>IF($AQ161,"#N/D",IFERROR(INDEX(Olimpiadas!$B$2:$B$61,MATCH($AO161,Olimpiadas!$C$2:$C$61,0)),"#N/D"))</f>
        <v>#N/D</v>
      </c>
      <c r="K161" s="26" t="str">
        <f>IF($AQ161,"#N/D",IFERROR(INDEX(Olimpiadas!$A$2:$A$61,MATCH($AO161,Olimpiadas!$C$2:$C$61,0)),"#N/D"))</f>
        <v>#N/D</v>
      </c>
      <c r="L161" s="26" t="str">
        <f>IF($AQ161,"#N/D",IFERROR(INDEX(Minculturas!$A$2:$A$48,MATCH($AO161,Minculturas!$C$2:$C$48,0)),"#N/D"))</f>
        <v>#N/D</v>
      </c>
      <c r="M161" s="26" t="str">
        <f>IF($AQ161,"#N/D",IFERROR(INDEX(Minculturas!$B$2:$B$48,MATCH($AO161,Minculturas!$C$2:$C$48,0)),"#N/D"))</f>
        <v>#N/D</v>
      </c>
      <c r="N161" s="27">
        <v>1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1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7">
        <f t="shared" si="37"/>
        <v>1</v>
      </c>
      <c r="AH161" s="28"/>
      <c r="AI161" s="28"/>
      <c r="AJ161" s="28">
        <v>27.3</v>
      </c>
      <c r="AK161" s="28"/>
      <c r="AL161" s="28"/>
      <c r="AM161" s="29" t="s">
        <v>549</v>
      </c>
      <c r="AO161" t="str">
        <f t="shared" si="38"/>
        <v>armero guayabal</v>
      </c>
      <c r="AP161" t="str">
        <f t="shared" si="39"/>
        <v>tolima</v>
      </c>
      <c r="AQ161" t="b">
        <f t="shared" si="40"/>
        <v>0</v>
      </c>
      <c r="AR161" t="str">
        <f t="shared" si="41"/>
        <v>armero guayabal</v>
      </c>
      <c r="AS161" s="30">
        <f t="shared" si="42"/>
        <v>0</v>
      </c>
      <c r="AT161" s="30">
        <f t="shared" si="43"/>
        <v>1</v>
      </c>
      <c r="AU161" s="30">
        <f t="shared" si="44"/>
        <v>3</v>
      </c>
      <c r="AV161" s="30">
        <f t="shared" si="45"/>
        <v>3</v>
      </c>
      <c r="AZ161" s="31">
        <f t="shared" si="46"/>
        <v>3</v>
      </c>
      <c r="BA161" s="31">
        <f t="shared" si="47"/>
        <v>6</v>
      </c>
      <c r="BB161" s="32">
        <f>IFERROR(INDEX('Análisis general'!$E$4:$E$28,MATCH($B161,'Análisis general'!$B$4:$B$28,0)),"")</f>
        <v>12.2</v>
      </c>
      <c r="BC161" s="31">
        <f t="shared" si="48"/>
        <v>3</v>
      </c>
      <c r="BD161" s="32">
        <f t="shared" si="49"/>
        <v>6.4285714285714279</v>
      </c>
      <c r="BE161" s="32">
        <f t="shared" si="50"/>
        <v>9</v>
      </c>
    </row>
    <row r="162" spans="1:57" ht="25.5" customHeight="1" x14ac:dyDescent="0.25">
      <c r="A162" s="33" t="s">
        <v>550</v>
      </c>
      <c r="B162" s="11" t="s">
        <v>48</v>
      </c>
      <c r="C162" s="34" t="s">
        <v>112</v>
      </c>
      <c r="D162" s="24">
        <f t="shared" si="34"/>
        <v>6</v>
      </c>
      <c r="E162" s="59">
        <f t="shared" si="35"/>
        <v>6.4285714285714279</v>
      </c>
      <c r="F162" s="59">
        <f t="shared" si="36"/>
        <v>9</v>
      </c>
      <c r="G162" s="11" t="s">
        <v>551</v>
      </c>
      <c r="H162" s="25" t="str">
        <f>IFERROR(IF($AQ162,INDEX(cpe!$C$2:$C$307,MATCH($AR162,cpe!$F$2:$F$307,0)),INDEX(cpe!$C$2:$C$307,MATCH($AR162,cpe!$D$2:$D$307,0))),"#N/D")</f>
        <v>#N/D</v>
      </c>
      <c r="I162" s="25" t="str">
        <f>IFERROR(IF($AQ162,INDEX(cpe!$B$2:$B$307,MATCH($AR162,cpe!$F$2:$F$307,0)),INDEX(cpe!$B$2:$B$307,MATCH($AR162,cpe!$D$2:$D$307,0))),"#N/D")</f>
        <v>#N/D</v>
      </c>
      <c r="J162" s="26" t="str">
        <f>IF($AQ162,"#N/D",IFERROR(INDEX(Olimpiadas!$B$2:$B$61,MATCH($AO162,Olimpiadas!$C$2:$C$61,0)),"#N/D"))</f>
        <v>#N/D</v>
      </c>
      <c r="K162" s="26" t="str">
        <f>IF($AQ162,"#N/D",IFERROR(INDEX(Olimpiadas!$A$2:$A$61,MATCH($AO162,Olimpiadas!$C$2:$C$61,0)),"#N/D"))</f>
        <v>#N/D</v>
      </c>
      <c r="L162" s="26" t="str">
        <f>IF($AQ162,"#N/D",IFERROR(INDEX(Minculturas!$A$2:$A$48,MATCH($AO162,Minculturas!$C$2:$C$48,0)),"#N/D"))</f>
        <v>#N/D</v>
      </c>
      <c r="M162" s="26" t="str">
        <f>IF($AQ162,"#N/D",IFERROR(INDEX(Minculturas!$B$2:$B$48,MATCH($AO162,Minculturas!$C$2:$C$48,0)),"#N/D"))</f>
        <v>#N/D</v>
      </c>
      <c r="N162" s="27">
        <v>1</v>
      </c>
      <c r="O162" s="28">
        <v>0</v>
      </c>
      <c r="P162" s="28">
        <v>1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7">
        <f t="shared" si="37"/>
        <v>1</v>
      </c>
      <c r="AH162" s="28"/>
      <c r="AI162" s="28"/>
      <c r="AJ162" s="28">
        <v>43.8</v>
      </c>
      <c r="AK162" s="28"/>
      <c r="AL162" s="28"/>
      <c r="AM162" s="29" t="s">
        <v>114</v>
      </c>
      <c r="AO162" t="str">
        <f t="shared" si="38"/>
        <v>casabianca</v>
      </c>
      <c r="AP162" t="str">
        <f t="shared" si="39"/>
        <v>tolima</v>
      </c>
      <c r="AQ162" t="b">
        <f t="shared" si="40"/>
        <v>0</v>
      </c>
      <c r="AR162" t="str">
        <f t="shared" si="41"/>
        <v>casabianca</v>
      </c>
      <c r="AS162" s="30">
        <f t="shared" si="42"/>
        <v>0</v>
      </c>
      <c r="AT162" s="30">
        <f t="shared" si="43"/>
        <v>1</v>
      </c>
      <c r="AU162" s="30">
        <f t="shared" si="44"/>
        <v>3</v>
      </c>
      <c r="AV162" s="30">
        <f t="shared" si="45"/>
        <v>3</v>
      </c>
      <c r="AZ162" s="31">
        <f t="shared" si="46"/>
        <v>3</v>
      </c>
      <c r="BA162" s="31">
        <f t="shared" si="47"/>
        <v>6</v>
      </c>
      <c r="BB162" s="32">
        <f>IFERROR(INDEX('Análisis general'!$E$4:$E$28,MATCH($B162,'Análisis general'!$B$4:$B$28,0)),"")</f>
        <v>12.2</v>
      </c>
      <c r="BC162" s="31">
        <f t="shared" si="48"/>
        <v>3</v>
      </c>
      <c r="BD162" s="32">
        <f t="shared" si="49"/>
        <v>6.4285714285714279</v>
      </c>
      <c r="BE162" s="32">
        <f t="shared" si="50"/>
        <v>9</v>
      </c>
    </row>
    <row r="163" spans="1:57" ht="25.5" customHeight="1" x14ac:dyDescent="0.25">
      <c r="A163" s="33" t="s">
        <v>552</v>
      </c>
      <c r="B163" s="11" t="s">
        <v>48</v>
      </c>
      <c r="C163" s="34" t="s">
        <v>112</v>
      </c>
      <c r="D163" s="24">
        <f t="shared" si="34"/>
        <v>6</v>
      </c>
      <c r="E163" s="59">
        <f t="shared" si="35"/>
        <v>6.4285714285714279</v>
      </c>
      <c r="F163" s="59">
        <f t="shared" si="36"/>
        <v>9</v>
      </c>
      <c r="G163" s="11" t="s">
        <v>553</v>
      </c>
      <c r="H163" s="25" t="str">
        <f>IFERROR(IF($AQ163,INDEX(cpe!$C$2:$C$307,MATCH($AR163,cpe!$F$2:$F$307,0)),INDEX(cpe!$C$2:$C$307,MATCH($AR163,cpe!$D$2:$D$307,0))),"#N/D")</f>
        <v>#N/D</v>
      </c>
      <c r="I163" s="25" t="str">
        <f>IFERROR(IF($AQ163,INDEX(cpe!$B$2:$B$307,MATCH($AR163,cpe!$F$2:$F$307,0)),INDEX(cpe!$B$2:$B$307,MATCH($AR163,cpe!$D$2:$D$307,0))),"#N/D")</f>
        <v>#N/D</v>
      </c>
      <c r="J163" s="26" t="str">
        <f>IF($AQ163,"#N/D",IFERROR(INDEX(Olimpiadas!$B$2:$B$61,MATCH($AO163,Olimpiadas!$C$2:$C$61,0)),"#N/D"))</f>
        <v>#N/D</v>
      </c>
      <c r="K163" s="26" t="str">
        <f>IF($AQ163,"#N/D",IFERROR(INDEX(Olimpiadas!$A$2:$A$61,MATCH($AO163,Olimpiadas!$C$2:$C$61,0)),"#N/D"))</f>
        <v>#N/D</v>
      </c>
      <c r="L163" s="26" t="str">
        <f>IF($AQ163,"#N/D",IFERROR(INDEX(Minculturas!$A$2:$A$48,MATCH($AO163,Minculturas!$C$2:$C$48,0)),"#N/D"))</f>
        <v>#N/D</v>
      </c>
      <c r="M163" s="26" t="str">
        <f>IF($AQ163,"#N/D",IFERROR(INDEX(Minculturas!$B$2:$B$48,MATCH($AO163,Minculturas!$C$2:$C$48,0)),"#N/D"))</f>
        <v>#N/D</v>
      </c>
      <c r="N163" s="27">
        <v>1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1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7">
        <f t="shared" si="37"/>
        <v>1</v>
      </c>
      <c r="AH163" s="28"/>
      <c r="AI163" s="28"/>
      <c r="AJ163" s="28">
        <v>39.299999999999997</v>
      </c>
      <c r="AK163" s="28"/>
      <c r="AL163" s="28"/>
      <c r="AM163" s="29" t="s">
        <v>114</v>
      </c>
      <c r="AO163" t="str">
        <f t="shared" si="38"/>
        <v>falan</v>
      </c>
      <c r="AP163" t="str">
        <f t="shared" si="39"/>
        <v>tolima</v>
      </c>
      <c r="AQ163" t="b">
        <f t="shared" si="40"/>
        <v>0</v>
      </c>
      <c r="AR163" t="str">
        <f t="shared" si="41"/>
        <v>falan</v>
      </c>
      <c r="AS163" s="30">
        <f t="shared" si="42"/>
        <v>0</v>
      </c>
      <c r="AT163" s="30">
        <f t="shared" si="43"/>
        <v>1</v>
      </c>
      <c r="AU163" s="30">
        <f t="shared" si="44"/>
        <v>3</v>
      </c>
      <c r="AV163" s="30">
        <f t="shared" si="45"/>
        <v>3</v>
      </c>
      <c r="AZ163" s="31">
        <f t="shared" si="46"/>
        <v>3</v>
      </c>
      <c r="BA163" s="31">
        <f t="shared" si="47"/>
        <v>6</v>
      </c>
      <c r="BB163" s="32">
        <f>IFERROR(INDEX('Análisis general'!$E$4:$E$28,MATCH($B163,'Análisis general'!$B$4:$B$28,0)),"")</f>
        <v>12.2</v>
      </c>
      <c r="BC163" s="31">
        <f t="shared" si="48"/>
        <v>3</v>
      </c>
      <c r="BD163" s="32">
        <f t="shared" si="49"/>
        <v>6.4285714285714279</v>
      </c>
      <c r="BE163" s="32">
        <f t="shared" si="50"/>
        <v>9</v>
      </c>
    </row>
    <row r="164" spans="1:57" ht="25.5" customHeight="1" x14ac:dyDescent="0.25">
      <c r="A164" s="33" t="s">
        <v>554</v>
      </c>
      <c r="B164" s="11" t="s">
        <v>37</v>
      </c>
      <c r="C164" s="34" t="s">
        <v>112</v>
      </c>
      <c r="D164" s="24">
        <f t="shared" si="34"/>
        <v>6</v>
      </c>
      <c r="E164" s="59">
        <f t="shared" si="35"/>
        <v>6.4285714285714279</v>
      </c>
      <c r="F164" s="59">
        <f t="shared" si="36"/>
        <v>9</v>
      </c>
      <c r="G164" s="11" t="s">
        <v>555</v>
      </c>
      <c r="H164" s="25" t="str">
        <f>IFERROR(IF($AQ164,INDEX(cpe!$C$2:$C$307,MATCH($AR164,cpe!$F$2:$F$307,0)),INDEX(cpe!$C$2:$C$307,MATCH($AR164,cpe!$D$2:$D$307,0))),"#N/D")</f>
        <v>#N/D</v>
      </c>
      <c r="I164" s="25" t="str">
        <f>IFERROR(IF($AQ164,INDEX(cpe!$B$2:$B$307,MATCH($AR164,cpe!$F$2:$F$307,0)),INDEX(cpe!$B$2:$B$307,MATCH($AR164,cpe!$D$2:$D$307,0))),"#N/D")</f>
        <v>#N/D</v>
      </c>
      <c r="J164" s="26" t="str">
        <f>IF($AQ164,"#N/D",IFERROR(INDEX(Olimpiadas!$B$2:$B$61,MATCH($AO164,Olimpiadas!$C$2:$C$61,0)),"#N/D"))</f>
        <v>#N/D</v>
      </c>
      <c r="K164" s="26" t="str">
        <f>IF($AQ164,"#N/D",IFERROR(INDEX(Olimpiadas!$A$2:$A$61,MATCH($AO164,Olimpiadas!$C$2:$C$61,0)),"#N/D"))</f>
        <v>#N/D</v>
      </c>
      <c r="L164" s="26" t="str">
        <f>IF($AQ164,"#N/D",IFERROR(INDEX(Minculturas!$A$2:$A$48,MATCH($AO164,Minculturas!$C$2:$C$48,0)),"#N/D"))</f>
        <v>#N/D</v>
      </c>
      <c r="M164" s="26" t="str">
        <f>IF($AQ164,"#N/D",IFERROR(INDEX(Minculturas!$B$2:$B$48,MATCH($AO164,Minculturas!$C$2:$C$48,0)),"#N/D"))</f>
        <v>#N/D</v>
      </c>
      <c r="N164" s="27">
        <v>1</v>
      </c>
      <c r="O164" s="28">
        <v>0</v>
      </c>
      <c r="P164" s="28">
        <v>1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7">
        <f t="shared" si="37"/>
        <v>1</v>
      </c>
      <c r="AH164" s="28"/>
      <c r="AI164" s="28"/>
      <c r="AJ164" s="28">
        <v>36.9</v>
      </c>
      <c r="AK164" s="28"/>
      <c r="AL164" s="28"/>
      <c r="AM164" s="29" t="s">
        <v>114</v>
      </c>
      <c r="AO164" t="str">
        <f t="shared" si="38"/>
        <v>gigante</v>
      </c>
      <c r="AP164" t="str">
        <f t="shared" si="39"/>
        <v>huila</v>
      </c>
      <c r="AQ164" t="b">
        <f t="shared" si="40"/>
        <v>0</v>
      </c>
      <c r="AR164" t="str">
        <f t="shared" si="41"/>
        <v>gigante</v>
      </c>
      <c r="AS164" s="30">
        <f t="shared" si="42"/>
        <v>0</v>
      </c>
      <c r="AT164" s="30">
        <f t="shared" si="43"/>
        <v>1</v>
      </c>
      <c r="AU164" s="30">
        <f t="shared" si="44"/>
        <v>3</v>
      </c>
      <c r="AV164" s="30">
        <f t="shared" si="45"/>
        <v>3</v>
      </c>
      <c r="AZ164" s="31">
        <f t="shared" si="46"/>
        <v>3</v>
      </c>
      <c r="BA164" s="31">
        <f t="shared" si="47"/>
        <v>6</v>
      </c>
      <c r="BB164" s="32">
        <f>IFERROR(INDEX('Análisis general'!$E$4:$E$28,MATCH($B164,'Análisis general'!$B$4:$B$28,0)),"")</f>
        <v>9.6999999999999993</v>
      </c>
      <c r="BC164" s="31">
        <f t="shared" si="48"/>
        <v>3</v>
      </c>
      <c r="BD164" s="32">
        <f t="shared" si="49"/>
        <v>6.4285714285714279</v>
      </c>
      <c r="BE164" s="32">
        <f t="shared" si="50"/>
        <v>9</v>
      </c>
    </row>
    <row r="165" spans="1:57" ht="25.5" customHeight="1" x14ac:dyDescent="0.25">
      <c r="A165" s="33" t="s">
        <v>556</v>
      </c>
      <c r="B165" s="11" t="s">
        <v>37</v>
      </c>
      <c r="C165" s="34" t="s">
        <v>112</v>
      </c>
      <c r="D165" s="24">
        <f t="shared" si="34"/>
        <v>6</v>
      </c>
      <c r="E165" s="59">
        <f t="shared" si="35"/>
        <v>6.4285714285714279</v>
      </c>
      <c r="F165" s="59">
        <f t="shared" si="36"/>
        <v>9</v>
      </c>
      <c r="G165" s="11" t="s">
        <v>557</v>
      </c>
      <c r="H165" s="25" t="str">
        <f>IFERROR(IF($AQ165,INDEX(cpe!$C$2:$C$307,MATCH($AR165,cpe!$F$2:$F$307,0)),INDEX(cpe!$C$2:$C$307,MATCH($AR165,cpe!$D$2:$D$307,0))),"#N/D")</f>
        <v>#N/D</v>
      </c>
      <c r="I165" s="25" t="str">
        <f>IFERROR(IF($AQ165,INDEX(cpe!$B$2:$B$307,MATCH($AR165,cpe!$F$2:$F$307,0)),INDEX(cpe!$B$2:$B$307,MATCH($AR165,cpe!$D$2:$D$307,0))),"#N/D")</f>
        <v>#N/D</v>
      </c>
      <c r="J165" s="26" t="str">
        <f>IF($AQ165,"#N/D",IFERROR(INDEX(Olimpiadas!$B$2:$B$61,MATCH($AO165,Olimpiadas!$C$2:$C$61,0)),"#N/D"))</f>
        <v>#N/D</v>
      </c>
      <c r="K165" s="26" t="str">
        <f>IF($AQ165,"#N/D",IFERROR(INDEX(Olimpiadas!$A$2:$A$61,MATCH($AO165,Olimpiadas!$C$2:$C$61,0)),"#N/D"))</f>
        <v>#N/D</v>
      </c>
      <c r="L165" s="26" t="str">
        <f>IF($AQ165,"#N/D",IFERROR(INDEX(Minculturas!$A$2:$A$48,MATCH($AO165,Minculturas!$C$2:$C$48,0)),"#N/D"))</f>
        <v>#N/D</v>
      </c>
      <c r="M165" s="26" t="str">
        <f>IF($AQ165,"#N/D",IFERROR(INDEX(Minculturas!$B$2:$B$48,MATCH($AO165,Minculturas!$C$2:$C$48,0)),"#N/D"))</f>
        <v>#N/D</v>
      </c>
      <c r="N165" s="27">
        <v>1</v>
      </c>
      <c r="O165" s="28">
        <v>0</v>
      </c>
      <c r="P165" s="28">
        <v>0</v>
      </c>
      <c r="Q165" s="28">
        <v>0</v>
      </c>
      <c r="R165" s="28">
        <v>0</v>
      </c>
      <c r="S165" s="28">
        <v>1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7">
        <f t="shared" si="37"/>
        <v>1</v>
      </c>
      <c r="AH165" s="28"/>
      <c r="AI165" s="28"/>
      <c r="AJ165" s="28">
        <v>38.799999999999997</v>
      </c>
      <c r="AK165" s="28"/>
      <c r="AL165" s="28"/>
      <c r="AM165" s="29" t="s">
        <v>114</v>
      </c>
      <c r="AO165" t="str">
        <f t="shared" si="38"/>
        <v>hobo</v>
      </c>
      <c r="AP165" t="str">
        <f t="shared" si="39"/>
        <v>huila</v>
      </c>
      <c r="AQ165" t="b">
        <f t="shared" si="40"/>
        <v>0</v>
      </c>
      <c r="AR165" t="str">
        <f t="shared" si="41"/>
        <v>hobo</v>
      </c>
      <c r="AS165" s="30">
        <f t="shared" si="42"/>
        <v>0</v>
      </c>
      <c r="AT165" s="30">
        <f t="shared" si="43"/>
        <v>1</v>
      </c>
      <c r="AU165" s="30">
        <f t="shared" si="44"/>
        <v>3</v>
      </c>
      <c r="AV165" s="30">
        <f t="shared" si="45"/>
        <v>3</v>
      </c>
      <c r="AZ165" s="31">
        <f t="shared" si="46"/>
        <v>3</v>
      </c>
      <c r="BA165" s="31">
        <f t="shared" si="47"/>
        <v>6</v>
      </c>
      <c r="BB165" s="32">
        <f>IFERROR(INDEX('Análisis general'!$E$4:$E$28,MATCH($B165,'Análisis general'!$B$4:$B$28,0)),"")</f>
        <v>9.6999999999999993</v>
      </c>
      <c r="BC165" s="31">
        <f t="shared" si="48"/>
        <v>3</v>
      </c>
      <c r="BD165" s="32">
        <f t="shared" si="49"/>
        <v>6.4285714285714279</v>
      </c>
      <c r="BE165" s="32">
        <f t="shared" si="50"/>
        <v>9</v>
      </c>
    </row>
    <row r="166" spans="1:57" ht="25.5" customHeight="1" x14ac:dyDescent="0.25">
      <c r="A166" s="33" t="s">
        <v>558</v>
      </c>
      <c r="B166" s="11" t="s">
        <v>48</v>
      </c>
      <c r="C166" s="34" t="s">
        <v>112</v>
      </c>
      <c r="D166" s="24">
        <f t="shared" si="34"/>
        <v>6</v>
      </c>
      <c r="E166" s="59">
        <f t="shared" si="35"/>
        <v>6.4285714285714279</v>
      </c>
      <c r="F166" s="59">
        <f t="shared" si="36"/>
        <v>9</v>
      </c>
      <c r="G166" s="11" t="s">
        <v>559</v>
      </c>
      <c r="H166" s="25" t="str">
        <f>IFERROR(IF($AQ166,INDEX(cpe!$C$2:$C$307,MATCH($AR166,cpe!$F$2:$F$307,0)),INDEX(cpe!$C$2:$C$307,MATCH($AR166,cpe!$D$2:$D$307,0))),"#N/D")</f>
        <v>#N/D</v>
      </c>
      <c r="I166" s="25" t="str">
        <f>IFERROR(IF($AQ166,INDEX(cpe!$B$2:$B$307,MATCH($AR166,cpe!$F$2:$F$307,0)),INDEX(cpe!$B$2:$B$307,MATCH($AR166,cpe!$D$2:$D$307,0))),"#N/D")</f>
        <v>#N/D</v>
      </c>
      <c r="J166" s="26" t="str">
        <f>IF($AQ166,"#N/D",IFERROR(INDEX(Olimpiadas!$B$2:$B$61,MATCH($AO166,Olimpiadas!$C$2:$C$61,0)),"#N/D"))</f>
        <v>#N/D</v>
      </c>
      <c r="K166" s="26" t="str">
        <f>IF($AQ166,"#N/D",IFERROR(INDEX(Olimpiadas!$A$2:$A$61,MATCH($AO166,Olimpiadas!$C$2:$C$61,0)),"#N/D"))</f>
        <v>#N/D</v>
      </c>
      <c r="L166" s="26" t="str">
        <f>IF($AQ166,"#N/D",IFERROR(INDEX(Minculturas!$A$2:$A$48,MATCH($AO166,Minculturas!$C$2:$C$48,0)),"#N/D"))</f>
        <v>#N/D</v>
      </c>
      <c r="M166" s="26" t="str">
        <f>IF($AQ166,"#N/D",IFERROR(INDEX(Minculturas!$B$2:$B$48,MATCH($AO166,Minculturas!$C$2:$C$48,0)),"#N/D"))</f>
        <v>#N/D</v>
      </c>
      <c r="N166" s="27">
        <v>4</v>
      </c>
      <c r="O166" s="28">
        <v>0</v>
      </c>
      <c r="P166" s="28">
        <v>0</v>
      </c>
      <c r="Q166" s="28">
        <v>0</v>
      </c>
      <c r="R166" s="28">
        <v>1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3</v>
      </c>
      <c r="AC166" s="28">
        <v>0</v>
      </c>
      <c r="AD166" s="28">
        <v>0</v>
      </c>
      <c r="AE166" s="28">
        <v>0</v>
      </c>
      <c r="AF166" s="28">
        <v>0</v>
      </c>
      <c r="AG166" s="27">
        <f t="shared" si="37"/>
        <v>1</v>
      </c>
      <c r="AH166" s="28"/>
      <c r="AI166" s="28"/>
      <c r="AJ166" s="28">
        <v>25.8</v>
      </c>
      <c r="AK166" s="28"/>
      <c r="AL166" s="28"/>
      <c r="AM166" s="29" t="s">
        <v>114</v>
      </c>
      <c r="AO166" t="str">
        <f t="shared" si="38"/>
        <v>honda</v>
      </c>
      <c r="AP166" t="str">
        <f t="shared" si="39"/>
        <v>tolima</v>
      </c>
      <c r="AQ166" t="b">
        <f t="shared" si="40"/>
        <v>0</v>
      </c>
      <c r="AR166" t="str">
        <f t="shared" si="41"/>
        <v>honda</v>
      </c>
      <c r="AS166" s="30">
        <f t="shared" si="42"/>
        <v>0</v>
      </c>
      <c r="AT166" s="30">
        <f t="shared" si="43"/>
        <v>1</v>
      </c>
      <c r="AU166" s="30">
        <f t="shared" si="44"/>
        <v>3</v>
      </c>
      <c r="AV166" s="30">
        <f t="shared" si="45"/>
        <v>3</v>
      </c>
      <c r="AZ166" s="31">
        <f t="shared" si="46"/>
        <v>3</v>
      </c>
      <c r="BA166" s="31">
        <f t="shared" si="47"/>
        <v>6</v>
      </c>
      <c r="BB166" s="32">
        <f>IFERROR(INDEX('Análisis general'!$E$4:$E$28,MATCH($B166,'Análisis general'!$B$4:$B$28,0)),"")</f>
        <v>12.2</v>
      </c>
      <c r="BC166" s="31">
        <f t="shared" si="48"/>
        <v>3</v>
      </c>
      <c r="BD166" s="32">
        <f t="shared" si="49"/>
        <v>6.4285714285714279</v>
      </c>
      <c r="BE166" s="32">
        <f t="shared" si="50"/>
        <v>9</v>
      </c>
    </row>
    <row r="167" spans="1:57" ht="25.5" customHeight="1" x14ac:dyDescent="0.25">
      <c r="A167" s="33" t="s">
        <v>560</v>
      </c>
      <c r="B167" s="11" t="s">
        <v>48</v>
      </c>
      <c r="C167" s="34" t="s">
        <v>112</v>
      </c>
      <c r="D167" s="24">
        <f t="shared" si="34"/>
        <v>6</v>
      </c>
      <c r="E167" s="59">
        <f t="shared" si="35"/>
        <v>6.4285714285714279</v>
      </c>
      <c r="F167" s="59">
        <f t="shared" si="36"/>
        <v>9</v>
      </c>
      <c r="G167" s="11" t="s">
        <v>561</v>
      </c>
      <c r="H167" s="25" t="str">
        <f>IFERROR(IF($AQ167,INDEX(cpe!$C$2:$C$307,MATCH($AR167,cpe!$F$2:$F$307,0)),INDEX(cpe!$C$2:$C$307,MATCH($AR167,cpe!$D$2:$D$307,0))),"#N/D")</f>
        <v>#N/D</v>
      </c>
      <c r="I167" s="25" t="str">
        <f>IFERROR(IF($AQ167,INDEX(cpe!$B$2:$B$307,MATCH($AR167,cpe!$F$2:$F$307,0)),INDEX(cpe!$B$2:$B$307,MATCH($AR167,cpe!$D$2:$D$307,0))),"#N/D")</f>
        <v>#N/D</v>
      </c>
      <c r="J167" s="26" t="str">
        <f>IF($AQ167,"#N/D",IFERROR(INDEX(Olimpiadas!$B$2:$B$61,MATCH($AO167,Olimpiadas!$C$2:$C$61,0)),"#N/D"))</f>
        <v>#N/D</v>
      </c>
      <c r="K167" s="26" t="str">
        <f>IF($AQ167,"#N/D",IFERROR(INDEX(Olimpiadas!$A$2:$A$61,MATCH($AO167,Olimpiadas!$C$2:$C$61,0)),"#N/D"))</f>
        <v>#N/D</v>
      </c>
      <c r="L167" s="26" t="str">
        <f>IF($AQ167,"#N/D",IFERROR(INDEX(Minculturas!$A$2:$A$48,MATCH($AO167,Minculturas!$C$2:$C$48,0)),"#N/D"))</f>
        <v>#N/D</v>
      </c>
      <c r="M167" s="26" t="str">
        <f>IF($AQ167,"#N/D",IFERROR(INDEX(Minculturas!$B$2:$B$48,MATCH($AO167,Minculturas!$C$2:$C$48,0)),"#N/D"))</f>
        <v>#N/D</v>
      </c>
      <c r="N167" s="27">
        <v>1</v>
      </c>
      <c r="O167" s="28">
        <v>0</v>
      </c>
      <c r="P167" s="28">
        <v>1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7">
        <f t="shared" si="37"/>
        <v>1</v>
      </c>
      <c r="AH167" s="28"/>
      <c r="AI167" s="28"/>
      <c r="AJ167" s="28">
        <v>28.1</v>
      </c>
      <c r="AK167" s="28"/>
      <c r="AL167" s="28"/>
      <c r="AM167" s="29" t="s">
        <v>114</v>
      </c>
      <c r="AO167" t="str">
        <f t="shared" si="38"/>
        <v>lerida</v>
      </c>
      <c r="AP167" t="str">
        <f t="shared" si="39"/>
        <v>tolima</v>
      </c>
      <c r="AQ167" t="b">
        <f t="shared" si="40"/>
        <v>0</v>
      </c>
      <c r="AR167" t="str">
        <f t="shared" si="41"/>
        <v>lerida</v>
      </c>
      <c r="AS167" s="30">
        <f t="shared" si="42"/>
        <v>0</v>
      </c>
      <c r="AT167" s="30">
        <f t="shared" si="43"/>
        <v>1</v>
      </c>
      <c r="AU167" s="30">
        <f t="shared" si="44"/>
        <v>3</v>
      </c>
      <c r="AV167" s="30">
        <f t="shared" si="45"/>
        <v>3</v>
      </c>
      <c r="AZ167" s="31">
        <f t="shared" si="46"/>
        <v>3</v>
      </c>
      <c r="BA167" s="31">
        <f t="shared" si="47"/>
        <v>6</v>
      </c>
      <c r="BB167" s="32">
        <f>IFERROR(INDEX('Análisis general'!$E$4:$E$28,MATCH($B167,'Análisis general'!$B$4:$B$28,0)),"")</f>
        <v>12.2</v>
      </c>
      <c r="BC167" s="31">
        <f t="shared" si="48"/>
        <v>3</v>
      </c>
      <c r="BD167" s="32">
        <f t="shared" si="49"/>
        <v>6.4285714285714279</v>
      </c>
      <c r="BE167" s="32">
        <f t="shared" si="50"/>
        <v>9</v>
      </c>
    </row>
    <row r="168" spans="1:57" ht="25.5" customHeight="1" x14ac:dyDescent="0.25">
      <c r="A168" s="33" t="s">
        <v>562</v>
      </c>
      <c r="B168" s="11" t="s">
        <v>48</v>
      </c>
      <c r="C168" s="34" t="s">
        <v>112</v>
      </c>
      <c r="D168" s="24">
        <f t="shared" si="34"/>
        <v>6</v>
      </c>
      <c r="E168" s="59">
        <f t="shared" si="35"/>
        <v>6.4285714285714279</v>
      </c>
      <c r="F168" s="59">
        <f t="shared" si="36"/>
        <v>9</v>
      </c>
      <c r="G168" s="11" t="s">
        <v>563</v>
      </c>
      <c r="H168" s="25" t="str">
        <f>IFERROR(IF($AQ168,INDEX(cpe!$C$2:$C$307,MATCH($AR168,cpe!$F$2:$F$307,0)),INDEX(cpe!$C$2:$C$307,MATCH($AR168,cpe!$D$2:$D$307,0))),"#N/D")</f>
        <v>#N/D</v>
      </c>
      <c r="I168" s="25" t="str">
        <f>IFERROR(IF($AQ168,INDEX(cpe!$B$2:$B$307,MATCH($AR168,cpe!$F$2:$F$307,0)),INDEX(cpe!$B$2:$B$307,MATCH($AR168,cpe!$D$2:$D$307,0))),"#N/D")</f>
        <v>#N/D</v>
      </c>
      <c r="J168" s="26" t="str">
        <f>IF($AQ168,"#N/D",IFERROR(INDEX(Olimpiadas!$B$2:$B$61,MATCH($AO168,Olimpiadas!$C$2:$C$61,0)),"#N/D"))</f>
        <v>#N/D</v>
      </c>
      <c r="K168" s="26" t="str">
        <f>IF($AQ168,"#N/D",IFERROR(INDEX(Olimpiadas!$A$2:$A$61,MATCH($AO168,Olimpiadas!$C$2:$C$61,0)),"#N/D"))</f>
        <v>#N/D</v>
      </c>
      <c r="L168" s="26" t="str">
        <f>IF($AQ168,"#N/D",IFERROR(INDEX(Minculturas!$A$2:$A$48,MATCH($AO168,Minculturas!$C$2:$C$48,0)),"#N/D"))</f>
        <v>#N/D</v>
      </c>
      <c r="M168" s="26" t="str">
        <f>IF($AQ168,"#N/D",IFERROR(INDEX(Minculturas!$B$2:$B$48,MATCH($AO168,Minculturas!$C$2:$C$48,0)),"#N/D"))</f>
        <v>#N/D</v>
      </c>
      <c r="N168" s="27">
        <v>1</v>
      </c>
      <c r="O168" s="28">
        <v>0</v>
      </c>
      <c r="P168" s="28">
        <v>1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7">
        <f t="shared" si="37"/>
        <v>1</v>
      </c>
      <c r="AH168" s="28"/>
      <c r="AI168" s="28"/>
      <c r="AJ168" s="28">
        <v>27.1</v>
      </c>
      <c r="AK168" s="28"/>
      <c r="AL168" s="28"/>
      <c r="AM168" s="29" t="s">
        <v>114</v>
      </c>
      <c r="AO168" t="str">
        <f t="shared" si="38"/>
        <v>mariquita</v>
      </c>
      <c r="AP168" t="str">
        <f t="shared" si="39"/>
        <v>tolima</v>
      </c>
      <c r="AQ168" t="b">
        <f t="shared" si="40"/>
        <v>0</v>
      </c>
      <c r="AR168" t="str">
        <f t="shared" si="41"/>
        <v>mariquita</v>
      </c>
      <c r="AS168" s="30">
        <f t="shared" si="42"/>
        <v>0</v>
      </c>
      <c r="AT168" s="30">
        <f t="shared" si="43"/>
        <v>1</v>
      </c>
      <c r="AU168" s="30">
        <f t="shared" si="44"/>
        <v>3</v>
      </c>
      <c r="AV168" s="30">
        <f t="shared" si="45"/>
        <v>3</v>
      </c>
      <c r="AZ168" s="31">
        <f t="shared" si="46"/>
        <v>3</v>
      </c>
      <c r="BA168" s="31">
        <f t="shared" si="47"/>
        <v>6</v>
      </c>
      <c r="BB168" s="32">
        <f>IFERROR(INDEX('Análisis general'!$E$4:$E$28,MATCH($B168,'Análisis general'!$B$4:$B$28,0)),"")</f>
        <v>12.2</v>
      </c>
      <c r="BC168" s="31">
        <f t="shared" si="48"/>
        <v>3</v>
      </c>
      <c r="BD168" s="32">
        <f t="shared" si="49"/>
        <v>6.4285714285714279</v>
      </c>
      <c r="BE168" s="32">
        <f t="shared" si="50"/>
        <v>9</v>
      </c>
    </row>
    <row r="169" spans="1:57" ht="25.5" customHeight="1" x14ac:dyDescent="0.25">
      <c r="A169" s="33" t="s">
        <v>564</v>
      </c>
      <c r="B169" s="11" t="s">
        <v>48</v>
      </c>
      <c r="C169" s="34" t="s">
        <v>112</v>
      </c>
      <c r="D169" s="24">
        <f t="shared" si="34"/>
        <v>6</v>
      </c>
      <c r="E169" s="59">
        <f t="shared" si="35"/>
        <v>6.4285714285714279</v>
      </c>
      <c r="F169" s="59">
        <f t="shared" si="36"/>
        <v>9</v>
      </c>
      <c r="G169" s="11" t="s">
        <v>565</v>
      </c>
      <c r="H169" s="25" t="str">
        <f>IFERROR(IF($AQ169,INDEX(cpe!$C$2:$C$307,MATCH($AR169,cpe!$F$2:$F$307,0)),INDEX(cpe!$C$2:$C$307,MATCH($AR169,cpe!$D$2:$D$307,0))),"#N/D")</f>
        <v>#N/D</v>
      </c>
      <c r="I169" s="25" t="str">
        <f>IFERROR(IF($AQ169,INDEX(cpe!$B$2:$B$307,MATCH($AR169,cpe!$F$2:$F$307,0)),INDEX(cpe!$B$2:$B$307,MATCH($AR169,cpe!$D$2:$D$307,0))),"#N/D")</f>
        <v>#N/D</v>
      </c>
      <c r="J169" s="26" t="str">
        <f>IF($AQ169,"#N/D",IFERROR(INDEX(Olimpiadas!$B$2:$B$61,MATCH($AO169,Olimpiadas!$C$2:$C$61,0)),"#N/D"))</f>
        <v>#N/D</v>
      </c>
      <c r="K169" s="26" t="str">
        <f>IF($AQ169,"#N/D",IFERROR(INDEX(Olimpiadas!$A$2:$A$61,MATCH($AO169,Olimpiadas!$C$2:$C$61,0)),"#N/D"))</f>
        <v>#N/D</v>
      </c>
      <c r="L169" s="26" t="str">
        <f>IF($AQ169,"#N/D",IFERROR(INDEX(Minculturas!$A$2:$A$48,MATCH($AO169,Minculturas!$C$2:$C$48,0)),"#N/D"))</f>
        <v>#N/D</v>
      </c>
      <c r="M169" s="26" t="str">
        <f>IF($AQ169,"#N/D",IFERROR(INDEX(Minculturas!$B$2:$B$48,MATCH($AO169,Minculturas!$C$2:$C$48,0)),"#N/D"))</f>
        <v>#N/D</v>
      </c>
      <c r="N169" s="27">
        <v>1</v>
      </c>
      <c r="O169" s="28">
        <v>0</v>
      </c>
      <c r="P169" s="28">
        <v>1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7">
        <f t="shared" si="37"/>
        <v>1</v>
      </c>
      <c r="AH169" s="28"/>
      <c r="AI169" s="28"/>
      <c r="AJ169" s="28">
        <v>50.4</v>
      </c>
      <c r="AK169" s="28"/>
      <c r="AL169" s="28"/>
      <c r="AM169" s="29" t="s">
        <v>114</v>
      </c>
      <c r="AO169" t="str">
        <f t="shared" si="38"/>
        <v>murillo</v>
      </c>
      <c r="AP169" t="str">
        <f t="shared" si="39"/>
        <v>tolima</v>
      </c>
      <c r="AQ169" t="b">
        <f t="shared" si="40"/>
        <v>0</v>
      </c>
      <c r="AR169" t="str">
        <f t="shared" si="41"/>
        <v>murillo</v>
      </c>
      <c r="AS169" s="30">
        <f t="shared" si="42"/>
        <v>0</v>
      </c>
      <c r="AT169" s="30">
        <f t="shared" si="43"/>
        <v>1</v>
      </c>
      <c r="AU169" s="30">
        <f t="shared" si="44"/>
        <v>3</v>
      </c>
      <c r="AV169" s="30">
        <f t="shared" si="45"/>
        <v>3</v>
      </c>
      <c r="AZ169" s="31">
        <f t="shared" si="46"/>
        <v>3</v>
      </c>
      <c r="BA169" s="31">
        <f t="shared" si="47"/>
        <v>6</v>
      </c>
      <c r="BB169" s="32">
        <f>IFERROR(INDEX('Análisis general'!$E$4:$E$28,MATCH($B169,'Análisis general'!$B$4:$B$28,0)),"")</f>
        <v>12.2</v>
      </c>
      <c r="BC169" s="31">
        <f t="shared" si="48"/>
        <v>3</v>
      </c>
      <c r="BD169" s="32">
        <f t="shared" si="49"/>
        <v>6.4285714285714279</v>
      </c>
      <c r="BE169" s="32">
        <f t="shared" si="50"/>
        <v>9</v>
      </c>
    </row>
    <row r="170" spans="1:57" ht="25.5" customHeight="1" x14ac:dyDescent="0.25">
      <c r="A170" s="33" t="s">
        <v>566</v>
      </c>
      <c r="B170" s="11" t="s">
        <v>37</v>
      </c>
      <c r="C170" s="34" t="s">
        <v>112</v>
      </c>
      <c r="D170" s="24">
        <f t="shared" si="34"/>
        <v>6</v>
      </c>
      <c r="E170" s="59">
        <f t="shared" si="35"/>
        <v>6.4285714285714279</v>
      </c>
      <c r="F170" s="59">
        <f t="shared" si="36"/>
        <v>9</v>
      </c>
      <c r="G170" s="11" t="s">
        <v>567</v>
      </c>
      <c r="H170" s="25" t="str">
        <f>IFERROR(IF($AQ170,INDEX(cpe!$C$2:$C$307,MATCH($AR170,cpe!$F$2:$F$307,0)),INDEX(cpe!$C$2:$C$307,MATCH($AR170,cpe!$D$2:$D$307,0))),"#N/D")</f>
        <v>#N/D</v>
      </c>
      <c r="I170" s="25" t="str">
        <f>IFERROR(IF($AQ170,INDEX(cpe!$B$2:$B$307,MATCH($AR170,cpe!$F$2:$F$307,0)),INDEX(cpe!$B$2:$B$307,MATCH($AR170,cpe!$D$2:$D$307,0))),"#N/D")</f>
        <v>#N/D</v>
      </c>
      <c r="J170" s="26" t="str">
        <f>IF($AQ170,"#N/D",IFERROR(INDEX(Olimpiadas!$B$2:$B$61,MATCH($AO170,Olimpiadas!$C$2:$C$61,0)),"#N/D"))</f>
        <v>#N/D</v>
      </c>
      <c r="K170" s="26" t="str">
        <f>IF($AQ170,"#N/D",IFERROR(INDEX(Olimpiadas!$A$2:$A$61,MATCH($AO170,Olimpiadas!$C$2:$C$61,0)),"#N/D"))</f>
        <v>#N/D</v>
      </c>
      <c r="L170" s="26" t="str">
        <f>IF($AQ170,"#N/D",IFERROR(INDEX(Minculturas!$A$2:$A$48,MATCH($AO170,Minculturas!$C$2:$C$48,0)),"#N/D"))</f>
        <v>#N/D</v>
      </c>
      <c r="M170" s="26" t="str">
        <f>IF($AQ170,"#N/D",IFERROR(INDEX(Minculturas!$B$2:$B$48,MATCH($AO170,Minculturas!$C$2:$C$48,0)),"#N/D"))</f>
        <v>#N/D</v>
      </c>
      <c r="N170" s="27">
        <v>1</v>
      </c>
      <c r="O170" s="28">
        <v>0</v>
      </c>
      <c r="P170" s="28">
        <v>0</v>
      </c>
      <c r="Q170" s="28">
        <v>1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7">
        <f t="shared" si="37"/>
        <v>1</v>
      </c>
      <c r="AH170" s="28"/>
      <c r="AI170" s="28"/>
      <c r="AJ170" s="28">
        <v>39.1</v>
      </c>
      <c r="AK170" s="28"/>
      <c r="AL170" s="28"/>
      <c r="AM170" s="29" t="s">
        <v>114</v>
      </c>
      <c r="AO170" t="str">
        <f t="shared" si="38"/>
        <v>paicol</v>
      </c>
      <c r="AP170" t="str">
        <f t="shared" si="39"/>
        <v>huila</v>
      </c>
      <c r="AQ170" t="b">
        <f t="shared" si="40"/>
        <v>0</v>
      </c>
      <c r="AR170" t="str">
        <f t="shared" si="41"/>
        <v>paicol</v>
      </c>
      <c r="AS170" s="30">
        <f t="shared" si="42"/>
        <v>0</v>
      </c>
      <c r="AT170" s="30">
        <f t="shared" si="43"/>
        <v>1</v>
      </c>
      <c r="AU170" s="30">
        <f t="shared" si="44"/>
        <v>3</v>
      </c>
      <c r="AV170" s="30">
        <f t="shared" si="45"/>
        <v>3</v>
      </c>
      <c r="AZ170" s="31">
        <f t="shared" si="46"/>
        <v>3</v>
      </c>
      <c r="BA170" s="31">
        <f t="shared" si="47"/>
        <v>6</v>
      </c>
      <c r="BB170" s="32">
        <f>IFERROR(INDEX('Análisis general'!$E$4:$E$28,MATCH($B170,'Análisis general'!$B$4:$B$28,0)),"")</f>
        <v>9.6999999999999993</v>
      </c>
      <c r="BC170" s="31">
        <f t="shared" si="48"/>
        <v>3</v>
      </c>
      <c r="BD170" s="32">
        <f t="shared" si="49"/>
        <v>6.4285714285714279</v>
      </c>
      <c r="BE170" s="32">
        <f t="shared" si="50"/>
        <v>9</v>
      </c>
    </row>
    <row r="171" spans="1:57" ht="25.5" customHeight="1" x14ac:dyDescent="0.25">
      <c r="A171" s="33" t="s">
        <v>568</v>
      </c>
      <c r="B171" s="11" t="s">
        <v>48</v>
      </c>
      <c r="C171" s="34" t="s">
        <v>112</v>
      </c>
      <c r="D171" s="24">
        <f t="shared" si="34"/>
        <v>6</v>
      </c>
      <c r="E171" s="59">
        <f t="shared" si="35"/>
        <v>6.4285714285714279</v>
      </c>
      <c r="F171" s="59">
        <f t="shared" si="36"/>
        <v>9</v>
      </c>
      <c r="G171" s="11" t="s">
        <v>569</v>
      </c>
      <c r="H171" s="25" t="s">
        <v>106</v>
      </c>
      <c r="I171" s="25" t="s">
        <v>106</v>
      </c>
      <c r="J171" s="26" t="s">
        <v>106</v>
      </c>
      <c r="K171" s="26" t="str">
        <f>IF($AQ171,"#N/D",IFERROR(INDEX(Olimpiadas!$A$2:$A$61,MATCH($AO171,Olimpiadas!$C$2:$C$61,0)),"#N/D"))</f>
        <v>#N/D</v>
      </c>
      <c r="L171" s="26" t="str">
        <f>IF($AQ171,"#N/D",IFERROR(INDEX(Minculturas!$A$2:$A$48,MATCH($AO171,Minculturas!$C$2:$C$48,0)),"#N/D"))</f>
        <v>#N/D</v>
      </c>
      <c r="M171" s="26" t="str">
        <f>IF($AQ171,"#N/D",IFERROR(INDEX(Minculturas!$B$2:$B$48,MATCH($AO171,Minculturas!$C$2:$C$48,0)),"#N/D"))</f>
        <v>#N/D</v>
      </c>
      <c r="N171" s="27">
        <v>1</v>
      </c>
      <c r="O171" s="28">
        <v>0</v>
      </c>
      <c r="P171" s="28">
        <v>1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7">
        <f t="shared" si="37"/>
        <v>1</v>
      </c>
      <c r="AH171" s="28"/>
      <c r="AI171" s="28"/>
      <c r="AJ171" s="28">
        <v>27.2</v>
      </c>
      <c r="AK171" s="28"/>
      <c r="AL171" s="28"/>
      <c r="AM171" s="29" t="s">
        <v>114</v>
      </c>
      <c r="AO171" t="str">
        <f t="shared" si="38"/>
        <v>piedras</v>
      </c>
      <c r="AP171" t="str">
        <f t="shared" si="39"/>
        <v>tolima</v>
      </c>
      <c r="AQ171" t="b">
        <f t="shared" si="40"/>
        <v>0</v>
      </c>
      <c r="AR171" t="str">
        <f t="shared" si="41"/>
        <v>piedras</v>
      </c>
      <c r="AS171" s="30">
        <f t="shared" si="42"/>
        <v>0</v>
      </c>
      <c r="AT171" s="30">
        <f t="shared" si="43"/>
        <v>1</v>
      </c>
      <c r="AU171" s="30">
        <f t="shared" si="44"/>
        <v>3</v>
      </c>
      <c r="AV171" s="30">
        <f t="shared" si="45"/>
        <v>3</v>
      </c>
      <c r="AZ171" s="31">
        <f t="shared" si="46"/>
        <v>3</v>
      </c>
      <c r="BA171" s="31">
        <f t="shared" si="47"/>
        <v>6</v>
      </c>
      <c r="BB171" s="32">
        <f>IFERROR(INDEX('Análisis general'!$E$4:$E$28,MATCH($B171,'Análisis general'!$B$4:$B$28,0)),"")</f>
        <v>12.2</v>
      </c>
      <c r="BC171" s="31">
        <f t="shared" si="48"/>
        <v>3</v>
      </c>
      <c r="BD171" s="32">
        <f t="shared" si="49"/>
        <v>6.4285714285714279</v>
      </c>
      <c r="BE171" s="32">
        <f t="shared" si="50"/>
        <v>9</v>
      </c>
    </row>
    <row r="172" spans="1:57" ht="25.5" customHeight="1" x14ac:dyDescent="0.25">
      <c r="A172" s="33" t="s">
        <v>570</v>
      </c>
      <c r="B172" s="11" t="s">
        <v>48</v>
      </c>
      <c r="C172" s="34" t="s">
        <v>112</v>
      </c>
      <c r="D172" s="24">
        <f t="shared" si="34"/>
        <v>6</v>
      </c>
      <c r="E172" s="59">
        <f t="shared" si="35"/>
        <v>6.4285714285714279</v>
      </c>
      <c r="F172" s="59">
        <f t="shared" si="36"/>
        <v>9</v>
      </c>
      <c r="G172" s="11" t="s">
        <v>447</v>
      </c>
      <c r="H172" s="25" t="s">
        <v>106</v>
      </c>
      <c r="I172" s="25" t="s">
        <v>106</v>
      </c>
      <c r="J172" s="26" t="s">
        <v>106</v>
      </c>
      <c r="K172" s="26" t="str">
        <f>IF($AQ172,"#N/D",IFERROR(INDEX(Olimpiadas!$A$2:$A$61,MATCH($AO172,Olimpiadas!$C$2:$C$61,0)),"#N/D"))</f>
        <v>#N/D</v>
      </c>
      <c r="L172" s="26" t="str">
        <f>IF($AQ172,"#N/D",IFERROR(INDEX(Minculturas!$A$2:$A$48,MATCH($AO172,Minculturas!$C$2:$C$48,0)),"#N/D"))</f>
        <v>#N/D</v>
      </c>
      <c r="M172" s="26" t="str">
        <f>IF($AQ172,"#N/D",IFERROR(INDEX(Minculturas!$B$2:$B$48,MATCH($AO172,Minculturas!$C$2:$C$48,0)),"#N/D"))</f>
        <v>#N/D</v>
      </c>
      <c r="N172" s="27">
        <v>1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1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7">
        <f t="shared" si="37"/>
        <v>1</v>
      </c>
      <c r="AH172" s="28"/>
      <c r="AI172" s="28"/>
      <c r="AJ172" s="28">
        <v>34.299999999999997</v>
      </c>
      <c r="AK172" s="28"/>
      <c r="AL172" s="28"/>
      <c r="AM172" s="29" t="s">
        <v>549</v>
      </c>
      <c r="AO172" t="str">
        <f t="shared" si="38"/>
        <v>suarez</v>
      </c>
      <c r="AP172" t="str">
        <f t="shared" si="39"/>
        <v>tolima</v>
      </c>
      <c r="AQ172" t="b">
        <f t="shared" si="40"/>
        <v>1</v>
      </c>
      <c r="AR172" t="str">
        <f t="shared" si="41"/>
        <v>suarez|tolima</v>
      </c>
      <c r="AS172" s="30">
        <f t="shared" si="42"/>
        <v>0</v>
      </c>
      <c r="AT172" s="30">
        <f t="shared" si="43"/>
        <v>1</v>
      </c>
      <c r="AU172" s="30">
        <f t="shared" si="44"/>
        <v>3</v>
      </c>
      <c r="AV172" s="30">
        <f t="shared" si="45"/>
        <v>3</v>
      </c>
      <c r="AZ172" s="31">
        <f t="shared" si="46"/>
        <v>3</v>
      </c>
      <c r="BA172" s="31">
        <f t="shared" si="47"/>
        <v>6</v>
      </c>
      <c r="BB172" s="32">
        <f>IFERROR(INDEX('Análisis general'!$E$4:$E$28,MATCH($B172,'Análisis general'!$B$4:$B$28,0)),"")</f>
        <v>12.2</v>
      </c>
      <c r="BC172" s="31">
        <f t="shared" si="48"/>
        <v>3</v>
      </c>
      <c r="BD172" s="32">
        <f t="shared" si="49"/>
        <v>6.4285714285714279</v>
      </c>
      <c r="BE172" s="32">
        <f t="shared" si="50"/>
        <v>9</v>
      </c>
    </row>
    <row r="173" spans="1:57" ht="25.5" customHeight="1" x14ac:dyDescent="0.25">
      <c r="A173" s="33" t="s">
        <v>571</v>
      </c>
      <c r="B173" s="11" t="s">
        <v>48</v>
      </c>
      <c r="C173" s="34" t="s">
        <v>112</v>
      </c>
      <c r="D173" s="24">
        <f t="shared" si="34"/>
        <v>6</v>
      </c>
      <c r="E173" s="59">
        <f t="shared" si="35"/>
        <v>6.4285714285714279</v>
      </c>
      <c r="F173" s="59">
        <f t="shared" si="36"/>
        <v>9</v>
      </c>
      <c r="G173" s="11" t="s">
        <v>572</v>
      </c>
      <c r="H173" s="25" t="s">
        <v>106</v>
      </c>
      <c r="I173" s="25" t="s">
        <v>106</v>
      </c>
      <c r="J173" s="26" t="s">
        <v>106</v>
      </c>
      <c r="K173" s="26" t="str">
        <f>IF($AQ173,"#N/D",IFERROR(INDEX(Olimpiadas!$A$2:$A$61,MATCH($AO173,Olimpiadas!$C$2:$C$61,0)),"#N/D"))</f>
        <v>#N/D</v>
      </c>
      <c r="L173" s="26" t="str">
        <f>IF($AQ173,"#N/D",IFERROR(INDEX(Minculturas!$A$2:$A$48,MATCH($AO173,Minculturas!$C$2:$C$48,0)),"#N/D"))</f>
        <v>#N/D</v>
      </c>
      <c r="M173" s="26" t="str">
        <f>IF($AQ173,"#N/D",IFERROR(INDEX(Minculturas!$B$2:$B$48,MATCH($AO173,Minculturas!$C$2:$C$48,0)),"#N/D"))</f>
        <v>#N/D</v>
      </c>
      <c r="N173" s="27">
        <v>1</v>
      </c>
      <c r="O173" s="28">
        <v>0</v>
      </c>
      <c r="P173" s="28">
        <v>1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7">
        <f t="shared" si="37"/>
        <v>1</v>
      </c>
      <c r="AH173" s="28"/>
      <c r="AI173" s="28"/>
      <c r="AJ173" s="28">
        <v>51.3</v>
      </c>
      <c r="AK173" s="28"/>
      <c r="AL173" s="28"/>
      <c r="AM173" s="29" t="s">
        <v>114</v>
      </c>
      <c r="AO173" t="str">
        <f t="shared" si="38"/>
        <v>villahermosa</v>
      </c>
      <c r="AP173" t="str">
        <f t="shared" si="39"/>
        <v>tolima</v>
      </c>
      <c r="AQ173" t="b">
        <f t="shared" si="40"/>
        <v>0</v>
      </c>
      <c r="AR173" t="str">
        <f t="shared" si="41"/>
        <v>villahermosa</v>
      </c>
      <c r="AS173" s="30">
        <f t="shared" si="42"/>
        <v>0</v>
      </c>
      <c r="AT173" s="30">
        <f t="shared" si="43"/>
        <v>1</v>
      </c>
      <c r="AU173" s="30">
        <f t="shared" si="44"/>
        <v>3</v>
      </c>
      <c r="AV173" s="30">
        <f t="shared" si="45"/>
        <v>3</v>
      </c>
      <c r="AZ173" s="31">
        <f t="shared" si="46"/>
        <v>3</v>
      </c>
      <c r="BA173" s="31">
        <f t="shared" si="47"/>
        <v>6</v>
      </c>
      <c r="BB173" s="32">
        <f>IFERROR(INDEX('Análisis general'!$E$4:$E$28,MATCH($B173,'Análisis general'!$B$4:$B$28,0)),"")</f>
        <v>12.2</v>
      </c>
      <c r="BC173" s="31">
        <f t="shared" si="48"/>
        <v>3</v>
      </c>
      <c r="BD173" s="32">
        <f t="shared" si="49"/>
        <v>6.4285714285714279</v>
      </c>
      <c r="BE173" s="32">
        <f t="shared" si="50"/>
        <v>9</v>
      </c>
    </row>
    <row r="174" spans="1:57" ht="25.5" customHeight="1" x14ac:dyDescent="0.25">
      <c r="A174" s="33" t="s">
        <v>582</v>
      </c>
      <c r="B174" s="11" t="s">
        <v>22</v>
      </c>
      <c r="C174" s="34" t="s">
        <v>112</v>
      </c>
      <c r="D174" s="24">
        <f t="shared" si="34"/>
        <v>7</v>
      </c>
      <c r="E174" s="59">
        <f t="shared" si="35"/>
        <v>7.2857142857142856</v>
      </c>
      <c r="F174" s="59">
        <f t="shared" si="36"/>
        <v>9</v>
      </c>
      <c r="G174" s="11" t="s">
        <v>583</v>
      </c>
      <c r="H174" s="25" t="str">
        <f>IFERROR(IF($AQ174,INDEX(cpe!$C$2:$C$307,MATCH($AR174,cpe!$F$2:$F$307,0)),INDEX(cpe!$C$2:$C$307,MATCH($AR174,cpe!$D$2:$D$307,0))),"#N/D")</f>
        <v>Institucion Educativa Nemesio Rodriguez Escobar</v>
      </c>
      <c r="I174" s="25" t="str">
        <f>IFERROR(IF($AQ174,INDEX(cpe!$B$2:$B$307,MATCH($AR174,cpe!$F$2:$F$307,0)),INDEX(cpe!$B$2:$B$307,MATCH($AR174,cpe!$D$2:$D$307,0))),"#N/D")</f>
        <v>Chiquinquirá</v>
      </c>
      <c r="J174" s="26" t="str">
        <f>IF($AQ174,"#N/D",IFERROR(INDEX(Olimpiadas!$B$2:$B$61,MATCH($AO174,Olimpiadas!$C$2:$C$61,0)),"#N/D"))</f>
        <v>#N/D</v>
      </c>
      <c r="K174" s="26" t="str">
        <f>IF($AQ174,"#N/D",IFERROR(INDEX(Olimpiadas!$A$2:$A$61,MATCH($AO174,Olimpiadas!$C$2:$C$61,0)),"#N/D"))</f>
        <v>#N/D</v>
      </c>
      <c r="L174" s="26" t="str">
        <f>IF($AQ174,"#N/D",IFERROR(INDEX(Minculturas!$A$2:$A$48,MATCH($AO174,Minculturas!$C$2:$C$48,0)),"#N/D"))</f>
        <v>#N/D</v>
      </c>
      <c r="M174" s="26" t="str">
        <f>IF($AQ174,"#N/D",IFERROR(INDEX(Minculturas!$B$2:$B$48,MATCH($AO174,Minculturas!$C$2:$C$48,0)),"#N/D"))</f>
        <v>#N/D</v>
      </c>
      <c r="N174" s="27">
        <v>1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1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7">
        <f t="shared" si="37"/>
        <v>1</v>
      </c>
      <c r="AH174" s="28"/>
      <c r="AI174" s="28"/>
      <c r="AJ174" s="28">
        <v>17.3</v>
      </c>
      <c r="AK174" s="28"/>
      <c r="AL174" s="28"/>
      <c r="AM174" s="29" t="s">
        <v>114</v>
      </c>
      <c r="AO174" t="str">
        <f t="shared" si="38"/>
        <v>chiquinquira</v>
      </c>
      <c r="AP174" t="str">
        <f t="shared" si="39"/>
        <v>boyaca</v>
      </c>
      <c r="AQ174" t="b">
        <f t="shared" si="40"/>
        <v>0</v>
      </c>
      <c r="AR174" t="str">
        <f t="shared" si="41"/>
        <v>chiquinquira</v>
      </c>
      <c r="AS174" s="30">
        <f t="shared" si="42"/>
        <v>1</v>
      </c>
      <c r="AT174" s="30">
        <f t="shared" si="43"/>
        <v>1</v>
      </c>
      <c r="AU174" s="30">
        <f t="shared" si="44"/>
        <v>3</v>
      </c>
      <c r="AV174" s="30">
        <f t="shared" si="45"/>
        <v>3</v>
      </c>
      <c r="AZ174" s="31">
        <f t="shared" si="46"/>
        <v>3</v>
      </c>
      <c r="BA174" s="31">
        <f t="shared" si="47"/>
        <v>7</v>
      </c>
      <c r="BB174" s="32">
        <f>IFERROR(INDEX('Análisis general'!$E$4:$E$28,MATCH($B174,'Análisis general'!$B$4:$B$28,0)),"")</f>
        <v>6.4</v>
      </c>
      <c r="BC174" s="31">
        <f t="shared" si="48"/>
        <v>3</v>
      </c>
      <c r="BD174" s="32">
        <f t="shared" si="49"/>
        <v>7.2857142857142856</v>
      </c>
      <c r="BE174" s="32">
        <f t="shared" si="50"/>
        <v>9</v>
      </c>
    </row>
    <row r="175" spans="1:57" ht="25.5" customHeight="1" x14ac:dyDescent="0.25">
      <c r="A175" s="33" t="s">
        <v>584</v>
      </c>
      <c r="B175" s="11" t="s">
        <v>10</v>
      </c>
      <c r="C175" s="34" t="s">
        <v>112</v>
      </c>
      <c r="D175" s="24">
        <f t="shared" si="34"/>
        <v>7</v>
      </c>
      <c r="E175" s="59">
        <f t="shared" si="35"/>
        <v>7.2857142857142856</v>
      </c>
      <c r="F175" s="59">
        <f t="shared" si="36"/>
        <v>9</v>
      </c>
      <c r="G175" s="11" t="s">
        <v>585</v>
      </c>
      <c r="H175" s="25" t="str">
        <f>IFERROR(IF($AQ175,INDEX(cpe!$C$2:$C$307,MATCH($AR175,cpe!$F$2:$F$307,0)),INDEX(cpe!$C$2:$C$307,MATCH($AR175,cpe!$D$2:$D$307,0))),"#N/D")</f>
        <v>#N/D</v>
      </c>
      <c r="I175" s="25" t="str">
        <f>IFERROR(IF($AQ175,INDEX(cpe!$B$2:$B$307,MATCH($AR175,cpe!$F$2:$F$307,0)),INDEX(cpe!$B$2:$B$307,MATCH($AR175,cpe!$D$2:$D$307,0))),"#N/D")</f>
        <v>#N/D</v>
      </c>
      <c r="J175" s="26" t="str">
        <f>IF($AQ175,"#N/D",IFERROR(INDEX(Olimpiadas!$B$2:$B$61,MATCH($AO175,Olimpiadas!$C$2:$C$61,0)),"#N/D"))</f>
        <v>Envigado</v>
      </c>
      <c r="K175" s="26" t="str">
        <f>IF($AQ175,"#N/D",IFERROR(INDEX(Olimpiadas!$A$2:$A$61,MATCH($AO175,Olimpiadas!$C$2:$C$61,0)),"#N/D"))</f>
        <v>INSTITUCIÓN EDUCATIVA COMERCIAL DE ENVIGADO</v>
      </c>
      <c r="L175" s="26" t="str">
        <f>IF($AQ175,"#N/D",IFERROR(INDEX(Minculturas!$A$2:$A$48,MATCH($AO175,Minculturas!$C$2:$C$48,0)),"#N/D"))</f>
        <v>#N/D</v>
      </c>
      <c r="M175" s="26" t="str">
        <f>IF($AQ175,"#N/D",IFERROR(INDEX(Minculturas!$B$2:$B$48,MATCH($AO175,Minculturas!$C$2:$C$48,0)),"#N/D"))</f>
        <v>#N/D</v>
      </c>
      <c r="N175" s="27">
        <v>1</v>
      </c>
      <c r="O175" s="28">
        <v>0</v>
      </c>
      <c r="P175" s="28">
        <v>1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7">
        <f t="shared" si="37"/>
        <v>1</v>
      </c>
      <c r="AH175" s="28"/>
      <c r="AI175" s="28"/>
      <c r="AJ175" s="28">
        <v>4.9000000000000004</v>
      </c>
      <c r="AK175" s="28"/>
      <c r="AL175" s="28"/>
      <c r="AM175" s="29" t="s">
        <v>114</v>
      </c>
      <c r="AO175" t="str">
        <f t="shared" si="38"/>
        <v>envigado</v>
      </c>
      <c r="AP175" t="str">
        <f t="shared" si="39"/>
        <v>antioquia</v>
      </c>
      <c r="AQ175" t="b">
        <f t="shared" si="40"/>
        <v>0</v>
      </c>
      <c r="AR175" t="str">
        <f t="shared" si="41"/>
        <v>envigado</v>
      </c>
      <c r="AS175" s="30">
        <f t="shared" si="42"/>
        <v>1</v>
      </c>
      <c r="AT175" s="30">
        <f t="shared" si="43"/>
        <v>1</v>
      </c>
      <c r="AU175" s="30">
        <f t="shared" si="44"/>
        <v>3</v>
      </c>
      <c r="AV175" s="30">
        <f t="shared" si="45"/>
        <v>3</v>
      </c>
      <c r="AZ175" s="31">
        <f t="shared" si="46"/>
        <v>3</v>
      </c>
      <c r="BA175" s="31">
        <f t="shared" si="47"/>
        <v>7</v>
      </c>
      <c r="BB175" s="32">
        <f>IFERROR(INDEX('Análisis general'!$E$4:$E$28,MATCH($B175,'Análisis general'!$B$4:$B$28,0)),"")</f>
        <v>9.5</v>
      </c>
      <c r="BC175" s="31">
        <f t="shared" si="48"/>
        <v>3</v>
      </c>
      <c r="BD175" s="32">
        <f t="shared" si="49"/>
        <v>7.2857142857142856</v>
      </c>
      <c r="BE175" s="32">
        <f t="shared" si="50"/>
        <v>9</v>
      </c>
    </row>
    <row r="176" spans="1:57" ht="25.5" customHeight="1" x14ac:dyDescent="0.25">
      <c r="A176" s="33" t="s">
        <v>612</v>
      </c>
      <c r="B176" s="11" t="s">
        <v>24</v>
      </c>
      <c r="C176" s="60" t="s">
        <v>1214</v>
      </c>
      <c r="D176" s="24">
        <f t="shared" si="34"/>
        <v>6</v>
      </c>
      <c r="E176" s="59">
        <f t="shared" si="35"/>
        <v>6.4285714285714279</v>
      </c>
      <c r="F176" s="59">
        <f t="shared" si="36"/>
        <v>9</v>
      </c>
      <c r="G176" s="11" t="s">
        <v>613</v>
      </c>
      <c r="H176" s="25" t="str">
        <f>IFERROR(IF($AQ176,INDEX(cpe!$C$2:$C$307,MATCH($AR176,cpe!$F$2:$F$307,0)),INDEX(cpe!$C$2:$C$307,MATCH($AR176,cpe!$D$2:$D$307,0))),"#N/D")</f>
        <v>#N/D</v>
      </c>
      <c r="I176" s="25" t="str">
        <f>IFERROR(IF($AQ176,INDEX(cpe!$B$2:$B$307,MATCH($AR176,cpe!$F$2:$F$307,0)),INDEX(cpe!$B$2:$B$307,MATCH($AR176,cpe!$D$2:$D$307,0))),"#N/D")</f>
        <v>#N/D</v>
      </c>
      <c r="J176" s="26" t="str">
        <f>IF($AQ176,"#N/D",IFERROR(INDEX(Olimpiadas!$B$2:$B$61,MATCH($AO176,Olimpiadas!$C$2:$C$61,0)),"#N/D"))</f>
        <v>#N/D</v>
      </c>
      <c r="K176" s="26" t="str">
        <f>IF($AQ176,"#N/D",IFERROR(INDEX(Olimpiadas!$A$2:$A$61,MATCH($AO176,Olimpiadas!$C$2:$C$61,0)),"#N/D"))</f>
        <v>#N/D</v>
      </c>
      <c r="L176" s="26" t="str">
        <f>IF($AQ176,"#N/D",IFERROR(INDEX(Minculturas!$A$2:$A$48,MATCH($AO176,Minculturas!$C$2:$C$48,0)),"#N/D"))</f>
        <v>#N/D</v>
      </c>
      <c r="M176" s="26" t="str">
        <f>IF($AQ176,"#N/D",IFERROR(INDEX(Minculturas!$B$2:$B$48,MATCH($AO176,Minculturas!$C$2:$C$48,0)),"#N/D"))</f>
        <v>#N/D</v>
      </c>
      <c r="N176" s="27">
        <v>1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1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7">
        <f t="shared" si="37"/>
        <v>1</v>
      </c>
      <c r="AH176" s="28"/>
      <c r="AI176" s="28"/>
      <c r="AJ176" s="28">
        <v>37.6</v>
      </c>
      <c r="AK176" s="28"/>
      <c r="AL176" s="28"/>
      <c r="AM176" s="29" t="s">
        <v>614</v>
      </c>
      <c r="AO176" t="str">
        <f t="shared" si="38"/>
        <v>marmato</v>
      </c>
      <c r="AP176" t="str">
        <f t="shared" si="39"/>
        <v>caldas</v>
      </c>
      <c r="AQ176" t="b">
        <f t="shared" si="40"/>
        <v>0</v>
      </c>
      <c r="AR176" t="str">
        <f t="shared" si="41"/>
        <v>marmato</v>
      </c>
      <c r="AS176" s="30">
        <f t="shared" si="42"/>
        <v>0</v>
      </c>
      <c r="AT176" s="30">
        <f t="shared" si="43"/>
        <v>1</v>
      </c>
      <c r="AU176" s="30">
        <f t="shared" si="44"/>
        <v>3</v>
      </c>
      <c r="AV176" s="30">
        <f t="shared" si="45"/>
        <v>3</v>
      </c>
      <c r="AZ176" s="31">
        <f t="shared" si="46"/>
        <v>3</v>
      </c>
      <c r="BA176" s="31">
        <f t="shared" si="47"/>
        <v>6</v>
      </c>
      <c r="BB176" s="32">
        <f>IFERROR(INDEX('Análisis general'!$E$4:$E$28,MATCH($B176,'Análisis general'!$B$4:$B$28,0)),"")</f>
        <v>7.9</v>
      </c>
      <c r="BC176" s="31">
        <f t="shared" si="48"/>
        <v>3</v>
      </c>
      <c r="BD176" s="32">
        <f t="shared" si="49"/>
        <v>6.4285714285714279</v>
      </c>
      <c r="BE176" s="32">
        <f t="shared" si="50"/>
        <v>9</v>
      </c>
    </row>
    <row r="177" spans="1:57" ht="25.5" customHeight="1" x14ac:dyDescent="0.25">
      <c r="A177" s="33" t="s">
        <v>615</v>
      </c>
      <c r="B177" s="11" t="s">
        <v>10</v>
      </c>
      <c r="C177" s="34" t="s">
        <v>112</v>
      </c>
      <c r="D177" s="24">
        <f t="shared" si="34"/>
        <v>6</v>
      </c>
      <c r="E177" s="59">
        <f t="shared" si="35"/>
        <v>6.4285714285714279</v>
      </c>
      <c r="F177" s="59">
        <f t="shared" si="36"/>
        <v>9</v>
      </c>
      <c r="G177" s="11" t="s">
        <v>616</v>
      </c>
      <c r="H177" s="25" t="str">
        <f>IFERROR(IF($AQ177,INDEX(cpe!$C$2:$C$307,MATCH($AR177,cpe!$F$2:$F$307,0)),INDEX(cpe!$C$2:$C$307,MATCH($AR177,cpe!$D$2:$D$307,0))),"#N/D")</f>
        <v>#N/D</v>
      </c>
      <c r="I177" s="25" t="str">
        <f>IFERROR(IF($AQ177,INDEX(cpe!$B$2:$B$307,MATCH($AR177,cpe!$F$2:$F$307,0)),INDEX(cpe!$B$2:$B$307,MATCH($AR177,cpe!$D$2:$D$307,0))),"#N/D")</f>
        <v>#N/D</v>
      </c>
      <c r="J177" s="26" t="str">
        <f>IF($AQ177,"#N/D",IFERROR(INDEX(Olimpiadas!$B$2:$B$61,MATCH($AO177,Olimpiadas!$C$2:$C$61,0)),"#N/D"))</f>
        <v>#N/D</v>
      </c>
      <c r="K177" s="26" t="str">
        <f>IF($AQ177,"#N/D",IFERROR(INDEX(Olimpiadas!$A$2:$A$61,MATCH($AO177,Olimpiadas!$C$2:$C$61,0)),"#N/D"))</f>
        <v>#N/D</v>
      </c>
      <c r="L177" s="26" t="str">
        <f>IF($AQ177,"#N/D",IFERROR(INDEX(Minculturas!$A$2:$A$48,MATCH($AO177,Minculturas!$C$2:$C$48,0)),"#N/D"))</f>
        <v>#N/D</v>
      </c>
      <c r="M177" s="26" t="str">
        <f>IF($AQ177,"#N/D",IFERROR(INDEX(Minculturas!$B$2:$B$48,MATCH($AO177,Minculturas!$C$2:$C$48,0)),"#N/D"))</f>
        <v>#N/D</v>
      </c>
      <c r="N177" s="27">
        <v>1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1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7">
        <f t="shared" si="37"/>
        <v>1</v>
      </c>
      <c r="AH177" s="28"/>
      <c r="AI177" s="28"/>
      <c r="AJ177" s="28">
        <v>22.9</v>
      </c>
      <c r="AK177" s="28"/>
      <c r="AL177" s="28"/>
      <c r="AM177" s="29" t="s">
        <v>114</v>
      </c>
      <c r="AO177" t="str">
        <f t="shared" si="38"/>
        <v>amaga</v>
      </c>
      <c r="AP177" t="str">
        <f t="shared" si="39"/>
        <v>antioquia</v>
      </c>
      <c r="AQ177" t="b">
        <f t="shared" si="40"/>
        <v>0</v>
      </c>
      <c r="AR177" t="str">
        <f t="shared" si="41"/>
        <v>amaga</v>
      </c>
      <c r="AS177" s="30">
        <f t="shared" si="42"/>
        <v>0</v>
      </c>
      <c r="AT177" s="30">
        <f t="shared" si="43"/>
        <v>1</v>
      </c>
      <c r="AU177" s="30">
        <f t="shared" si="44"/>
        <v>3</v>
      </c>
      <c r="AV177" s="30">
        <f t="shared" si="45"/>
        <v>3</v>
      </c>
      <c r="AZ177" s="31">
        <f t="shared" si="46"/>
        <v>3</v>
      </c>
      <c r="BA177" s="31">
        <f t="shared" si="47"/>
        <v>6</v>
      </c>
      <c r="BB177" s="32">
        <f>IFERROR(INDEX('Análisis general'!$E$4:$E$28,MATCH($B177,'Análisis general'!$B$4:$B$28,0)),"")</f>
        <v>9.5</v>
      </c>
      <c r="BC177" s="31">
        <f t="shared" si="48"/>
        <v>3</v>
      </c>
      <c r="BD177" s="32">
        <f t="shared" si="49"/>
        <v>6.4285714285714279</v>
      </c>
      <c r="BE177" s="32">
        <f t="shared" si="50"/>
        <v>9</v>
      </c>
    </row>
    <row r="178" spans="1:57" ht="25.5" customHeight="1" x14ac:dyDescent="0.25">
      <c r="A178" s="33" t="s">
        <v>617</v>
      </c>
      <c r="B178" s="11" t="s">
        <v>10</v>
      </c>
      <c r="C178" s="34" t="s">
        <v>112</v>
      </c>
      <c r="D178" s="24">
        <f t="shared" si="34"/>
        <v>6</v>
      </c>
      <c r="E178" s="59">
        <f t="shared" si="35"/>
        <v>6.4285714285714279</v>
      </c>
      <c r="F178" s="59">
        <f t="shared" si="36"/>
        <v>9</v>
      </c>
      <c r="G178" s="11" t="s">
        <v>618</v>
      </c>
      <c r="H178" s="25" t="str">
        <f>IFERROR(IF($AQ178,INDEX(cpe!$C$2:$C$307,MATCH($AR178,cpe!$F$2:$F$307,0)),INDEX(cpe!$C$2:$C$307,MATCH($AR178,cpe!$D$2:$D$307,0))),"#N/D")</f>
        <v>#N/D</v>
      </c>
      <c r="I178" s="25" t="str">
        <f>IFERROR(IF($AQ178,INDEX(cpe!$B$2:$B$307,MATCH($AR178,cpe!$F$2:$F$307,0)),INDEX(cpe!$B$2:$B$307,MATCH($AR178,cpe!$D$2:$D$307,0))),"#N/D")</f>
        <v>#N/D</v>
      </c>
      <c r="J178" s="26" t="str">
        <f>IF($AQ178,"#N/D",IFERROR(INDEX(Olimpiadas!$B$2:$B$61,MATCH($AO178,Olimpiadas!$C$2:$C$61,0)),"#N/D"))</f>
        <v>#N/D</v>
      </c>
      <c r="K178" s="26" t="str">
        <f>IF($AQ178,"#N/D",IFERROR(INDEX(Olimpiadas!$A$2:$A$61,MATCH($AO178,Olimpiadas!$C$2:$C$61,0)),"#N/D"))</f>
        <v>#N/D</v>
      </c>
      <c r="L178" s="26" t="str">
        <f>IF($AQ178,"#N/D",IFERROR(INDEX(Minculturas!$A$2:$A$48,MATCH($AO178,Minculturas!$C$2:$C$48,0)),"#N/D"))</f>
        <v>#N/D</v>
      </c>
      <c r="M178" s="26" t="str">
        <f>IF($AQ178,"#N/D",IFERROR(INDEX(Minculturas!$B$2:$B$48,MATCH($AO178,Minculturas!$C$2:$C$48,0)),"#N/D"))</f>
        <v>#N/D</v>
      </c>
      <c r="N178" s="27">
        <v>1</v>
      </c>
      <c r="O178" s="28">
        <v>0</v>
      </c>
      <c r="P178" s="28">
        <v>1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7">
        <f t="shared" si="37"/>
        <v>1</v>
      </c>
      <c r="AH178" s="28"/>
      <c r="AI178" s="28"/>
      <c r="AJ178" s="28">
        <v>47.1</v>
      </c>
      <c r="AK178" s="28"/>
      <c r="AL178" s="28"/>
      <c r="AM178" s="29" t="s">
        <v>114</v>
      </c>
      <c r="AO178" t="str">
        <f t="shared" si="38"/>
        <v>anza</v>
      </c>
      <c r="AP178" t="str">
        <f t="shared" si="39"/>
        <v>antioquia</v>
      </c>
      <c r="AQ178" t="b">
        <f t="shared" si="40"/>
        <v>0</v>
      </c>
      <c r="AR178" t="str">
        <f t="shared" si="41"/>
        <v>anza</v>
      </c>
      <c r="AS178" s="30">
        <f t="shared" si="42"/>
        <v>0</v>
      </c>
      <c r="AT178" s="30">
        <f t="shared" si="43"/>
        <v>1</v>
      </c>
      <c r="AU178" s="30">
        <f t="shared" si="44"/>
        <v>3</v>
      </c>
      <c r="AV178" s="30">
        <f t="shared" si="45"/>
        <v>3</v>
      </c>
      <c r="AZ178" s="31">
        <f t="shared" si="46"/>
        <v>3</v>
      </c>
      <c r="BA178" s="31">
        <f t="shared" si="47"/>
        <v>6</v>
      </c>
      <c r="BB178" s="32">
        <f>IFERROR(INDEX('Análisis general'!$E$4:$E$28,MATCH($B178,'Análisis general'!$B$4:$B$28,0)),"")</f>
        <v>9.5</v>
      </c>
      <c r="BC178" s="31">
        <f t="shared" si="48"/>
        <v>3</v>
      </c>
      <c r="BD178" s="32">
        <f t="shared" si="49"/>
        <v>6.4285714285714279</v>
      </c>
      <c r="BE178" s="32">
        <f t="shared" si="50"/>
        <v>9</v>
      </c>
    </row>
    <row r="179" spans="1:57" ht="25.5" customHeight="1" x14ac:dyDescent="0.25">
      <c r="A179" s="33" t="s">
        <v>619</v>
      </c>
      <c r="B179" s="11" t="s">
        <v>10</v>
      </c>
      <c r="C179" s="34" t="s">
        <v>112</v>
      </c>
      <c r="D179" s="24">
        <f t="shared" si="34"/>
        <v>6</v>
      </c>
      <c r="E179" s="59">
        <f t="shared" si="35"/>
        <v>6.4285714285714279</v>
      </c>
      <c r="F179" s="59">
        <f t="shared" si="36"/>
        <v>9</v>
      </c>
      <c r="G179" s="11" t="s">
        <v>620</v>
      </c>
      <c r="H179" s="25" t="str">
        <f>IFERROR(IF($AQ179,INDEX(cpe!$C$2:$C$307,MATCH($AR179,cpe!$F$2:$F$307,0)),INDEX(cpe!$C$2:$C$307,MATCH($AR179,cpe!$D$2:$D$307,0))),"#N/D")</f>
        <v>#N/D</v>
      </c>
      <c r="I179" s="25" t="str">
        <f>IFERROR(IF($AQ179,INDEX(cpe!$B$2:$B$307,MATCH($AR179,cpe!$F$2:$F$307,0)),INDEX(cpe!$B$2:$B$307,MATCH($AR179,cpe!$D$2:$D$307,0))),"#N/D")</f>
        <v>#N/D</v>
      </c>
      <c r="J179" s="26" t="str">
        <f>IF($AQ179,"#N/D",IFERROR(INDEX(Olimpiadas!$B$2:$B$61,MATCH($AO179,Olimpiadas!$C$2:$C$61,0)),"#N/D"))</f>
        <v>#N/D</v>
      </c>
      <c r="K179" s="26" t="str">
        <f>IF($AQ179,"#N/D",IFERROR(INDEX(Olimpiadas!$A$2:$A$61,MATCH($AO179,Olimpiadas!$C$2:$C$61,0)),"#N/D"))</f>
        <v>#N/D</v>
      </c>
      <c r="L179" s="26" t="str">
        <f>IF($AQ179,"#N/D",IFERROR(INDEX(Minculturas!$A$2:$A$48,MATCH($AO179,Minculturas!$C$2:$C$48,0)),"#N/D"))</f>
        <v>#N/D</v>
      </c>
      <c r="M179" s="26" t="str">
        <f>IF($AQ179,"#N/D",IFERROR(INDEX(Minculturas!$B$2:$B$48,MATCH($AO179,Minculturas!$C$2:$C$48,0)),"#N/D"))</f>
        <v>#N/D</v>
      </c>
      <c r="N179" s="27">
        <v>1</v>
      </c>
      <c r="O179" s="28">
        <v>0</v>
      </c>
      <c r="P179" s="28">
        <v>0</v>
      </c>
      <c r="Q179" s="28">
        <v>0</v>
      </c>
      <c r="R179" s="28">
        <v>1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7">
        <f t="shared" si="37"/>
        <v>1</v>
      </c>
      <c r="AH179" s="28"/>
      <c r="AI179" s="28"/>
      <c r="AJ179" s="28">
        <v>28</v>
      </c>
      <c r="AK179" s="28"/>
      <c r="AL179" s="28"/>
      <c r="AM179" s="29" t="s">
        <v>114</v>
      </c>
      <c r="AO179" t="str">
        <f t="shared" si="38"/>
        <v>apartado</v>
      </c>
      <c r="AP179" t="str">
        <f t="shared" si="39"/>
        <v>antioquia</v>
      </c>
      <c r="AQ179" t="b">
        <f t="shared" si="40"/>
        <v>0</v>
      </c>
      <c r="AR179" t="str">
        <f t="shared" si="41"/>
        <v>apartado</v>
      </c>
      <c r="AS179" s="30">
        <f t="shared" si="42"/>
        <v>0</v>
      </c>
      <c r="AT179" s="30">
        <f t="shared" si="43"/>
        <v>1</v>
      </c>
      <c r="AU179" s="30">
        <f t="shared" si="44"/>
        <v>3</v>
      </c>
      <c r="AV179" s="30">
        <f t="shared" si="45"/>
        <v>3</v>
      </c>
      <c r="AZ179" s="31">
        <f t="shared" si="46"/>
        <v>3</v>
      </c>
      <c r="BA179" s="31">
        <f t="shared" si="47"/>
        <v>6</v>
      </c>
      <c r="BB179" s="32">
        <f>IFERROR(INDEX('Análisis general'!$E$4:$E$28,MATCH($B179,'Análisis general'!$B$4:$B$28,0)),"")</f>
        <v>9.5</v>
      </c>
      <c r="BC179" s="31">
        <f t="shared" si="48"/>
        <v>3</v>
      </c>
      <c r="BD179" s="32">
        <f t="shared" si="49"/>
        <v>6.4285714285714279</v>
      </c>
      <c r="BE179" s="32">
        <f t="shared" si="50"/>
        <v>9</v>
      </c>
    </row>
    <row r="180" spans="1:57" ht="25.5" customHeight="1" x14ac:dyDescent="0.25">
      <c r="A180" s="33" t="s">
        <v>621</v>
      </c>
      <c r="B180" s="11" t="s">
        <v>10</v>
      </c>
      <c r="C180" s="34" t="s">
        <v>112</v>
      </c>
      <c r="D180" s="24">
        <f t="shared" si="34"/>
        <v>6</v>
      </c>
      <c r="E180" s="59">
        <f t="shared" si="35"/>
        <v>6.4285714285714279</v>
      </c>
      <c r="F180" s="59">
        <f t="shared" si="36"/>
        <v>9</v>
      </c>
      <c r="G180" s="11" t="s">
        <v>24</v>
      </c>
      <c r="H180" s="25" t="str">
        <f>IFERROR(IF($AQ180,INDEX(cpe!$C$2:$C$307,MATCH($AR180,cpe!$F$2:$F$307,0)),INDEX(cpe!$C$2:$C$307,MATCH($AR180,cpe!$D$2:$D$307,0))),"#N/D")</f>
        <v>#N/D</v>
      </c>
      <c r="I180" s="25" t="str">
        <f>IFERROR(IF($AQ180,INDEX(cpe!$B$2:$B$307,MATCH($AR180,cpe!$F$2:$F$307,0)),INDEX(cpe!$B$2:$B$307,MATCH($AR180,cpe!$D$2:$D$307,0))),"#N/D")</f>
        <v>#N/D</v>
      </c>
      <c r="J180" s="26" t="str">
        <f>IF($AQ180,"#N/D",IFERROR(INDEX(Olimpiadas!$B$2:$B$61,MATCH($AO180,Olimpiadas!$C$2:$C$61,0)),"#N/D"))</f>
        <v>#N/D</v>
      </c>
      <c r="K180" s="26" t="str">
        <f>IF($AQ180,"#N/D",IFERROR(INDEX(Olimpiadas!$A$2:$A$61,MATCH($AO180,Olimpiadas!$C$2:$C$61,0)),"#N/D"))</f>
        <v>#N/D</v>
      </c>
      <c r="L180" s="26" t="str">
        <f>IF($AQ180,"#N/D",IFERROR(INDEX(Minculturas!$A$2:$A$48,MATCH($AO180,Minculturas!$C$2:$C$48,0)),"#N/D"))</f>
        <v>#N/D</v>
      </c>
      <c r="M180" s="26" t="str">
        <f>IF($AQ180,"#N/D",IFERROR(INDEX(Minculturas!$B$2:$B$48,MATCH($AO180,Minculturas!$C$2:$C$48,0)),"#N/D"))</f>
        <v>#N/D</v>
      </c>
      <c r="N180" s="27">
        <v>1</v>
      </c>
      <c r="O180" s="28">
        <v>0</v>
      </c>
      <c r="P180" s="28">
        <v>0</v>
      </c>
      <c r="Q180" s="28">
        <v>0</v>
      </c>
      <c r="R180" s="28">
        <v>1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7">
        <f t="shared" si="37"/>
        <v>1</v>
      </c>
      <c r="AH180" s="28"/>
      <c r="AI180" s="28"/>
      <c r="AJ180" s="28">
        <v>16</v>
      </c>
      <c r="AK180" s="28"/>
      <c r="AL180" s="28"/>
      <c r="AM180" s="29" t="s">
        <v>114</v>
      </c>
      <c r="AO180" t="str">
        <f t="shared" si="38"/>
        <v>caldas</v>
      </c>
      <c r="AP180" t="str">
        <f t="shared" si="39"/>
        <v>antioquia</v>
      </c>
      <c r="AQ180" t="b">
        <f t="shared" si="40"/>
        <v>0</v>
      </c>
      <c r="AR180" t="str">
        <f t="shared" si="41"/>
        <v>caldas</v>
      </c>
      <c r="AS180" s="30">
        <f t="shared" si="42"/>
        <v>0</v>
      </c>
      <c r="AT180" s="30">
        <f t="shared" si="43"/>
        <v>1</v>
      </c>
      <c r="AU180" s="30">
        <f t="shared" si="44"/>
        <v>3</v>
      </c>
      <c r="AV180" s="30">
        <f t="shared" si="45"/>
        <v>3</v>
      </c>
      <c r="AZ180" s="31">
        <f t="shared" si="46"/>
        <v>3</v>
      </c>
      <c r="BA180" s="31">
        <f t="shared" si="47"/>
        <v>6</v>
      </c>
      <c r="BB180" s="32">
        <f>IFERROR(INDEX('Análisis general'!$E$4:$E$28,MATCH($B180,'Análisis general'!$B$4:$B$28,0)),"")</f>
        <v>9.5</v>
      </c>
      <c r="BC180" s="31">
        <f t="shared" si="48"/>
        <v>3</v>
      </c>
      <c r="BD180" s="32">
        <f t="shared" si="49"/>
        <v>6.4285714285714279</v>
      </c>
      <c r="BE180" s="32">
        <f t="shared" si="50"/>
        <v>9</v>
      </c>
    </row>
    <row r="181" spans="1:57" ht="25.5" customHeight="1" x14ac:dyDescent="0.25">
      <c r="A181" s="33" t="s">
        <v>622</v>
      </c>
      <c r="B181" s="11" t="s">
        <v>10</v>
      </c>
      <c r="C181" s="34" t="s">
        <v>112</v>
      </c>
      <c r="D181" s="24">
        <f t="shared" si="34"/>
        <v>6</v>
      </c>
      <c r="E181" s="59">
        <f t="shared" si="35"/>
        <v>6.4285714285714279</v>
      </c>
      <c r="F181" s="59">
        <f t="shared" si="36"/>
        <v>9</v>
      </c>
      <c r="G181" s="11" t="s">
        <v>623</v>
      </c>
      <c r="H181" s="25" t="str">
        <f>IFERROR(IF($AQ181,INDEX(cpe!$C$2:$C$307,MATCH($AR181,cpe!$F$2:$F$307,0)),INDEX(cpe!$C$2:$C$307,MATCH($AR181,cpe!$D$2:$D$307,0))),"#N/D")</f>
        <v>#N/D</v>
      </c>
      <c r="I181" s="25" t="str">
        <f>IFERROR(IF($AQ181,INDEX(cpe!$B$2:$B$307,MATCH($AR181,cpe!$F$2:$F$307,0)),INDEX(cpe!$B$2:$B$307,MATCH($AR181,cpe!$D$2:$D$307,0))),"#N/D")</f>
        <v>#N/D</v>
      </c>
      <c r="J181" s="26" t="str">
        <f>IF($AQ181,"#N/D",IFERROR(INDEX(Olimpiadas!$B$2:$B$61,MATCH($AO181,Olimpiadas!$C$2:$C$61,0)),"#N/D"))</f>
        <v>#N/D</v>
      </c>
      <c r="K181" s="26" t="str">
        <f>IF($AQ181,"#N/D",IFERROR(INDEX(Olimpiadas!$A$2:$A$61,MATCH($AO181,Olimpiadas!$C$2:$C$61,0)),"#N/D"))</f>
        <v>#N/D</v>
      </c>
      <c r="L181" s="26" t="str">
        <f>IF($AQ181,"#N/D",IFERROR(INDEX(Minculturas!$A$2:$A$48,MATCH($AO181,Minculturas!$C$2:$C$48,0)),"#N/D"))</f>
        <v>#N/D</v>
      </c>
      <c r="M181" s="26" t="str">
        <f>IF($AQ181,"#N/D",IFERROR(INDEX(Minculturas!$B$2:$B$48,MATCH($AO181,Minculturas!$C$2:$C$48,0)),"#N/D"))</f>
        <v>#N/D</v>
      </c>
      <c r="N181" s="27">
        <v>1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1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7">
        <f t="shared" si="37"/>
        <v>1</v>
      </c>
      <c r="AH181" s="28"/>
      <c r="AI181" s="28"/>
      <c r="AJ181" s="28">
        <v>45.3</v>
      </c>
      <c r="AK181" s="28"/>
      <c r="AL181" s="28"/>
      <c r="AM181" s="29" t="s">
        <v>114</v>
      </c>
      <c r="AO181" t="str">
        <f t="shared" si="38"/>
        <v>canasgordas</v>
      </c>
      <c r="AP181" t="str">
        <f t="shared" si="39"/>
        <v>antioquia</v>
      </c>
      <c r="AQ181" t="b">
        <f t="shared" si="40"/>
        <v>0</v>
      </c>
      <c r="AR181" t="str">
        <f t="shared" si="41"/>
        <v>canasgordas</v>
      </c>
      <c r="AS181" s="30">
        <f t="shared" si="42"/>
        <v>0</v>
      </c>
      <c r="AT181" s="30">
        <f t="shared" si="43"/>
        <v>1</v>
      </c>
      <c r="AU181" s="30">
        <f t="shared" si="44"/>
        <v>3</v>
      </c>
      <c r="AV181" s="30">
        <f t="shared" si="45"/>
        <v>3</v>
      </c>
      <c r="AZ181" s="31">
        <f t="shared" si="46"/>
        <v>3</v>
      </c>
      <c r="BA181" s="31">
        <f t="shared" si="47"/>
        <v>6</v>
      </c>
      <c r="BB181" s="32">
        <f>IFERROR(INDEX('Análisis general'!$E$4:$E$28,MATCH($B181,'Análisis general'!$B$4:$B$28,0)),"")</f>
        <v>9.5</v>
      </c>
      <c r="BC181" s="31">
        <f t="shared" si="48"/>
        <v>3</v>
      </c>
      <c r="BD181" s="32">
        <f t="shared" si="49"/>
        <v>6.4285714285714279</v>
      </c>
      <c r="BE181" s="32">
        <f t="shared" si="50"/>
        <v>9</v>
      </c>
    </row>
    <row r="182" spans="1:57" ht="25.5" customHeight="1" x14ac:dyDescent="0.25">
      <c r="A182" s="33" t="s">
        <v>624</v>
      </c>
      <c r="B182" s="11" t="s">
        <v>10</v>
      </c>
      <c r="C182" s="34" t="s">
        <v>112</v>
      </c>
      <c r="D182" s="24">
        <f t="shared" si="34"/>
        <v>6</v>
      </c>
      <c r="E182" s="59">
        <f t="shared" si="35"/>
        <v>6.4285714285714279</v>
      </c>
      <c r="F182" s="59">
        <f t="shared" si="36"/>
        <v>9</v>
      </c>
      <c r="G182" s="11" t="s">
        <v>625</v>
      </c>
      <c r="H182" s="25" t="str">
        <f>IFERROR(IF($AQ182,INDEX(cpe!$C$2:$C$307,MATCH($AR182,cpe!$F$2:$F$307,0)),INDEX(cpe!$C$2:$C$307,MATCH($AR182,cpe!$D$2:$D$307,0))),"#N/D")</f>
        <v>#N/D</v>
      </c>
      <c r="I182" s="25" t="str">
        <f>IFERROR(IF($AQ182,INDEX(cpe!$B$2:$B$307,MATCH($AR182,cpe!$F$2:$F$307,0)),INDEX(cpe!$B$2:$B$307,MATCH($AR182,cpe!$D$2:$D$307,0))),"#N/D")</f>
        <v>#N/D</v>
      </c>
      <c r="J182" s="26" t="str">
        <f>IF($AQ182,"#N/D",IFERROR(INDEX(Olimpiadas!$B$2:$B$61,MATCH($AO182,Olimpiadas!$C$2:$C$61,0)),"#N/D"))</f>
        <v>#N/D</v>
      </c>
      <c r="K182" s="26" t="str">
        <f>IF($AQ182,"#N/D",IFERROR(INDEX(Olimpiadas!$A$2:$A$61,MATCH($AO182,Olimpiadas!$C$2:$C$61,0)),"#N/D"))</f>
        <v>#N/D</v>
      </c>
      <c r="L182" s="26" t="str">
        <f>IF($AQ182,"#N/D",IFERROR(INDEX(Minculturas!$A$2:$A$48,MATCH($AO182,Minculturas!$C$2:$C$48,0)),"#N/D"))</f>
        <v>#N/D</v>
      </c>
      <c r="M182" s="26" t="str">
        <f>IF($AQ182,"#N/D",IFERROR(INDEX(Minculturas!$B$2:$B$48,MATCH($AO182,Minculturas!$C$2:$C$48,0)),"#N/D"))</f>
        <v>#N/D</v>
      </c>
      <c r="N182" s="27">
        <v>1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1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7">
        <f t="shared" si="37"/>
        <v>1</v>
      </c>
      <c r="AH182" s="28"/>
      <c r="AI182" s="28"/>
      <c r="AJ182" s="28">
        <v>34.4</v>
      </c>
      <c r="AK182" s="28"/>
      <c r="AL182" s="28"/>
      <c r="AM182" s="29" t="s">
        <v>114</v>
      </c>
      <c r="AO182" t="str">
        <f t="shared" si="38"/>
        <v>carepa</v>
      </c>
      <c r="AP182" t="str">
        <f t="shared" si="39"/>
        <v>antioquia</v>
      </c>
      <c r="AQ182" t="b">
        <f t="shared" si="40"/>
        <v>0</v>
      </c>
      <c r="AR182" t="str">
        <f t="shared" si="41"/>
        <v>carepa</v>
      </c>
      <c r="AS182" s="30">
        <f t="shared" si="42"/>
        <v>0</v>
      </c>
      <c r="AT182" s="30">
        <f t="shared" si="43"/>
        <v>1</v>
      </c>
      <c r="AU182" s="30">
        <f t="shared" si="44"/>
        <v>3</v>
      </c>
      <c r="AV182" s="30">
        <f t="shared" si="45"/>
        <v>3</v>
      </c>
      <c r="AZ182" s="31">
        <f t="shared" si="46"/>
        <v>3</v>
      </c>
      <c r="BA182" s="31">
        <f t="shared" si="47"/>
        <v>6</v>
      </c>
      <c r="BB182" s="32">
        <f>IFERROR(INDEX('Análisis general'!$E$4:$E$28,MATCH($B182,'Análisis general'!$B$4:$B$28,0)),"")</f>
        <v>9.5</v>
      </c>
      <c r="BC182" s="31">
        <f t="shared" si="48"/>
        <v>3</v>
      </c>
      <c r="BD182" s="32">
        <f t="shared" si="49"/>
        <v>6.4285714285714279</v>
      </c>
      <c r="BE182" s="32">
        <f t="shared" si="50"/>
        <v>9</v>
      </c>
    </row>
    <row r="183" spans="1:57" ht="25.5" customHeight="1" x14ac:dyDescent="0.25">
      <c r="A183" s="33" t="s">
        <v>626</v>
      </c>
      <c r="B183" s="11" t="s">
        <v>10</v>
      </c>
      <c r="C183" s="34" t="s">
        <v>112</v>
      </c>
      <c r="D183" s="24">
        <f t="shared" si="34"/>
        <v>6</v>
      </c>
      <c r="E183" s="59">
        <f t="shared" si="35"/>
        <v>6.4285714285714279</v>
      </c>
      <c r="F183" s="59">
        <f t="shared" si="36"/>
        <v>9</v>
      </c>
      <c r="G183" s="11" t="s">
        <v>627</v>
      </c>
      <c r="H183" s="25" t="str">
        <f>IFERROR(IF($AQ183,INDEX(cpe!$C$2:$C$307,MATCH($AR183,cpe!$F$2:$F$307,0)),INDEX(cpe!$C$2:$C$307,MATCH($AR183,cpe!$D$2:$D$307,0))),"#N/D")</f>
        <v>#N/D</v>
      </c>
      <c r="I183" s="25" t="str">
        <f>IFERROR(IF($AQ183,INDEX(cpe!$B$2:$B$307,MATCH($AR183,cpe!$F$2:$F$307,0)),INDEX(cpe!$B$2:$B$307,MATCH($AR183,cpe!$D$2:$D$307,0))),"#N/D")</f>
        <v>#N/D</v>
      </c>
      <c r="J183" s="26" t="str">
        <f>IF($AQ183,"#N/D",IFERROR(INDEX(Olimpiadas!$B$2:$B$61,MATCH($AO183,Olimpiadas!$C$2:$C$61,0)),"#N/D"))</f>
        <v>#N/D</v>
      </c>
      <c r="K183" s="26" t="str">
        <f>IF($AQ183,"#N/D",IFERROR(INDEX(Olimpiadas!$A$2:$A$61,MATCH($AO183,Olimpiadas!$C$2:$C$61,0)),"#N/D"))</f>
        <v>#N/D</v>
      </c>
      <c r="L183" s="26" t="str">
        <f>IF($AQ183,"#N/D",IFERROR(INDEX(Minculturas!$A$2:$A$48,MATCH($AO183,Minculturas!$C$2:$C$48,0)),"#N/D"))</f>
        <v>#N/D</v>
      </c>
      <c r="M183" s="26" t="str">
        <f>IF($AQ183,"#N/D",IFERROR(INDEX(Minculturas!$B$2:$B$48,MATCH($AO183,Minculturas!$C$2:$C$48,0)),"#N/D"))</f>
        <v>#N/D</v>
      </c>
      <c r="N183" s="27">
        <v>2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1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1</v>
      </c>
      <c r="AC183" s="28">
        <v>0</v>
      </c>
      <c r="AD183" s="28">
        <v>0</v>
      </c>
      <c r="AE183" s="28">
        <v>0</v>
      </c>
      <c r="AF183" s="28">
        <v>0</v>
      </c>
      <c r="AG183" s="27">
        <f t="shared" si="37"/>
        <v>1</v>
      </c>
      <c r="AH183" s="28"/>
      <c r="AI183" s="28"/>
      <c r="AJ183" s="28">
        <v>40.4</v>
      </c>
      <c r="AK183" s="28"/>
      <c r="AL183" s="28"/>
      <c r="AM183" s="29" t="s">
        <v>114</v>
      </c>
      <c r="AO183" t="str">
        <f t="shared" si="38"/>
        <v>ciudad bolivar</v>
      </c>
      <c r="AP183" t="str">
        <f t="shared" si="39"/>
        <v>antioquia</v>
      </c>
      <c r="AQ183" t="b">
        <f t="shared" si="40"/>
        <v>0</v>
      </c>
      <c r="AR183" t="str">
        <f t="shared" si="41"/>
        <v>ciudad bolivar</v>
      </c>
      <c r="AS183" s="30">
        <f t="shared" si="42"/>
        <v>0</v>
      </c>
      <c r="AT183" s="30">
        <f t="shared" si="43"/>
        <v>1</v>
      </c>
      <c r="AU183" s="30">
        <f t="shared" si="44"/>
        <v>3</v>
      </c>
      <c r="AV183" s="30">
        <f t="shared" si="45"/>
        <v>3</v>
      </c>
      <c r="AZ183" s="31">
        <f t="shared" si="46"/>
        <v>3</v>
      </c>
      <c r="BA183" s="31">
        <f t="shared" si="47"/>
        <v>6</v>
      </c>
      <c r="BB183" s="32">
        <f>IFERROR(INDEX('Análisis general'!$E$4:$E$28,MATCH($B183,'Análisis general'!$B$4:$B$28,0)),"")</f>
        <v>9.5</v>
      </c>
      <c r="BC183" s="31">
        <f t="shared" si="48"/>
        <v>3</v>
      </c>
      <c r="BD183" s="32">
        <f t="shared" si="49"/>
        <v>6.4285714285714279</v>
      </c>
      <c r="BE183" s="32">
        <f t="shared" si="50"/>
        <v>9</v>
      </c>
    </row>
    <row r="184" spans="1:57" ht="25.5" customHeight="1" x14ac:dyDescent="0.25">
      <c r="A184" s="33" t="s">
        <v>628</v>
      </c>
      <c r="B184" s="11" t="s">
        <v>46</v>
      </c>
      <c r="C184" s="34" t="s">
        <v>112</v>
      </c>
      <c r="D184" s="24">
        <f t="shared" si="34"/>
        <v>6</v>
      </c>
      <c r="E184" s="59">
        <f t="shared" si="35"/>
        <v>6.4285714285714279</v>
      </c>
      <c r="F184" s="59">
        <f t="shared" si="36"/>
        <v>9</v>
      </c>
      <c r="G184" s="11" t="s">
        <v>629</v>
      </c>
      <c r="H184" s="25" t="str">
        <f>IFERROR(IF($AQ184,INDEX(cpe!$C$2:$C$307,MATCH($AR184,cpe!$F$2:$F$307,0)),INDEX(cpe!$C$2:$C$307,MATCH($AR184,cpe!$D$2:$D$307,0))),"#N/D")</f>
        <v>#N/D</v>
      </c>
      <c r="I184" s="25" t="str">
        <f>IFERROR(IF($AQ184,INDEX(cpe!$B$2:$B$307,MATCH($AR184,cpe!$F$2:$F$307,0)),INDEX(cpe!$B$2:$B$307,MATCH($AR184,cpe!$D$2:$D$307,0))),"#N/D")</f>
        <v>#N/D</v>
      </c>
      <c r="J184" s="26" t="str">
        <f>IF($AQ184,"#N/D",IFERROR(INDEX(Olimpiadas!$B$2:$B$61,MATCH($AO184,Olimpiadas!$C$2:$C$61,0)),"#N/D"))</f>
        <v>#N/D</v>
      </c>
      <c r="K184" s="26" t="str">
        <f>IF($AQ184,"#N/D",IFERROR(INDEX(Olimpiadas!$A$2:$A$61,MATCH($AO184,Olimpiadas!$C$2:$C$61,0)),"#N/D"))</f>
        <v>#N/D</v>
      </c>
      <c r="L184" s="26" t="str">
        <f>IF($AQ184,"#N/D",IFERROR(INDEX(Minculturas!$A$2:$A$48,MATCH($AO184,Minculturas!$C$2:$C$48,0)),"#N/D"))</f>
        <v>#N/D</v>
      </c>
      <c r="M184" s="26" t="str">
        <f>IF($AQ184,"#N/D",IFERROR(INDEX(Minculturas!$B$2:$B$48,MATCH($AO184,Minculturas!$C$2:$C$48,0)),"#N/D"))</f>
        <v>#N/D</v>
      </c>
      <c r="N184" s="27">
        <v>1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1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7">
        <f t="shared" si="37"/>
        <v>1</v>
      </c>
      <c r="AH184" s="28"/>
      <c r="AI184" s="28"/>
      <c r="AJ184" s="28">
        <v>32.6</v>
      </c>
      <c r="AK184" s="28"/>
      <c r="AL184" s="28"/>
      <c r="AM184" s="29" t="s">
        <v>114</v>
      </c>
      <c r="AO184" t="str">
        <f t="shared" si="38"/>
        <v>confines</v>
      </c>
      <c r="AP184" t="str">
        <f t="shared" si="39"/>
        <v>santander</v>
      </c>
      <c r="AQ184" t="b">
        <f t="shared" si="40"/>
        <v>0</v>
      </c>
      <c r="AR184" t="str">
        <f t="shared" si="41"/>
        <v>confines</v>
      </c>
      <c r="AS184" s="30">
        <f t="shared" si="42"/>
        <v>0</v>
      </c>
      <c r="AT184" s="30">
        <f t="shared" si="43"/>
        <v>1</v>
      </c>
      <c r="AU184" s="30">
        <f t="shared" si="44"/>
        <v>3</v>
      </c>
      <c r="AV184" s="30">
        <f t="shared" si="45"/>
        <v>3</v>
      </c>
      <c r="AZ184" s="31">
        <f t="shared" si="46"/>
        <v>3</v>
      </c>
      <c r="BA184" s="31">
        <f t="shared" si="47"/>
        <v>6</v>
      </c>
      <c r="BB184" s="32">
        <f>IFERROR(INDEX('Análisis general'!$E$4:$E$28,MATCH($B184,'Análisis general'!$B$4:$B$28,0)),"")</f>
        <v>6.9</v>
      </c>
      <c r="BC184" s="31">
        <f t="shared" si="48"/>
        <v>3</v>
      </c>
      <c r="BD184" s="32">
        <f t="shared" si="49"/>
        <v>6.4285714285714279</v>
      </c>
      <c r="BE184" s="32">
        <f t="shared" si="50"/>
        <v>9</v>
      </c>
    </row>
    <row r="185" spans="1:57" ht="25.5" customHeight="1" x14ac:dyDescent="0.25">
      <c r="A185" s="33" t="s">
        <v>630</v>
      </c>
      <c r="B185" s="11" t="s">
        <v>46</v>
      </c>
      <c r="C185" s="34" t="s">
        <v>112</v>
      </c>
      <c r="D185" s="24">
        <f t="shared" si="34"/>
        <v>6</v>
      </c>
      <c r="E185" s="59">
        <f t="shared" si="35"/>
        <v>6.4285714285714279</v>
      </c>
      <c r="F185" s="59">
        <f t="shared" si="36"/>
        <v>9</v>
      </c>
      <c r="G185" s="11" t="s">
        <v>631</v>
      </c>
      <c r="H185" s="25" t="str">
        <f>IFERROR(IF($AQ185,INDEX(cpe!$C$2:$C$307,MATCH($AR185,cpe!$F$2:$F$307,0)),INDEX(cpe!$C$2:$C$307,MATCH($AR185,cpe!$D$2:$D$307,0))),"#N/D")</f>
        <v>#N/D</v>
      </c>
      <c r="I185" s="25" t="str">
        <f>IFERROR(IF($AQ185,INDEX(cpe!$B$2:$B$307,MATCH($AR185,cpe!$F$2:$F$307,0)),INDEX(cpe!$B$2:$B$307,MATCH($AR185,cpe!$D$2:$D$307,0))),"#N/D")</f>
        <v>#N/D</v>
      </c>
      <c r="J185" s="26" t="str">
        <f>IF($AQ185,"#N/D",IFERROR(INDEX(Olimpiadas!$B$2:$B$61,MATCH($AO185,Olimpiadas!$C$2:$C$61,0)),"#N/D"))</f>
        <v>#N/D</v>
      </c>
      <c r="K185" s="26" t="str">
        <f>IF($AQ185,"#N/D",IFERROR(INDEX(Olimpiadas!$A$2:$A$61,MATCH($AO185,Olimpiadas!$C$2:$C$61,0)),"#N/D"))</f>
        <v>#N/D</v>
      </c>
      <c r="L185" s="26" t="str">
        <f>IF($AQ185,"#N/D",IFERROR(INDEX(Minculturas!$A$2:$A$48,MATCH($AO185,Minculturas!$C$2:$C$48,0)),"#N/D"))</f>
        <v>#N/D</v>
      </c>
      <c r="M185" s="26" t="str">
        <f>IF($AQ185,"#N/D",IFERROR(INDEX(Minculturas!$B$2:$B$48,MATCH($AO185,Minculturas!$C$2:$C$48,0)),"#N/D"))</f>
        <v>#N/D</v>
      </c>
      <c r="N185" s="27">
        <v>1</v>
      </c>
      <c r="O185" s="28">
        <v>0</v>
      </c>
      <c r="P185" s="28">
        <v>1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7">
        <f t="shared" si="37"/>
        <v>1</v>
      </c>
      <c r="AH185" s="28"/>
      <c r="AI185" s="28"/>
      <c r="AJ185" s="28">
        <v>53.6</v>
      </c>
      <c r="AK185" s="28"/>
      <c r="AL185" s="28"/>
      <c r="AM185" s="29" t="s">
        <v>114</v>
      </c>
      <c r="AO185" t="str">
        <f t="shared" si="38"/>
        <v>coromoro</v>
      </c>
      <c r="AP185" t="str">
        <f t="shared" si="39"/>
        <v>santander</v>
      </c>
      <c r="AQ185" t="b">
        <f t="shared" si="40"/>
        <v>0</v>
      </c>
      <c r="AR185" t="str">
        <f t="shared" si="41"/>
        <v>coromoro</v>
      </c>
      <c r="AS185" s="30">
        <f t="shared" si="42"/>
        <v>0</v>
      </c>
      <c r="AT185" s="30">
        <f t="shared" si="43"/>
        <v>1</v>
      </c>
      <c r="AU185" s="30">
        <f t="shared" si="44"/>
        <v>3</v>
      </c>
      <c r="AV185" s="30">
        <f t="shared" si="45"/>
        <v>3</v>
      </c>
      <c r="AZ185" s="31">
        <f t="shared" si="46"/>
        <v>3</v>
      </c>
      <c r="BA185" s="31">
        <f t="shared" si="47"/>
        <v>6</v>
      </c>
      <c r="BB185" s="32">
        <f>IFERROR(INDEX('Análisis general'!$E$4:$E$28,MATCH($B185,'Análisis general'!$B$4:$B$28,0)),"")</f>
        <v>6.9</v>
      </c>
      <c r="BC185" s="31">
        <f t="shared" si="48"/>
        <v>3</v>
      </c>
      <c r="BD185" s="32">
        <f t="shared" si="49"/>
        <v>6.4285714285714279</v>
      </c>
      <c r="BE185" s="32">
        <f t="shared" si="50"/>
        <v>9</v>
      </c>
    </row>
    <row r="186" spans="1:57" ht="25.5" customHeight="1" x14ac:dyDescent="0.25">
      <c r="A186" s="33" t="s">
        <v>632</v>
      </c>
      <c r="B186" s="11" t="s">
        <v>10</v>
      </c>
      <c r="C186" s="34" t="s">
        <v>112</v>
      </c>
      <c r="D186" s="24">
        <f t="shared" si="34"/>
        <v>6</v>
      </c>
      <c r="E186" s="59">
        <f t="shared" si="35"/>
        <v>6.4285714285714279</v>
      </c>
      <c r="F186" s="59">
        <f t="shared" si="36"/>
        <v>9</v>
      </c>
      <c r="G186" s="11" t="s">
        <v>633</v>
      </c>
      <c r="H186" s="25" t="str">
        <f>IFERROR(IF($AQ186,INDEX(cpe!$C$2:$C$307,MATCH($AR186,cpe!$F$2:$F$307,0)),INDEX(cpe!$C$2:$C$307,MATCH($AR186,cpe!$D$2:$D$307,0))),"#N/D")</f>
        <v>#N/D</v>
      </c>
      <c r="I186" s="25" t="str">
        <f>IFERROR(IF($AQ186,INDEX(cpe!$B$2:$B$307,MATCH($AR186,cpe!$F$2:$F$307,0)),INDEX(cpe!$B$2:$B$307,MATCH($AR186,cpe!$D$2:$D$307,0))),"#N/D")</f>
        <v>#N/D</v>
      </c>
      <c r="J186" s="26" t="str">
        <f>IF($AQ186,"#N/D",IFERROR(INDEX(Olimpiadas!$B$2:$B$61,MATCH($AO186,Olimpiadas!$C$2:$C$61,0)),"#N/D"))</f>
        <v>#N/D</v>
      </c>
      <c r="K186" s="26" t="str">
        <f>IF($AQ186,"#N/D",IFERROR(INDEX(Olimpiadas!$A$2:$A$61,MATCH($AO186,Olimpiadas!$C$2:$C$61,0)),"#N/D"))</f>
        <v>#N/D</v>
      </c>
      <c r="L186" s="26" t="str">
        <f>IF($AQ186,"#N/D",IFERROR(INDEX(Minculturas!$A$2:$A$48,MATCH($AO186,Minculturas!$C$2:$C$48,0)),"#N/D"))</f>
        <v>#N/D</v>
      </c>
      <c r="M186" s="26" t="str">
        <f>IF($AQ186,"#N/D",IFERROR(INDEX(Minculturas!$B$2:$B$48,MATCH($AO186,Minculturas!$C$2:$C$48,0)),"#N/D"))</f>
        <v>#N/D</v>
      </c>
      <c r="N186" s="27">
        <v>1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1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7">
        <f t="shared" si="37"/>
        <v>1</v>
      </c>
      <c r="AH186" s="28"/>
      <c r="AI186" s="28"/>
      <c r="AJ186" s="28">
        <v>60.5</v>
      </c>
      <c r="AK186" s="28"/>
      <c r="AL186" s="28"/>
      <c r="AM186" s="29" t="s">
        <v>114</v>
      </c>
      <c r="AO186" t="str">
        <f t="shared" si="38"/>
        <v>dabeiba</v>
      </c>
      <c r="AP186" t="str">
        <f t="shared" si="39"/>
        <v>antioquia</v>
      </c>
      <c r="AQ186" t="b">
        <f t="shared" si="40"/>
        <v>0</v>
      </c>
      <c r="AR186" t="str">
        <f t="shared" si="41"/>
        <v>dabeiba</v>
      </c>
      <c r="AS186" s="30">
        <f t="shared" si="42"/>
        <v>0</v>
      </c>
      <c r="AT186" s="30">
        <f t="shared" si="43"/>
        <v>1</v>
      </c>
      <c r="AU186" s="30">
        <f t="shared" si="44"/>
        <v>3</v>
      </c>
      <c r="AV186" s="30">
        <f t="shared" si="45"/>
        <v>3</v>
      </c>
      <c r="AZ186" s="31">
        <f t="shared" si="46"/>
        <v>3</v>
      </c>
      <c r="BA186" s="31">
        <f t="shared" si="47"/>
        <v>6</v>
      </c>
      <c r="BB186" s="32">
        <f>IFERROR(INDEX('Análisis general'!$E$4:$E$28,MATCH($B186,'Análisis general'!$B$4:$B$28,0)),"")</f>
        <v>9.5</v>
      </c>
      <c r="BC186" s="31">
        <f t="shared" si="48"/>
        <v>3</v>
      </c>
      <c r="BD186" s="32">
        <f t="shared" si="49"/>
        <v>6.4285714285714279</v>
      </c>
      <c r="BE186" s="32">
        <f t="shared" si="50"/>
        <v>9</v>
      </c>
    </row>
    <row r="187" spans="1:57" ht="25.5" customHeight="1" x14ac:dyDescent="0.25">
      <c r="A187" s="33" t="s">
        <v>634</v>
      </c>
      <c r="B187" s="11" t="s">
        <v>10</v>
      </c>
      <c r="C187" s="34" t="s">
        <v>112</v>
      </c>
      <c r="D187" s="24">
        <f t="shared" si="34"/>
        <v>6</v>
      </c>
      <c r="E187" s="59">
        <f t="shared" si="35"/>
        <v>6.4285714285714279</v>
      </c>
      <c r="F187" s="59">
        <f t="shared" si="36"/>
        <v>9</v>
      </c>
      <c r="G187" s="11" t="s">
        <v>635</v>
      </c>
      <c r="H187" s="25" t="str">
        <f>IFERROR(IF($AQ187,INDEX(cpe!$C$2:$C$307,MATCH($AR187,cpe!$F$2:$F$307,0)),INDEX(cpe!$C$2:$C$307,MATCH($AR187,cpe!$D$2:$D$307,0))),"#N/D")</f>
        <v>#N/D</v>
      </c>
      <c r="I187" s="25" t="str">
        <f>IFERROR(IF($AQ187,INDEX(cpe!$B$2:$B$307,MATCH($AR187,cpe!$F$2:$F$307,0)),INDEX(cpe!$B$2:$B$307,MATCH($AR187,cpe!$D$2:$D$307,0))),"#N/D")</f>
        <v>#N/D</v>
      </c>
      <c r="J187" s="26" t="str">
        <f>IF($AQ187,"#N/D",IFERROR(INDEX(Olimpiadas!$B$2:$B$61,MATCH($AO187,Olimpiadas!$C$2:$C$61,0)),"#N/D"))</f>
        <v>#N/D</v>
      </c>
      <c r="K187" s="26" t="str">
        <f>IF($AQ187,"#N/D",IFERROR(INDEX(Olimpiadas!$A$2:$A$61,MATCH($AO187,Olimpiadas!$C$2:$C$61,0)),"#N/D"))</f>
        <v>#N/D</v>
      </c>
      <c r="L187" s="26" t="str">
        <f>IF($AQ187,"#N/D",IFERROR(INDEX(Minculturas!$A$2:$A$48,MATCH($AO187,Minculturas!$C$2:$C$48,0)),"#N/D"))</f>
        <v>#N/D</v>
      </c>
      <c r="M187" s="26" t="str">
        <f>IF($AQ187,"#N/D",IFERROR(INDEX(Minculturas!$B$2:$B$48,MATCH($AO187,Minculturas!$C$2:$C$48,0)),"#N/D"))</f>
        <v>#N/D</v>
      </c>
      <c r="N187" s="27">
        <v>1</v>
      </c>
      <c r="O187" s="28">
        <v>0</v>
      </c>
      <c r="P187" s="28">
        <v>0</v>
      </c>
      <c r="Q187" s="28">
        <v>0</v>
      </c>
      <c r="R187" s="28">
        <v>0</v>
      </c>
      <c r="S187" s="28">
        <v>1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7">
        <f t="shared" si="37"/>
        <v>1</v>
      </c>
      <c r="AH187" s="28"/>
      <c r="AI187" s="28"/>
      <c r="AJ187" s="28">
        <v>17</v>
      </c>
      <c r="AK187" s="28"/>
      <c r="AL187" s="28"/>
      <c r="AM187" s="29" t="s">
        <v>114</v>
      </c>
      <c r="AO187" t="str">
        <f t="shared" si="38"/>
        <v>guarne</v>
      </c>
      <c r="AP187" t="str">
        <f t="shared" si="39"/>
        <v>antioquia</v>
      </c>
      <c r="AQ187" t="b">
        <f t="shared" si="40"/>
        <v>0</v>
      </c>
      <c r="AR187" t="str">
        <f t="shared" si="41"/>
        <v>guarne</v>
      </c>
      <c r="AS187" s="30">
        <f t="shared" si="42"/>
        <v>0</v>
      </c>
      <c r="AT187" s="30">
        <f t="shared" si="43"/>
        <v>1</v>
      </c>
      <c r="AU187" s="30">
        <f t="shared" si="44"/>
        <v>3</v>
      </c>
      <c r="AV187" s="30">
        <f t="shared" si="45"/>
        <v>3</v>
      </c>
      <c r="AZ187" s="31">
        <f t="shared" si="46"/>
        <v>3</v>
      </c>
      <c r="BA187" s="31">
        <f t="shared" si="47"/>
        <v>6</v>
      </c>
      <c r="BB187" s="32">
        <f>IFERROR(INDEX('Análisis general'!$E$4:$E$28,MATCH($B187,'Análisis general'!$B$4:$B$28,0)),"")</f>
        <v>9.5</v>
      </c>
      <c r="BC187" s="31">
        <f t="shared" si="48"/>
        <v>3</v>
      </c>
      <c r="BD187" s="32">
        <f t="shared" si="49"/>
        <v>6.4285714285714279</v>
      </c>
      <c r="BE187" s="32">
        <f t="shared" si="50"/>
        <v>9</v>
      </c>
    </row>
    <row r="188" spans="1:57" ht="25.5" customHeight="1" x14ac:dyDescent="0.25">
      <c r="A188" s="33" t="s">
        <v>636</v>
      </c>
      <c r="B188" s="11" t="s">
        <v>24</v>
      </c>
      <c r="C188" s="34" t="s">
        <v>112</v>
      </c>
      <c r="D188" s="24">
        <f t="shared" si="34"/>
        <v>6</v>
      </c>
      <c r="E188" s="59">
        <f t="shared" si="35"/>
        <v>6.4285714285714279</v>
      </c>
      <c r="F188" s="59">
        <f t="shared" si="36"/>
        <v>9</v>
      </c>
      <c r="G188" s="11" t="s">
        <v>637</v>
      </c>
      <c r="H188" s="25" t="str">
        <f>IFERROR(IF($AQ188,INDEX(cpe!$C$2:$C$307,MATCH($AR188,cpe!$F$2:$F$307,0)),INDEX(cpe!$C$2:$C$307,MATCH($AR188,cpe!$D$2:$D$307,0))),"#N/D")</f>
        <v>#N/D</v>
      </c>
      <c r="I188" s="25" t="str">
        <f>IFERROR(IF($AQ188,INDEX(cpe!$B$2:$B$307,MATCH($AR188,cpe!$F$2:$F$307,0)),INDEX(cpe!$B$2:$B$307,MATCH($AR188,cpe!$D$2:$D$307,0))),"#N/D")</f>
        <v>#N/D</v>
      </c>
      <c r="J188" s="26" t="str">
        <f>IF($AQ188,"#N/D",IFERROR(INDEX(Olimpiadas!$B$2:$B$61,MATCH($AO188,Olimpiadas!$C$2:$C$61,0)),"#N/D"))</f>
        <v>#N/D</v>
      </c>
      <c r="K188" s="26" t="str">
        <f>IF($AQ188,"#N/D",IFERROR(INDEX(Olimpiadas!$A$2:$A$61,MATCH($AO188,Olimpiadas!$C$2:$C$61,0)),"#N/D"))</f>
        <v>#N/D</v>
      </c>
      <c r="L188" s="26" t="str">
        <f>IF($AQ188,"#N/D",IFERROR(INDEX(Minculturas!$A$2:$A$48,MATCH($AO188,Minculturas!$C$2:$C$48,0)),"#N/D"))</f>
        <v>#N/D</v>
      </c>
      <c r="M188" s="26" t="str">
        <f>IF($AQ188,"#N/D",IFERROR(INDEX(Minculturas!$B$2:$B$48,MATCH($AO188,Minculturas!$C$2:$C$48,0)),"#N/D"))</f>
        <v>#N/D</v>
      </c>
      <c r="N188" s="27">
        <v>1</v>
      </c>
      <c r="O188" s="28">
        <v>0</v>
      </c>
      <c r="P188" s="28">
        <v>0</v>
      </c>
      <c r="Q188" s="28">
        <v>0</v>
      </c>
      <c r="R188" s="28">
        <v>0</v>
      </c>
      <c r="S188" s="28">
        <v>1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7">
        <f t="shared" si="37"/>
        <v>1</v>
      </c>
      <c r="AH188" s="38" t="s">
        <v>638</v>
      </c>
      <c r="AI188" s="38" t="s">
        <v>638</v>
      </c>
      <c r="AJ188" s="28">
        <v>34.5</v>
      </c>
      <c r="AK188" s="28"/>
      <c r="AL188" s="28"/>
      <c r="AM188" s="29" t="s">
        <v>114</v>
      </c>
      <c r="AO188" t="str">
        <f t="shared" si="38"/>
        <v>la merced</v>
      </c>
      <c r="AP188" t="str">
        <f t="shared" si="39"/>
        <v>caldas</v>
      </c>
      <c r="AQ188" t="b">
        <f t="shared" si="40"/>
        <v>0</v>
      </c>
      <c r="AR188" t="str">
        <f t="shared" si="41"/>
        <v>la merced</v>
      </c>
      <c r="AS188" s="30">
        <f t="shared" si="42"/>
        <v>0</v>
      </c>
      <c r="AT188" s="30">
        <f t="shared" si="43"/>
        <v>1</v>
      </c>
      <c r="AU188" s="30">
        <f t="shared" si="44"/>
        <v>3</v>
      </c>
      <c r="AV188" s="30">
        <f t="shared" si="45"/>
        <v>3</v>
      </c>
      <c r="AZ188" s="31">
        <f t="shared" si="46"/>
        <v>3</v>
      </c>
      <c r="BA188" s="31">
        <f t="shared" si="47"/>
        <v>6</v>
      </c>
      <c r="BB188" s="32">
        <f>IFERROR(INDEX('Análisis general'!$E$4:$E$28,MATCH($B188,'Análisis general'!$B$4:$B$28,0)),"")</f>
        <v>7.9</v>
      </c>
      <c r="BC188" s="31">
        <f t="shared" si="48"/>
        <v>3</v>
      </c>
      <c r="BD188" s="32">
        <f t="shared" si="49"/>
        <v>6.4285714285714279</v>
      </c>
      <c r="BE188" s="32">
        <f t="shared" si="50"/>
        <v>9</v>
      </c>
    </row>
    <row r="189" spans="1:57" ht="25.5" customHeight="1" x14ac:dyDescent="0.25">
      <c r="A189" s="33" t="s">
        <v>641</v>
      </c>
      <c r="B189" s="11" t="s">
        <v>10</v>
      </c>
      <c r="C189" s="34" t="s">
        <v>112</v>
      </c>
      <c r="D189" s="24">
        <f t="shared" si="34"/>
        <v>6</v>
      </c>
      <c r="E189" s="59">
        <f t="shared" si="35"/>
        <v>6.4285714285714279</v>
      </c>
      <c r="F189" s="59">
        <f t="shared" si="36"/>
        <v>9</v>
      </c>
      <c r="G189" s="11" t="s">
        <v>642</v>
      </c>
      <c r="H189" s="25" t="str">
        <f>IFERROR(IF($AQ189,INDEX(cpe!$C$2:$C$307,MATCH($AR189,cpe!$F$2:$F$307,0)),INDEX(cpe!$C$2:$C$307,MATCH($AR189,cpe!$D$2:$D$307,0))),"#N/D")</f>
        <v>#N/D</v>
      </c>
      <c r="I189" s="25" t="str">
        <f>IFERROR(IF($AQ189,INDEX(cpe!$B$2:$B$307,MATCH($AR189,cpe!$F$2:$F$307,0)),INDEX(cpe!$B$2:$B$307,MATCH($AR189,cpe!$D$2:$D$307,0))),"#N/D")</f>
        <v>#N/D</v>
      </c>
      <c r="J189" s="26" t="str">
        <f>IF($AQ189,"#N/D",IFERROR(INDEX(Olimpiadas!$B$2:$B$61,MATCH($AO189,Olimpiadas!$C$2:$C$61,0)),"#N/D"))</f>
        <v>#N/D</v>
      </c>
      <c r="K189" s="26" t="str">
        <f>IF($AQ189,"#N/D",IFERROR(INDEX(Olimpiadas!$A$2:$A$61,MATCH($AO189,Olimpiadas!$C$2:$C$61,0)),"#N/D"))</f>
        <v>#N/D</v>
      </c>
      <c r="L189" s="26" t="str">
        <f>IF($AQ189,"#N/D",IFERROR(INDEX(Minculturas!$A$2:$A$48,MATCH($AO189,Minculturas!$C$2:$C$48,0)),"#N/D"))</f>
        <v>#N/D</v>
      </c>
      <c r="M189" s="26" t="str">
        <f>IF($AQ189,"#N/D",IFERROR(INDEX(Minculturas!$B$2:$B$48,MATCH($AO189,Minculturas!$C$2:$C$48,0)),"#N/D"))</f>
        <v>#N/D</v>
      </c>
      <c r="N189" s="27">
        <v>1</v>
      </c>
      <c r="O189" s="28">
        <v>0</v>
      </c>
      <c r="P189" s="28">
        <v>0</v>
      </c>
      <c r="Q189" s="28">
        <v>0</v>
      </c>
      <c r="R189" s="28">
        <v>1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7">
        <f t="shared" si="37"/>
        <v>1</v>
      </c>
      <c r="AH189" s="28"/>
      <c r="AI189" s="28"/>
      <c r="AJ189" s="28">
        <v>39.5</v>
      </c>
      <c r="AK189" s="28"/>
      <c r="AL189" s="28"/>
      <c r="AM189" s="29" t="s">
        <v>114</v>
      </c>
      <c r="AO189" t="str">
        <f t="shared" si="38"/>
        <v>montebello</v>
      </c>
      <c r="AP189" t="str">
        <f t="shared" si="39"/>
        <v>antioquia</v>
      </c>
      <c r="AQ189" t="b">
        <f t="shared" si="40"/>
        <v>0</v>
      </c>
      <c r="AR189" t="str">
        <f t="shared" si="41"/>
        <v>montebello</v>
      </c>
      <c r="AS189" s="30">
        <f t="shared" si="42"/>
        <v>0</v>
      </c>
      <c r="AT189" s="30">
        <f t="shared" si="43"/>
        <v>1</v>
      </c>
      <c r="AU189" s="30">
        <f t="shared" si="44"/>
        <v>3</v>
      </c>
      <c r="AV189" s="30">
        <f t="shared" si="45"/>
        <v>3</v>
      </c>
      <c r="AZ189" s="31">
        <f t="shared" si="46"/>
        <v>3</v>
      </c>
      <c r="BA189" s="31">
        <f t="shared" si="47"/>
        <v>6</v>
      </c>
      <c r="BB189" s="32">
        <f>IFERROR(INDEX('Análisis general'!$E$4:$E$28,MATCH($B189,'Análisis general'!$B$4:$B$28,0)),"")</f>
        <v>9.5</v>
      </c>
      <c r="BC189" s="31">
        <f t="shared" si="48"/>
        <v>3</v>
      </c>
      <c r="BD189" s="32">
        <f t="shared" si="49"/>
        <v>6.4285714285714279</v>
      </c>
      <c r="BE189" s="32">
        <f t="shared" si="50"/>
        <v>9</v>
      </c>
    </row>
    <row r="190" spans="1:57" ht="25.5" customHeight="1" x14ac:dyDescent="0.25">
      <c r="A190" s="33" t="s">
        <v>643</v>
      </c>
      <c r="B190" s="11" t="s">
        <v>10</v>
      </c>
      <c r="C190" s="34" t="s">
        <v>112</v>
      </c>
      <c r="D190" s="24">
        <f t="shared" si="34"/>
        <v>6</v>
      </c>
      <c r="E190" s="59">
        <f t="shared" si="35"/>
        <v>6.4285714285714279</v>
      </c>
      <c r="F190" s="59">
        <f t="shared" si="36"/>
        <v>9</v>
      </c>
      <c r="G190" s="11" t="s">
        <v>644</v>
      </c>
      <c r="H190" s="25" t="s">
        <v>106</v>
      </c>
      <c r="I190" s="25" t="s">
        <v>106</v>
      </c>
      <c r="J190" s="26" t="s">
        <v>106</v>
      </c>
      <c r="K190" s="26" t="str">
        <f>IF($AQ190,"#N/D",IFERROR(INDEX(Olimpiadas!$A$2:$A$61,MATCH($AO190,Olimpiadas!$C$2:$C$61,0)),"#N/D"))</f>
        <v>#N/D</v>
      </c>
      <c r="L190" s="26" t="str">
        <f>IF($AQ190,"#N/D",IFERROR(INDEX(Minculturas!$A$2:$A$48,MATCH($AO190,Minculturas!$C$2:$C$48,0)),"#N/D"))</f>
        <v>#N/D</v>
      </c>
      <c r="M190" s="26" t="str">
        <f>IF($AQ190,"#N/D",IFERROR(INDEX(Minculturas!$B$2:$B$48,MATCH($AO190,Minculturas!$C$2:$C$48,0)),"#N/D"))</f>
        <v>#N/D</v>
      </c>
      <c r="N190" s="27">
        <v>1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1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7">
        <f t="shared" si="37"/>
        <v>1</v>
      </c>
      <c r="AH190" s="28"/>
      <c r="AI190" s="28"/>
      <c r="AJ190" s="28">
        <v>49.7</v>
      </c>
      <c r="AK190" s="28"/>
      <c r="AL190" s="28"/>
      <c r="AM190" s="29" t="s">
        <v>365</v>
      </c>
      <c r="AO190" t="str">
        <f t="shared" si="38"/>
        <v>salgar</v>
      </c>
      <c r="AP190" t="str">
        <f t="shared" si="39"/>
        <v>antioquia</v>
      </c>
      <c r="AQ190" t="b">
        <f t="shared" si="40"/>
        <v>0</v>
      </c>
      <c r="AR190" t="str">
        <f t="shared" si="41"/>
        <v>salgar</v>
      </c>
      <c r="AS190" s="30">
        <f t="shared" si="42"/>
        <v>0</v>
      </c>
      <c r="AT190" s="30">
        <f t="shared" si="43"/>
        <v>1</v>
      </c>
      <c r="AU190" s="30">
        <f t="shared" si="44"/>
        <v>3</v>
      </c>
      <c r="AV190" s="30">
        <f t="shared" si="45"/>
        <v>3</v>
      </c>
      <c r="AZ190" s="31">
        <f t="shared" si="46"/>
        <v>3</v>
      </c>
      <c r="BA190" s="31">
        <f t="shared" si="47"/>
        <v>6</v>
      </c>
      <c r="BB190" s="32">
        <f>IFERROR(INDEX('Análisis general'!$E$4:$E$28,MATCH($B190,'Análisis general'!$B$4:$B$28,0)),"")</f>
        <v>9.5</v>
      </c>
      <c r="BC190" s="31">
        <f t="shared" si="48"/>
        <v>3</v>
      </c>
      <c r="BD190" s="32">
        <f t="shared" si="49"/>
        <v>6.4285714285714279</v>
      </c>
      <c r="BE190" s="32">
        <f t="shared" si="50"/>
        <v>9</v>
      </c>
    </row>
    <row r="191" spans="1:57" ht="25.5" customHeight="1" x14ac:dyDescent="0.25">
      <c r="A191" s="33" t="s">
        <v>645</v>
      </c>
      <c r="B191" s="11" t="s">
        <v>10</v>
      </c>
      <c r="C191" s="34" t="s">
        <v>112</v>
      </c>
      <c r="D191" s="24">
        <f t="shared" si="34"/>
        <v>6</v>
      </c>
      <c r="E191" s="59">
        <f t="shared" si="35"/>
        <v>6.4285714285714279</v>
      </c>
      <c r="F191" s="59">
        <f t="shared" si="36"/>
        <v>9</v>
      </c>
      <c r="G191" s="11" t="s">
        <v>646</v>
      </c>
      <c r="H191" s="25" t="s">
        <v>106</v>
      </c>
      <c r="I191" s="25" t="s">
        <v>106</v>
      </c>
      <c r="J191" s="26" t="s">
        <v>106</v>
      </c>
      <c r="K191" s="26" t="str">
        <f>IF($AQ191,"#N/D",IFERROR(INDEX(Olimpiadas!$A$2:$A$61,MATCH($AO191,Olimpiadas!$C$2:$C$61,0)),"#N/D"))</f>
        <v>#N/D</v>
      </c>
      <c r="L191" s="26" t="str">
        <f>IF($AQ191,"#N/D",IFERROR(INDEX(Minculturas!$A$2:$A$48,MATCH($AO191,Minculturas!$C$2:$C$48,0)),"#N/D"))</f>
        <v>#N/D</v>
      </c>
      <c r="M191" s="26" t="str">
        <f>IF($AQ191,"#N/D",IFERROR(INDEX(Minculturas!$B$2:$B$48,MATCH($AO191,Minculturas!$C$2:$C$48,0)),"#N/D"))</f>
        <v>#N/D</v>
      </c>
      <c r="N191" s="27">
        <v>1</v>
      </c>
      <c r="O191" s="28">
        <v>0</v>
      </c>
      <c r="P191" s="28">
        <v>0</v>
      </c>
      <c r="Q191" s="28">
        <v>1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7">
        <f t="shared" si="37"/>
        <v>1</v>
      </c>
      <c r="AH191" s="28"/>
      <c r="AI191" s="28"/>
      <c r="AJ191" s="28">
        <v>30.5</v>
      </c>
      <c r="AK191" s="28"/>
      <c r="AL191" s="28"/>
      <c r="AM191" s="29" t="s">
        <v>114</v>
      </c>
      <c r="AO191" t="str">
        <f t="shared" si="38"/>
        <v>san carlos</v>
      </c>
      <c r="AP191" t="str">
        <f t="shared" si="39"/>
        <v>antioquia</v>
      </c>
      <c r="AQ191" t="b">
        <f t="shared" si="40"/>
        <v>0</v>
      </c>
      <c r="AR191" t="str">
        <f t="shared" si="41"/>
        <v>san carlos</v>
      </c>
      <c r="AS191" s="30">
        <f t="shared" si="42"/>
        <v>0</v>
      </c>
      <c r="AT191" s="30">
        <f t="shared" si="43"/>
        <v>1</v>
      </c>
      <c r="AU191" s="30">
        <f t="shared" si="44"/>
        <v>3</v>
      </c>
      <c r="AV191" s="30">
        <f t="shared" si="45"/>
        <v>3</v>
      </c>
      <c r="AZ191" s="31">
        <f t="shared" si="46"/>
        <v>3</v>
      </c>
      <c r="BA191" s="31">
        <f t="shared" si="47"/>
        <v>6</v>
      </c>
      <c r="BB191" s="32">
        <f>IFERROR(INDEX('Análisis general'!$E$4:$E$28,MATCH($B191,'Análisis general'!$B$4:$B$28,0)),"")</f>
        <v>9.5</v>
      </c>
      <c r="BC191" s="31">
        <f t="shared" si="48"/>
        <v>3</v>
      </c>
      <c r="BD191" s="32">
        <f t="shared" si="49"/>
        <v>6.4285714285714279</v>
      </c>
      <c r="BE191" s="32">
        <f t="shared" si="50"/>
        <v>9</v>
      </c>
    </row>
    <row r="192" spans="1:57" ht="25.5" customHeight="1" x14ac:dyDescent="0.25">
      <c r="A192" s="33" t="s">
        <v>647</v>
      </c>
      <c r="B192" s="11" t="s">
        <v>10</v>
      </c>
      <c r="C192" s="34" t="s">
        <v>112</v>
      </c>
      <c r="D192" s="24">
        <f t="shared" si="34"/>
        <v>6</v>
      </c>
      <c r="E192" s="59">
        <f t="shared" si="35"/>
        <v>6.4285714285714279</v>
      </c>
      <c r="F192" s="59">
        <f t="shared" si="36"/>
        <v>9</v>
      </c>
      <c r="G192" s="11" t="s">
        <v>648</v>
      </c>
      <c r="H192" s="25" t="s">
        <v>106</v>
      </c>
      <c r="I192" s="25" t="s">
        <v>106</v>
      </c>
      <c r="J192" s="26" t="s">
        <v>106</v>
      </c>
      <c r="K192" s="26" t="str">
        <f>IF($AQ192,"#N/D",IFERROR(INDEX(Olimpiadas!$A$2:$A$61,MATCH($AO192,Olimpiadas!$C$2:$C$61,0)),"#N/D"))</f>
        <v>#N/D</v>
      </c>
      <c r="L192" s="26" t="str">
        <f>IF($AQ192,"#N/D",IFERROR(INDEX(Minculturas!$A$2:$A$48,MATCH($AO192,Minculturas!$C$2:$C$48,0)),"#N/D"))</f>
        <v>#N/D</v>
      </c>
      <c r="M192" s="26" t="str">
        <f>IF($AQ192,"#N/D",IFERROR(INDEX(Minculturas!$B$2:$B$48,MATCH($AO192,Minculturas!$C$2:$C$48,0)),"#N/D"))</f>
        <v>#N/D</v>
      </c>
      <c r="N192" s="27">
        <v>1</v>
      </c>
      <c r="O192" s="28">
        <v>0</v>
      </c>
      <c r="P192" s="28">
        <v>1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7">
        <f t="shared" si="37"/>
        <v>1</v>
      </c>
      <c r="AH192" s="28"/>
      <c r="AI192" s="28"/>
      <c r="AJ192" s="28">
        <v>30.5</v>
      </c>
      <c r="AK192" s="28"/>
      <c r="AL192" s="28"/>
      <c r="AM192" s="29" t="s">
        <v>114</v>
      </c>
      <c r="AO192" t="str">
        <f t="shared" si="38"/>
        <v>san jeronimo</v>
      </c>
      <c r="AP192" t="str">
        <f t="shared" si="39"/>
        <v>antioquia</v>
      </c>
      <c r="AQ192" t="b">
        <f t="shared" si="40"/>
        <v>0</v>
      </c>
      <c r="AR192" t="str">
        <f t="shared" si="41"/>
        <v>san jeronimo</v>
      </c>
      <c r="AS192" s="30">
        <f t="shared" si="42"/>
        <v>0</v>
      </c>
      <c r="AT192" s="30">
        <f t="shared" si="43"/>
        <v>1</v>
      </c>
      <c r="AU192" s="30">
        <f t="shared" si="44"/>
        <v>3</v>
      </c>
      <c r="AV192" s="30">
        <f t="shared" si="45"/>
        <v>3</v>
      </c>
      <c r="AZ192" s="31">
        <f t="shared" si="46"/>
        <v>3</v>
      </c>
      <c r="BA192" s="31">
        <f t="shared" si="47"/>
        <v>6</v>
      </c>
      <c r="BB192" s="32">
        <f>IFERROR(INDEX('Análisis general'!$E$4:$E$28,MATCH($B192,'Análisis general'!$B$4:$B$28,0)),"")</f>
        <v>9.5</v>
      </c>
      <c r="BC192" s="31">
        <f t="shared" si="48"/>
        <v>3</v>
      </c>
      <c r="BD192" s="32">
        <f t="shared" si="49"/>
        <v>6.4285714285714279</v>
      </c>
      <c r="BE192" s="32">
        <f t="shared" si="50"/>
        <v>9</v>
      </c>
    </row>
    <row r="193" spans="1:57" ht="25.5" customHeight="1" x14ac:dyDescent="0.25">
      <c r="A193" s="33" t="s">
        <v>649</v>
      </c>
      <c r="B193" s="11" t="s">
        <v>10</v>
      </c>
      <c r="C193" s="34" t="s">
        <v>112</v>
      </c>
      <c r="D193" s="24">
        <f t="shared" si="34"/>
        <v>6</v>
      </c>
      <c r="E193" s="59">
        <f t="shared" si="35"/>
        <v>6.4285714285714279</v>
      </c>
      <c r="F193" s="59">
        <f t="shared" si="36"/>
        <v>9</v>
      </c>
      <c r="G193" s="11" t="s">
        <v>650</v>
      </c>
      <c r="H193" s="25" t="s">
        <v>106</v>
      </c>
      <c r="I193" s="25" t="s">
        <v>106</v>
      </c>
      <c r="J193" s="26" t="s">
        <v>106</v>
      </c>
      <c r="K193" s="26" t="str">
        <f>IF($AQ193,"#N/D",IFERROR(INDEX(Olimpiadas!$A$2:$A$61,MATCH($AO193,Olimpiadas!$C$2:$C$61,0)),"#N/D"))</f>
        <v>#N/D</v>
      </c>
      <c r="L193" s="26" t="str">
        <f>IF($AQ193,"#N/D",IFERROR(INDEX(Minculturas!$A$2:$A$48,MATCH($AO193,Minculturas!$C$2:$C$48,0)),"#N/D"))</f>
        <v>#N/D</v>
      </c>
      <c r="M193" s="26" t="str">
        <f>IF($AQ193,"#N/D",IFERROR(INDEX(Minculturas!$B$2:$B$48,MATCH($AO193,Minculturas!$C$2:$C$48,0)),"#N/D"))</f>
        <v>#N/D</v>
      </c>
      <c r="N193" s="27">
        <v>1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1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7">
        <f t="shared" si="37"/>
        <v>1</v>
      </c>
      <c r="AH193" s="28"/>
      <c r="AI193" s="28"/>
      <c r="AJ193" s="28">
        <v>36.799999999999997</v>
      </c>
      <c r="AK193" s="28"/>
      <c r="AL193" s="28"/>
      <c r="AM193" s="29" t="s">
        <v>365</v>
      </c>
      <c r="AO193" t="str">
        <f t="shared" si="38"/>
        <v>san rafael</v>
      </c>
      <c r="AP193" t="str">
        <f t="shared" si="39"/>
        <v>antioquia</v>
      </c>
      <c r="AQ193" t="b">
        <f t="shared" si="40"/>
        <v>0</v>
      </c>
      <c r="AR193" t="str">
        <f t="shared" si="41"/>
        <v>san rafael</v>
      </c>
      <c r="AS193" s="30">
        <f t="shared" si="42"/>
        <v>0</v>
      </c>
      <c r="AT193" s="30">
        <f t="shared" si="43"/>
        <v>1</v>
      </c>
      <c r="AU193" s="30">
        <f t="shared" si="44"/>
        <v>3</v>
      </c>
      <c r="AV193" s="30">
        <f t="shared" si="45"/>
        <v>3</v>
      </c>
      <c r="AZ193" s="31">
        <f t="shared" si="46"/>
        <v>3</v>
      </c>
      <c r="BA193" s="31">
        <f t="shared" si="47"/>
        <v>6</v>
      </c>
      <c r="BB193" s="32">
        <f>IFERROR(INDEX('Análisis general'!$E$4:$E$28,MATCH($B193,'Análisis general'!$B$4:$B$28,0)),"")</f>
        <v>9.5</v>
      </c>
      <c r="BC193" s="31">
        <f t="shared" si="48"/>
        <v>3</v>
      </c>
      <c r="BD193" s="32">
        <f t="shared" si="49"/>
        <v>6.4285714285714279</v>
      </c>
      <c r="BE193" s="32">
        <f t="shared" si="50"/>
        <v>9</v>
      </c>
    </row>
    <row r="194" spans="1:57" ht="25.5" customHeight="1" x14ac:dyDescent="0.25">
      <c r="A194" s="33" t="s">
        <v>651</v>
      </c>
      <c r="B194" s="11" t="s">
        <v>10</v>
      </c>
      <c r="C194" s="34" t="s">
        <v>112</v>
      </c>
      <c r="D194" s="24">
        <f t="shared" ref="D194:D257" si="51">AS194+AU194+AV194</f>
        <v>6</v>
      </c>
      <c r="E194" s="59">
        <f t="shared" ref="E194:E257" si="52">BD194</f>
        <v>6.4285714285714279</v>
      </c>
      <c r="F194" s="59">
        <f t="shared" ref="F194:F257" si="53">BE194</f>
        <v>9</v>
      </c>
      <c r="G194" s="11" t="s">
        <v>652</v>
      </c>
      <c r="H194" s="25" t="s">
        <v>106</v>
      </c>
      <c r="I194" s="25" t="s">
        <v>106</v>
      </c>
      <c r="J194" s="26" t="s">
        <v>106</v>
      </c>
      <c r="K194" s="26" t="str">
        <f>IF($AQ194,"#N/D",IFERROR(INDEX(Olimpiadas!$A$2:$A$61,MATCH($AO194,Olimpiadas!$C$2:$C$61,0)),"#N/D"))</f>
        <v>#N/D</v>
      </c>
      <c r="L194" s="26" t="str">
        <f>IF($AQ194,"#N/D",IFERROR(INDEX(Minculturas!$A$2:$A$48,MATCH($AO194,Minculturas!$C$2:$C$48,0)),"#N/D"))</f>
        <v>#N/D</v>
      </c>
      <c r="M194" s="26" t="str">
        <f>IF($AQ194,"#N/D",IFERROR(INDEX(Minculturas!$B$2:$B$48,MATCH($AO194,Minculturas!$C$2:$C$48,0)),"#N/D"))</f>
        <v>#N/D</v>
      </c>
      <c r="N194" s="27">
        <v>1</v>
      </c>
      <c r="O194" s="28">
        <v>0</v>
      </c>
      <c r="P194" s="28">
        <v>1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7">
        <f t="shared" ref="AG194:AG257" si="54">SUM(O194:X194)</f>
        <v>1</v>
      </c>
      <c r="AH194" s="28"/>
      <c r="AI194" s="28"/>
      <c r="AJ194" s="28">
        <v>30.9</v>
      </c>
      <c r="AK194" s="28"/>
      <c r="AL194" s="28"/>
      <c r="AM194" s="29" t="s">
        <v>365</v>
      </c>
      <c r="AO194" t="str">
        <f t="shared" ref="AO194:AO257" si="55">TRIM(SUBSTITUTE(SUBSTITUTE(SUBSTITUTE(SUBSTITUTE(SUBSTITUTE(SUBSTITUTE(SUBSTITUTE(SUBSTITUTE(SUBSTITUTE(LOWER(G194),"á","a"),"é","e"),"í","i"),"ó","o"),"ú","u"),"ñ","n"),"-"," "),","," "),"."," "))</f>
        <v>santa rosa de osos</v>
      </c>
      <c r="AP194" t="str">
        <f t="shared" ref="AP194:AP257" si="56">TRIM(SUBSTITUTE(SUBSTITUTE(SUBSTITUTE(SUBSTITUTE(SUBSTITUTE(SUBSTITUTE(SUBSTITUTE(SUBSTITUTE(SUBSTITUTE(LOWER(B194),"á","a"),"é","e"),"í","i"),"ó","o"),"ú","u"),"ñ","n"),"-"," "),","," "),"."," "))</f>
        <v>antioquia</v>
      </c>
      <c r="AQ194" t="b">
        <f t="shared" ref="AQ194:AQ257" si="57">COUNTIF($AO$2:$AO$433,AO194)&gt;COUNTIFS($AO$2:$AO$433,AO194,$AP$2:$AP$433,AP194)</f>
        <v>0</v>
      </c>
      <c r="AR194" t="str">
        <f t="shared" ref="AR194:AR257" si="58">IF(AQ194,AO194&amp;"|"&amp;AP194,AO194)</f>
        <v>santa rosa de osos</v>
      </c>
      <c r="AS194" s="30">
        <f t="shared" ref="AS194:AS257" si="59">(I194&lt;&gt;"#N/D")+(J194&lt;&gt;"#N/D")+(L194&lt;&gt;"#N/D")</f>
        <v>0</v>
      </c>
      <c r="AT194" s="30">
        <f t="shared" ref="AT194:AT257" si="60">SUM(O194:X194)</f>
        <v>1</v>
      </c>
      <c r="AU194" s="30">
        <f t="shared" ref="AU194:AU257" si="61">IF(AT194&lt;=$AY$2,0,IF(AT194&lt;=$AY$3,1,IF(AT194&lt;=$AY$4,2,3)))</f>
        <v>3</v>
      </c>
      <c r="AV194" s="30">
        <f t="shared" ref="AV194:AV257" si="62">IF(Y194&lt;=$AY$7,3,IF(Y194&lt;=$AY$8,2,IF(Y194&lt;=$AY$9,1,0)))</f>
        <v>3</v>
      </c>
      <c r="AZ194" s="31">
        <f t="shared" ref="AZ194:AZ257" si="63">IF(Y194=0,3,0)</f>
        <v>3</v>
      </c>
      <c r="BA194" s="31">
        <f t="shared" ref="BA194:BA257" si="64">AS194+AU194+AZ194</f>
        <v>6</v>
      </c>
      <c r="BB194" s="32">
        <f>IFERROR(INDEX('Análisis general'!$E$4:$E$28,MATCH($B194,'Análisis general'!$B$4:$B$28,0)),"")</f>
        <v>9.5</v>
      </c>
      <c r="BC194" s="31">
        <f t="shared" ref="BC194:BC257" si="65">IF(BB194="","",IF(BB194&lt;=$BG$2,0,IF(BB194&lt;=$BG$3,1,IF(BB194&lt;=$BG$4,2,3))))</f>
        <v>3</v>
      </c>
      <c r="BD194" s="32">
        <f t="shared" ref="BD194:BD257" si="66">(AS194+AU194+AZ194+(BC194/2))*(9/10.5)</f>
        <v>6.4285714285714279</v>
      </c>
      <c r="BE194" s="32">
        <f t="shared" ref="BE194:BE257" si="67">(AU194+AZ194+(BC194/2))*(9/7.5)</f>
        <v>9</v>
      </c>
    </row>
    <row r="195" spans="1:57" ht="25.5" customHeight="1" x14ac:dyDescent="0.25">
      <c r="A195" s="33" t="s">
        <v>653</v>
      </c>
      <c r="B195" s="11" t="s">
        <v>10</v>
      </c>
      <c r="C195" s="34" t="s">
        <v>112</v>
      </c>
      <c r="D195" s="24">
        <f t="shared" si="51"/>
        <v>6</v>
      </c>
      <c r="E195" s="59">
        <f t="shared" si="52"/>
        <v>6.4285714285714279</v>
      </c>
      <c r="F195" s="59">
        <f t="shared" si="53"/>
        <v>9</v>
      </c>
      <c r="G195" s="11" t="s">
        <v>654</v>
      </c>
      <c r="H195" s="25" t="s">
        <v>106</v>
      </c>
      <c r="I195" s="25" t="s">
        <v>106</v>
      </c>
      <c r="J195" s="26" t="s">
        <v>106</v>
      </c>
      <c r="K195" s="26" t="str">
        <f>IF($AQ195,"#N/D",IFERROR(INDEX(Olimpiadas!$A$2:$A$61,MATCH($AO195,Olimpiadas!$C$2:$C$61,0)),"#N/D"))</f>
        <v>#N/D</v>
      </c>
      <c r="L195" s="26" t="str">
        <f>IF($AQ195,"#N/D",IFERROR(INDEX(Minculturas!$A$2:$A$48,MATCH($AO195,Minculturas!$C$2:$C$48,0)),"#N/D"))</f>
        <v>#N/D</v>
      </c>
      <c r="M195" s="26" t="str">
        <f>IF($AQ195,"#N/D",IFERROR(INDEX(Minculturas!$B$2:$B$48,MATCH($AO195,Minculturas!$C$2:$C$48,0)),"#N/D"))</f>
        <v>#N/D</v>
      </c>
      <c r="N195" s="27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1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7">
        <f t="shared" si="54"/>
        <v>1</v>
      </c>
      <c r="AH195" s="28"/>
      <c r="AI195" s="28"/>
      <c r="AJ195" s="28">
        <v>28.7</v>
      </c>
      <c r="AK195" s="28"/>
      <c r="AL195" s="28"/>
      <c r="AM195" s="29" t="s">
        <v>365</v>
      </c>
      <c r="AO195" t="str">
        <f t="shared" si="55"/>
        <v>sopetran</v>
      </c>
      <c r="AP195" t="str">
        <f t="shared" si="56"/>
        <v>antioquia</v>
      </c>
      <c r="AQ195" t="b">
        <f t="shared" si="57"/>
        <v>0</v>
      </c>
      <c r="AR195" t="str">
        <f t="shared" si="58"/>
        <v>sopetran</v>
      </c>
      <c r="AS195" s="30">
        <f t="shared" si="59"/>
        <v>0</v>
      </c>
      <c r="AT195" s="30">
        <f t="shared" si="60"/>
        <v>1</v>
      </c>
      <c r="AU195" s="30">
        <f t="shared" si="61"/>
        <v>3</v>
      </c>
      <c r="AV195" s="30">
        <f t="shared" si="62"/>
        <v>3</v>
      </c>
      <c r="AZ195" s="31">
        <f t="shared" si="63"/>
        <v>3</v>
      </c>
      <c r="BA195" s="31">
        <f t="shared" si="64"/>
        <v>6</v>
      </c>
      <c r="BB195" s="32">
        <f>IFERROR(INDEX('Análisis general'!$E$4:$E$28,MATCH($B195,'Análisis general'!$B$4:$B$28,0)),"")</f>
        <v>9.5</v>
      </c>
      <c r="BC195" s="31">
        <f t="shared" si="65"/>
        <v>3</v>
      </c>
      <c r="BD195" s="32">
        <f t="shared" si="66"/>
        <v>6.4285714285714279</v>
      </c>
      <c r="BE195" s="32">
        <f t="shared" si="67"/>
        <v>9</v>
      </c>
    </row>
    <row r="196" spans="1:57" ht="25.5" customHeight="1" x14ac:dyDescent="0.25">
      <c r="A196" s="33" t="s">
        <v>655</v>
      </c>
      <c r="B196" s="11" t="s">
        <v>10</v>
      </c>
      <c r="C196" s="34" t="s">
        <v>112</v>
      </c>
      <c r="D196" s="24">
        <f t="shared" si="51"/>
        <v>6</v>
      </c>
      <c r="E196" s="59">
        <f t="shared" si="52"/>
        <v>6.4285714285714279</v>
      </c>
      <c r="F196" s="59">
        <f t="shared" si="53"/>
        <v>9</v>
      </c>
      <c r="G196" s="11" t="s">
        <v>656</v>
      </c>
      <c r="H196" s="25" t="s">
        <v>106</v>
      </c>
      <c r="I196" s="25" t="s">
        <v>106</v>
      </c>
      <c r="J196" s="26" t="s">
        <v>106</v>
      </c>
      <c r="K196" s="26" t="str">
        <f>IF($AQ196,"#N/D",IFERROR(INDEX(Olimpiadas!$A$2:$A$61,MATCH($AO196,Olimpiadas!$C$2:$C$61,0)),"#N/D"))</f>
        <v>#N/D</v>
      </c>
      <c r="L196" s="26" t="str">
        <f>IF($AQ196,"#N/D",IFERROR(INDEX(Minculturas!$A$2:$A$48,MATCH($AO196,Minculturas!$C$2:$C$48,0)),"#N/D"))</f>
        <v>#N/D</v>
      </c>
      <c r="M196" s="26" t="str">
        <f>IF($AQ196,"#N/D",IFERROR(INDEX(Minculturas!$B$2:$B$48,MATCH($AO196,Minculturas!$C$2:$C$48,0)),"#N/D"))</f>
        <v>#N/D</v>
      </c>
      <c r="N196" s="27">
        <v>1</v>
      </c>
      <c r="O196" s="28">
        <v>0</v>
      </c>
      <c r="P196" s="28">
        <v>0</v>
      </c>
      <c r="Q196" s="28">
        <v>0</v>
      </c>
      <c r="R196" s="28">
        <v>0</v>
      </c>
      <c r="S196" s="28">
        <v>1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7">
        <f t="shared" si="54"/>
        <v>1</v>
      </c>
      <c r="AH196" s="28"/>
      <c r="AI196" s="28"/>
      <c r="AJ196" s="28">
        <v>49.9</v>
      </c>
      <c r="AK196" s="28"/>
      <c r="AL196" s="28"/>
      <c r="AM196" s="29" t="s">
        <v>657</v>
      </c>
      <c r="AO196" t="str">
        <f t="shared" si="55"/>
        <v>turbo</v>
      </c>
      <c r="AP196" t="str">
        <f t="shared" si="56"/>
        <v>antioquia</v>
      </c>
      <c r="AQ196" t="b">
        <f t="shared" si="57"/>
        <v>0</v>
      </c>
      <c r="AR196" t="str">
        <f t="shared" si="58"/>
        <v>turbo</v>
      </c>
      <c r="AS196" s="30">
        <f t="shared" si="59"/>
        <v>0</v>
      </c>
      <c r="AT196" s="30">
        <f t="shared" si="60"/>
        <v>1</v>
      </c>
      <c r="AU196" s="30">
        <f t="shared" si="61"/>
        <v>3</v>
      </c>
      <c r="AV196" s="30">
        <f t="shared" si="62"/>
        <v>3</v>
      </c>
      <c r="AZ196" s="31">
        <f t="shared" si="63"/>
        <v>3</v>
      </c>
      <c r="BA196" s="31">
        <f t="shared" si="64"/>
        <v>6</v>
      </c>
      <c r="BB196" s="32">
        <f>IFERROR(INDEX('Análisis general'!$E$4:$E$28,MATCH($B196,'Análisis general'!$B$4:$B$28,0)),"")</f>
        <v>9.5</v>
      </c>
      <c r="BC196" s="31">
        <f t="shared" si="65"/>
        <v>3</v>
      </c>
      <c r="BD196" s="32">
        <f t="shared" si="66"/>
        <v>6.4285714285714279</v>
      </c>
      <c r="BE196" s="32">
        <f t="shared" si="67"/>
        <v>9</v>
      </c>
    </row>
    <row r="197" spans="1:57" ht="25.5" customHeight="1" x14ac:dyDescent="0.25">
      <c r="A197" s="33" t="s">
        <v>658</v>
      </c>
      <c r="B197" s="11" t="s">
        <v>10</v>
      </c>
      <c r="C197" s="34" t="s">
        <v>112</v>
      </c>
      <c r="D197" s="24">
        <f t="shared" si="51"/>
        <v>6</v>
      </c>
      <c r="E197" s="59">
        <f t="shared" si="52"/>
        <v>6.4285714285714279</v>
      </c>
      <c r="F197" s="59">
        <f t="shared" si="53"/>
        <v>9</v>
      </c>
      <c r="G197" s="11" t="s">
        <v>659</v>
      </c>
      <c r="H197" s="25" t="s">
        <v>106</v>
      </c>
      <c r="I197" s="25" t="s">
        <v>106</v>
      </c>
      <c r="J197" s="26" t="s">
        <v>106</v>
      </c>
      <c r="K197" s="26" t="str">
        <f>IF($AQ197,"#N/D",IFERROR(INDEX(Olimpiadas!$A$2:$A$61,MATCH($AO197,Olimpiadas!$C$2:$C$61,0)),"#N/D"))</f>
        <v>#N/D</v>
      </c>
      <c r="L197" s="26" t="str">
        <f>IF($AQ197,"#N/D",IFERROR(INDEX(Minculturas!$A$2:$A$48,MATCH($AO197,Minculturas!$C$2:$C$48,0)),"#N/D"))</f>
        <v>#N/D</v>
      </c>
      <c r="M197" s="26" t="str">
        <f>IF($AQ197,"#N/D",IFERROR(INDEX(Minculturas!$B$2:$B$48,MATCH($AO197,Minculturas!$C$2:$C$48,0)),"#N/D"))</f>
        <v>#N/D</v>
      </c>
      <c r="N197" s="27">
        <v>2</v>
      </c>
      <c r="O197" s="28">
        <v>0</v>
      </c>
      <c r="P197" s="28">
        <v>0</v>
      </c>
      <c r="Q197" s="28">
        <v>1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1</v>
      </c>
      <c r="AC197" s="28">
        <v>0</v>
      </c>
      <c r="AD197" s="28">
        <v>0</v>
      </c>
      <c r="AE197" s="28">
        <v>0</v>
      </c>
      <c r="AF197" s="28">
        <v>0</v>
      </c>
      <c r="AG197" s="27">
        <f t="shared" si="54"/>
        <v>1</v>
      </c>
      <c r="AH197" s="28"/>
      <c r="AI197" s="28"/>
      <c r="AJ197" s="28">
        <v>76.099999999999994</v>
      </c>
      <c r="AK197" s="28"/>
      <c r="AL197" s="28"/>
      <c r="AM197" s="29" t="s">
        <v>365</v>
      </c>
      <c r="AO197" t="str">
        <f t="shared" si="55"/>
        <v>vigia del fuerte</v>
      </c>
      <c r="AP197" t="str">
        <f t="shared" si="56"/>
        <v>antioquia</v>
      </c>
      <c r="AQ197" t="b">
        <f t="shared" si="57"/>
        <v>0</v>
      </c>
      <c r="AR197" t="str">
        <f t="shared" si="58"/>
        <v>vigia del fuerte</v>
      </c>
      <c r="AS197" s="30">
        <f t="shared" si="59"/>
        <v>0</v>
      </c>
      <c r="AT197" s="30">
        <f t="shared" si="60"/>
        <v>1</v>
      </c>
      <c r="AU197" s="30">
        <f t="shared" si="61"/>
        <v>3</v>
      </c>
      <c r="AV197" s="30">
        <f t="shared" si="62"/>
        <v>3</v>
      </c>
      <c r="AZ197" s="31">
        <f t="shared" si="63"/>
        <v>3</v>
      </c>
      <c r="BA197" s="31">
        <f t="shared" si="64"/>
        <v>6</v>
      </c>
      <c r="BB197" s="32">
        <f>IFERROR(INDEX('Análisis general'!$E$4:$E$28,MATCH($B197,'Análisis general'!$B$4:$B$28,0)),"")</f>
        <v>9.5</v>
      </c>
      <c r="BC197" s="31">
        <f t="shared" si="65"/>
        <v>3</v>
      </c>
      <c r="BD197" s="32">
        <f t="shared" si="66"/>
        <v>6.4285714285714279</v>
      </c>
      <c r="BE197" s="32">
        <f t="shared" si="67"/>
        <v>9</v>
      </c>
    </row>
    <row r="198" spans="1:57" ht="25.5" customHeight="1" x14ac:dyDescent="0.25">
      <c r="A198" s="33" t="s">
        <v>660</v>
      </c>
      <c r="B198" s="11" t="s">
        <v>10</v>
      </c>
      <c r="C198" s="34" t="s">
        <v>112</v>
      </c>
      <c r="D198" s="24">
        <f t="shared" si="51"/>
        <v>6</v>
      </c>
      <c r="E198" s="59">
        <f t="shared" si="52"/>
        <v>6.4285714285714279</v>
      </c>
      <c r="F198" s="59">
        <f t="shared" si="53"/>
        <v>9</v>
      </c>
      <c r="G198" s="11" t="s">
        <v>661</v>
      </c>
      <c r="H198" s="25" t="s">
        <v>106</v>
      </c>
      <c r="I198" s="25" t="s">
        <v>106</v>
      </c>
      <c r="J198" s="26" t="s">
        <v>106</v>
      </c>
      <c r="K198" s="26" t="str">
        <f>IF($AQ198,"#N/D",IFERROR(INDEX(Olimpiadas!$A$2:$A$61,MATCH($AO198,Olimpiadas!$C$2:$C$61,0)),"#N/D"))</f>
        <v>#N/D</v>
      </c>
      <c r="L198" s="26" t="str">
        <f>IF($AQ198,"#N/D",IFERROR(INDEX(Minculturas!$A$2:$A$48,MATCH($AO198,Minculturas!$C$2:$C$48,0)),"#N/D"))</f>
        <v>#N/D</v>
      </c>
      <c r="M198" s="26" t="str">
        <f>IF($AQ198,"#N/D",IFERROR(INDEX(Minculturas!$B$2:$B$48,MATCH($AO198,Minculturas!$C$2:$C$48,0)),"#N/D"))</f>
        <v>#N/D</v>
      </c>
      <c r="N198" s="27">
        <v>1</v>
      </c>
      <c r="O198" s="28">
        <v>0</v>
      </c>
      <c r="P198" s="28">
        <v>1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7">
        <f t="shared" si="54"/>
        <v>1</v>
      </c>
      <c r="AH198" s="28"/>
      <c r="AI198" s="28"/>
      <c r="AJ198" s="28">
        <v>45</v>
      </c>
      <c r="AK198" s="28"/>
      <c r="AL198" s="28"/>
      <c r="AM198" s="29" t="s">
        <v>114</v>
      </c>
      <c r="AO198" t="str">
        <f t="shared" si="55"/>
        <v>yolombo</v>
      </c>
      <c r="AP198" t="str">
        <f t="shared" si="56"/>
        <v>antioquia</v>
      </c>
      <c r="AQ198" t="b">
        <f t="shared" si="57"/>
        <v>0</v>
      </c>
      <c r="AR198" t="str">
        <f t="shared" si="58"/>
        <v>yolombo</v>
      </c>
      <c r="AS198" s="30">
        <f t="shared" si="59"/>
        <v>0</v>
      </c>
      <c r="AT198" s="30">
        <f t="shared" si="60"/>
        <v>1</v>
      </c>
      <c r="AU198" s="30">
        <f t="shared" si="61"/>
        <v>3</v>
      </c>
      <c r="AV198" s="30">
        <f t="shared" si="62"/>
        <v>3</v>
      </c>
      <c r="AZ198" s="31">
        <f t="shared" si="63"/>
        <v>3</v>
      </c>
      <c r="BA198" s="31">
        <f t="shared" si="64"/>
        <v>6</v>
      </c>
      <c r="BB198" s="32">
        <f>IFERROR(INDEX('Análisis general'!$E$4:$E$28,MATCH($B198,'Análisis general'!$B$4:$B$28,0)),"")</f>
        <v>9.5</v>
      </c>
      <c r="BC198" s="31">
        <f t="shared" si="65"/>
        <v>3</v>
      </c>
      <c r="BD198" s="32">
        <f t="shared" si="66"/>
        <v>6.4285714285714279</v>
      </c>
      <c r="BE198" s="32">
        <f t="shared" si="67"/>
        <v>9</v>
      </c>
    </row>
    <row r="199" spans="1:57" ht="25.5" customHeight="1" x14ac:dyDescent="0.25">
      <c r="A199" s="33" t="s">
        <v>662</v>
      </c>
      <c r="B199" s="11" t="s">
        <v>10</v>
      </c>
      <c r="C199" s="34" t="s">
        <v>112</v>
      </c>
      <c r="D199" s="24">
        <f t="shared" si="51"/>
        <v>6</v>
      </c>
      <c r="E199" s="59">
        <f t="shared" si="52"/>
        <v>6.4285714285714279</v>
      </c>
      <c r="F199" s="59">
        <f t="shared" si="53"/>
        <v>9</v>
      </c>
      <c r="G199" s="11" t="s">
        <v>663</v>
      </c>
      <c r="H199" s="25" t="s">
        <v>106</v>
      </c>
      <c r="I199" s="25" t="s">
        <v>106</v>
      </c>
      <c r="J199" s="26" t="s">
        <v>106</v>
      </c>
      <c r="K199" s="26" t="str">
        <f>IF($AQ199,"#N/D",IFERROR(INDEX(Olimpiadas!$A$2:$A$61,MATCH($AO199,Olimpiadas!$C$2:$C$61,0)),"#N/D"))</f>
        <v>#N/D</v>
      </c>
      <c r="L199" s="26" t="str">
        <f>IF($AQ199,"#N/D",IFERROR(INDEX(Minculturas!$A$2:$A$48,MATCH($AO199,Minculturas!$C$2:$C$48,0)),"#N/D"))</f>
        <v>#N/D</v>
      </c>
      <c r="M199" s="26" t="str">
        <f>IF($AQ199,"#N/D",IFERROR(INDEX(Minculturas!$B$2:$B$48,MATCH($AO199,Minculturas!$C$2:$C$48,0)),"#N/D"))</f>
        <v>#N/D</v>
      </c>
      <c r="N199" s="27">
        <v>1</v>
      </c>
      <c r="O199" s="28">
        <v>0</v>
      </c>
      <c r="P199" s="28">
        <v>1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7">
        <f t="shared" si="54"/>
        <v>1</v>
      </c>
      <c r="AH199" s="28"/>
      <c r="AI199" s="28"/>
      <c r="AJ199" s="28">
        <v>58</v>
      </c>
      <c r="AK199" s="28"/>
      <c r="AL199" s="28"/>
      <c r="AM199" s="29" t="s">
        <v>114</v>
      </c>
      <c r="AO199" t="str">
        <f t="shared" si="55"/>
        <v>zaragoza</v>
      </c>
      <c r="AP199" t="str">
        <f t="shared" si="56"/>
        <v>antioquia</v>
      </c>
      <c r="AQ199" t="b">
        <f t="shared" si="57"/>
        <v>0</v>
      </c>
      <c r="AR199" t="str">
        <f t="shared" si="58"/>
        <v>zaragoza</v>
      </c>
      <c r="AS199" s="30">
        <f t="shared" si="59"/>
        <v>0</v>
      </c>
      <c r="AT199" s="30">
        <f t="shared" si="60"/>
        <v>1</v>
      </c>
      <c r="AU199" s="30">
        <f t="shared" si="61"/>
        <v>3</v>
      </c>
      <c r="AV199" s="30">
        <f t="shared" si="62"/>
        <v>3</v>
      </c>
      <c r="AZ199" s="31">
        <f t="shared" si="63"/>
        <v>3</v>
      </c>
      <c r="BA199" s="31">
        <f t="shared" si="64"/>
        <v>6</v>
      </c>
      <c r="BB199" s="32">
        <f>IFERROR(INDEX('Análisis general'!$E$4:$E$28,MATCH($B199,'Análisis general'!$B$4:$B$28,0)),"")</f>
        <v>9.5</v>
      </c>
      <c r="BC199" s="31">
        <f t="shared" si="65"/>
        <v>3</v>
      </c>
      <c r="BD199" s="32">
        <f t="shared" si="66"/>
        <v>6.4285714285714279</v>
      </c>
      <c r="BE199" s="32">
        <f t="shared" si="67"/>
        <v>9</v>
      </c>
    </row>
    <row r="200" spans="1:57" ht="25.5" customHeight="1" x14ac:dyDescent="0.25">
      <c r="A200" s="33" t="s">
        <v>734</v>
      </c>
      <c r="B200" s="11" t="s">
        <v>35</v>
      </c>
      <c r="C200" s="60" t="s">
        <v>1214</v>
      </c>
      <c r="D200" s="24">
        <f t="shared" si="51"/>
        <v>7</v>
      </c>
      <c r="E200" s="59">
        <f t="shared" si="52"/>
        <v>7.2857142857142856</v>
      </c>
      <c r="F200" s="59">
        <f t="shared" si="53"/>
        <v>9</v>
      </c>
      <c r="G200" s="11" t="s">
        <v>735</v>
      </c>
      <c r="H200" s="25" t="str">
        <f>IFERROR(IF($AQ200,INDEX(cpe!$C$2:$C$307,MATCH($AR200,cpe!$F$2:$F$307,0)),INDEX(cpe!$C$2:$C$307,MATCH($AR200,cpe!$D$2:$D$307,0))),"#N/D")</f>
        <v>Institucion Educativa Distrital del Barrio Simon Bolivar</v>
      </c>
      <c r="I200" s="25" t="str">
        <f>IFERROR(IF($AQ200,INDEX(cpe!$B$2:$B$307,MATCH($AR200,cpe!$F$2:$F$307,0)),INDEX(cpe!$B$2:$B$307,MATCH($AR200,cpe!$D$2:$D$307,0))),"#N/D")</f>
        <v>Cabrera</v>
      </c>
      <c r="J200" s="26" t="str">
        <f>IF($AQ200,"#N/D",IFERROR(INDEX(Olimpiadas!$B$2:$B$61,MATCH($AO200,Olimpiadas!$C$2:$C$61,0)),"#N/D"))</f>
        <v>#N/D</v>
      </c>
      <c r="K200" s="26" t="str">
        <f>IF($AQ200,"#N/D",IFERROR(INDEX(Olimpiadas!$A$2:$A$61,MATCH($AO200,Olimpiadas!$C$2:$C$61,0)),"#N/D"))</f>
        <v>#N/D</v>
      </c>
      <c r="L200" s="26" t="str">
        <f>IF($AQ200,"#N/D",IFERROR(INDEX(Minculturas!$A$2:$A$48,MATCH($AO200,Minculturas!$C$2:$C$48,0)),"#N/D"))</f>
        <v>#N/D</v>
      </c>
      <c r="M200" s="26" t="str">
        <f>IF($AQ200,"#N/D",IFERROR(INDEX(Minculturas!$B$2:$B$48,MATCH($AO200,Minculturas!$C$2:$C$48,0)),"#N/D"))</f>
        <v>#N/D</v>
      </c>
      <c r="N200" s="27">
        <v>1</v>
      </c>
      <c r="O200" s="28">
        <v>0</v>
      </c>
      <c r="P200" s="28">
        <v>0</v>
      </c>
      <c r="Q200" s="28">
        <v>0</v>
      </c>
      <c r="R200" s="28">
        <v>0</v>
      </c>
      <c r="S200" s="28">
        <v>1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7">
        <f t="shared" si="54"/>
        <v>1</v>
      </c>
      <c r="AH200" s="28"/>
      <c r="AI200" s="28"/>
      <c r="AJ200" s="28">
        <v>39.5</v>
      </c>
      <c r="AK200" s="28"/>
      <c r="AL200" s="28"/>
      <c r="AM200" s="29" t="s">
        <v>736</v>
      </c>
      <c r="AO200" t="str">
        <f t="shared" si="55"/>
        <v>cabrera</v>
      </c>
      <c r="AP200" t="str">
        <f t="shared" si="56"/>
        <v>cundinamarca</v>
      </c>
      <c r="AQ200" t="b">
        <f t="shared" si="57"/>
        <v>0</v>
      </c>
      <c r="AR200" t="str">
        <f t="shared" si="58"/>
        <v>cabrera</v>
      </c>
      <c r="AS200" s="30">
        <f t="shared" si="59"/>
        <v>1</v>
      </c>
      <c r="AT200" s="30">
        <f t="shared" si="60"/>
        <v>1</v>
      </c>
      <c r="AU200" s="30">
        <f t="shared" si="61"/>
        <v>3</v>
      </c>
      <c r="AV200" s="30">
        <f t="shared" si="62"/>
        <v>3</v>
      </c>
      <c r="AZ200" s="31">
        <f t="shared" si="63"/>
        <v>3</v>
      </c>
      <c r="BA200" s="31">
        <f t="shared" si="64"/>
        <v>7</v>
      </c>
      <c r="BB200" s="32">
        <f>IFERROR(INDEX('Análisis general'!$E$4:$E$28,MATCH($B200,'Análisis general'!$B$4:$B$28,0)),"")</f>
        <v>4.0999999999999996</v>
      </c>
      <c r="BC200" s="31">
        <f t="shared" si="65"/>
        <v>3</v>
      </c>
      <c r="BD200" s="32">
        <f t="shared" si="66"/>
        <v>7.2857142857142856</v>
      </c>
      <c r="BE200" s="32">
        <f t="shared" si="67"/>
        <v>9</v>
      </c>
    </row>
    <row r="201" spans="1:57" ht="25.5" customHeight="1" x14ac:dyDescent="0.25">
      <c r="A201" s="33" t="s">
        <v>737</v>
      </c>
      <c r="B201" s="11" t="s">
        <v>35</v>
      </c>
      <c r="C201" s="64" t="s">
        <v>1215</v>
      </c>
      <c r="D201" s="24">
        <f t="shared" si="51"/>
        <v>7</v>
      </c>
      <c r="E201" s="59">
        <f t="shared" si="52"/>
        <v>7.2857142857142856</v>
      </c>
      <c r="F201" s="59">
        <f t="shared" si="53"/>
        <v>9</v>
      </c>
      <c r="G201" s="11" t="s">
        <v>738</v>
      </c>
      <c r="H201" s="25" t="s">
        <v>739</v>
      </c>
      <c r="I201" s="25" t="s">
        <v>738</v>
      </c>
      <c r="J201" s="26" t="s">
        <v>106</v>
      </c>
      <c r="K201" s="26" t="str">
        <f>IF($AQ201,"#N/D",IFERROR(INDEX(Olimpiadas!$A$2:$A$61,MATCH($AO201,Olimpiadas!$C$2:$C$61,0)),"#N/D"))</f>
        <v>#N/D</v>
      </c>
      <c r="L201" s="26" t="str">
        <f>IF($AQ201,"#N/D",IFERROR(INDEX(Minculturas!$A$2:$A$48,MATCH($AO201,Minculturas!$C$2:$C$48,0)),"#N/D"))</f>
        <v>#N/D</v>
      </c>
      <c r="M201" s="26" t="str">
        <f>IF($AQ201,"#N/D",IFERROR(INDEX(Minculturas!$B$2:$B$48,MATCH($AO201,Minculturas!$C$2:$C$48,0)),"#N/D"))</f>
        <v>#N/D</v>
      </c>
      <c r="N201" s="27">
        <v>2</v>
      </c>
      <c r="O201" s="28">
        <v>0</v>
      </c>
      <c r="P201" s="28">
        <v>1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1</v>
      </c>
      <c r="AC201" s="28">
        <v>0</v>
      </c>
      <c r="AD201" s="28">
        <v>0</v>
      </c>
      <c r="AE201" s="28">
        <v>0</v>
      </c>
      <c r="AF201" s="28">
        <v>0</v>
      </c>
      <c r="AG201" s="27">
        <f t="shared" si="54"/>
        <v>1</v>
      </c>
      <c r="AH201" s="28"/>
      <c r="AI201" s="28"/>
      <c r="AJ201" s="28">
        <v>35.6</v>
      </c>
      <c r="AK201" s="28"/>
      <c r="AL201" s="28"/>
      <c r="AM201" s="29" t="s">
        <v>740</v>
      </c>
      <c r="AO201" t="str">
        <f t="shared" si="55"/>
        <v>san juan de rioseco</v>
      </c>
      <c r="AP201" t="str">
        <f t="shared" si="56"/>
        <v>cundinamarca</v>
      </c>
      <c r="AQ201" t="b">
        <f t="shared" si="57"/>
        <v>0</v>
      </c>
      <c r="AR201" t="str">
        <f t="shared" si="58"/>
        <v>san juan de rioseco</v>
      </c>
      <c r="AS201" s="30">
        <f t="shared" si="59"/>
        <v>1</v>
      </c>
      <c r="AT201" s="30">
        <f t="shared" si="60"/>
        <v>1</v>
      </c>
      <c r="AU201" s="30">
        <f t="shared" si="61"/>
        <v>3</v>
      </c>
      <c r="AV201" s="30">
        <f t="shared" si="62"/>
        <v>3</v>
      </c>
      <c r="AZ201" s="31">
        <f t="shared" si="63"/>
        <v>3</v>
      </c>
      <c r="BA201" s="31">
        <f t="shared" si="64"/>
        <v>7</v>
      </c>
      <c r="BB201" s="32">
        <f>IFERROR(INDEX('Análisis general'!$E$4:$E$28,MATCH($B201,'Análisis general'!$B$4:$B$28,0)),"")</f>
        <v>4.0999999999999996</v>
      </c>
      <c r="BC201" s="31">
        <f t="shared" si="65"/>
        <v>3</v>
      </c>
      <c r="BD201" s="32">
        <f t="shared" si="66"/>
        <v>7.2857142857142856</v>
      </c>
      <c r="BE201" s="32">
        <f t="shared" si="67"/>
        <v>9</v>
      </c>
    </row>
    <row r="202" spans="1:57" ht="25.5" customHeight="1" x14ac:dyDescent="0.25">
      <c r="A202" s="33" t="s">
        <v>751</v>
      </c>
      <c r="B202" s="11" t="s">
        <v>35</v>
      </c>
      <c r="C202" s="63" t="s">
        <v>1217</v>
      </c>
      <c r="D202" s="24">
        <f t="shared" si="51"/>
        <v>6</v>
      </c>
      <c r="E202" s="59">
        <f t="shared" si="52"/>
        <v>6.4285714285714279</v>
      </c>
      <c r="F202" s="59">
        <f t="shared" si="53"/>
        <v>9</v>
      </c>
      <c r="G202" s="11" t="s">
        <v>752</v>
      </c>
      <c r="H202" s="25" t="s">
        <v>106</v>
      </c>
      <c r="I202" s="25" t="s">
        <v>106</v>
      </c>
      <c r="J202" s="26" t="s">
        <v>106</v>
      </c>
      <c r="K202" s="26" t="str">
        <f>IF($AQ202,"#N/D",IFERROR(INDEX(Olimpiadas!$A$2:$A$61,MATCH($AO202,Olimpiadas!$C$2:$C$61,0)),"#N/D"))</f>
        <v>#N/D</v>
      </c>
      <c r="L202" s="26" t="str">
        <f>IF($AQ202,"#N/D",IFERROR(INDEX(Minculturas!$A$2:$A$48,MATCH($AO202,Minculturas!$C$2:$C$48,0)),"#N/D"))</f>
        <v>#N/D</v>
      </c>
      <c r="M202" s="26" t="str">
        <f>IF($AQ202,"#N/D",IFERROR(INDEX(Minculturas!$B$2:$B$48,MATCH($AO202,Minculturas!$C$2:$C$48,0)),"#N/D"))</f>
        <v>#N/D</v>
      </c>
      <c r="N202" s="27">
        <v>1</v>
      </c>
      <c r="O202" s="28">
        <v>0</v>
      </c>
      <c r="P202" s="28">
        <v>1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7">
        <f t="shared" si="54"/>
        <v>1</v>
      </c>
      <c r="AH202" s="28"/>
      <c r="AI202" s="28"/>
      <c r="AJ202" s="28">
        <v>18.5</v>
      </c>
      <c r="AK202" s="28"/>
      <c r="AL202" s="28"/>
      <c r="AM202" s="29" t="s">
        <v>753</v>
      </c>
      <c r="AO202" t="str">
        <f t="shared" si="55"/>
        <v>tena</v>
      </c>
      <c r="AP202" t="str">
        <f t="shared" si="56"/>
        <v>cundinamarca</v>
      </c>
      <c r="AQ202" t="b">
        <f t="shared" si="57"/>
        <v>0</v>
      </c>
      <c r="AR202" t="str">
        <f t="shared" si="58"/>
        <v>tena</v>
      </c>
      <c r="AS202" s="30">
        <f t="shared" si="59"/>
        <v>0</v>
      </c>
      <c r="AT202" s="30">
        <f t="shared" si="60"/>
        <v>1</v>
      </c>
      <c r="AU202" s="30">
        <f t="shared" si="61"/>
        <v>3</v>
      </c>
      <c r="AV202" s="30">
        <f t="shared" si="62"/>
        <v>3</v>
      </c>
      <c r="AZ202" s="31">
        <f t="shared" si="63"/>
        <v>3</v>
      </c>
      <c r="BA202" s="31">
        <f t="shared" si="64"/>
        <v>6</v>
      </c>
      <c r="BB202" s="32">
        <f>IFERROR(INDEX('Análisis general'!$E$4:$E$28,MATCH($B202,'Análisis general'!$B$4:$B$28,0)),"")</f>
        <v>4.0999999999999996</v>
      </c>
      <c r="BC202" s="31">
        <f t="shared" si="65"/>
        <v>3</v>
      </c>
      <c r="BD202" s="32">
        <f t="shared" si="66"/>
        <v>6.4285714285714279</v>
      </c>
      <c r="BE202" s="32">
        <f t="shared" si="67"/>
        <v>9</v>
      </c>
    </row>
    <row r="203" spans="1:57" ht="25.5" customHeight="1" x14ac:dyDescent="0.25">
      <c r="A203" s="33" t="s">
        <v>759</v>
      </c>
      <c r="B203" s="11" t="s">
        <v>45</v>
      </c>
      <c r="C203" s="60" t="s">
        <v>1214</v>
      </c>
      <c r="D203" s="24">
        <f t="shared" si="51"/>
        <v>6</v>
      </c>
      <c r="E203" s="59">
        <f t="shared" si="52"/>
        <v>6.4285714285714279</v>
      </c>
      <c r="F203" s="59">
        <f t="shared" si="53"/>
        <v>9</v>
      </c>
      <c r="G203" s="11" t="s">
        <v>760</v>
      </c>
      <c r="H203" s="25" t="s">
        <v>106</v>
      </c>
      <c r="I203" s="25" t="s">
        <v>106</v>
      </c>
      <c r="J203" s="26" t="s">
        <v>106</v>
      </c>
      <c r="K203" s="26" t="str">
        <f>IF($AQ203,"#N/D",IFERROR(INDEX(Olimpiadas!$A$2:$A$61,MATCH($AO203,Olimpiadas!$C$2:$C$61,0)),"#N/D"))</f>
        <v>#N/D</v>
      </c>
      <c r="L203" s="26" t="str">
        <f>IF($AQ203,"#N/D",IFERROR(INDEX(Minculturas!$A$2:$A$48,MATCH($AO203,Minculturas!$C$2:$C$48,0)),"#N/D"))</f>
        <v>#N/D</v>
      </c>
      <c r="M203" s="26" t="str">
        <f>IF($AQ203,"#N/D",IFERROR(INDEX(Minculturas!$B$2:$B$48,MATCH($AO203,Minculturas!$C$2:$C$48,0)),"#N/D"))</f>
        <v>#N/D</v>
      </c>
      <c r="N203" s="27">
        <v>1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1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7">
        <f t="shared" si="54"/>
        <v>1</v>
      </c>
      <c r="AH203" s="28" t="s">
        <v>761</v>
      </c>
      <c r="AI203" s="28" t="s">
        <v>762</v>
      </c>
      <c r="AJ203" s="28">
        <v>39.9</v>
      </c>
      <c r="AK203" s="28"/>
      <c r="AL203" s="28"/>
      <c r="AM203" s="29" t="s">
        <v>763</v>
      </c>
      <c r="AO203" t="str">
        <f t="shared" si="55"/>
        <v>santuario</v>
      </c>
      <c r="AP203" t="str">
        <f t="shared" si="56"/>
        <v>risaralda</v>
      </c>
      <c r="AQ203" t="b">
        <f t="shared" si="57"/>
        <v>0</v>
      </c>
      <c r="AR203" t="str">
        <f t="shared" si="58"/>
        <v>santuario</v>
      </c>
      <c r="AS203" s="30">
        <f t="shared" si="59"/>
        <v>0</v>
      </c>
      <c r="AT203" s="30">
        <f t="shared" si="60"/>
        <v>1</v>
      </c>
      <c r="AU203" s="30">
        <f t="shared" si="61"/>
        <v>3</v>
      </c>
      <c r="AV203" s="30">
        <f t="shared" si="62"/>
        <v>3</v>
      </c>
      <c r="AZ203" s="31">
        <f t="shared" si="63"/>
        <v>3</v>
      </c>
      <c r="BA203" s="31">
        <f t="shared" si="64"/>
        <v>6</v>
      </c>
      <c r="BB203" s="32">
        <f>IFERROR(INDEX('Análisis general'!$E$4:$E$28,MATCH($B203,'Análisis general'!$B$4:$B$28,0)),"")</f>
        <v>4.9000000000000004</v>
      </c>
      <c r="BC203" s="31">
        <f t="shared" si="65"/>
        <v>3</v>
      </c>
      <c r="BD203" s="32">
        <f t="shared" si="66"/>
        <v>6.4285714285714279</v>
      </c>
      <c r="BE203" s="32">
        <f t="shared" si="67"/>
        <v>9</v>
      </c>
    </row>
    <row r="204" spans="1:57" ht="25.5" customHeight="1" x14ac:dyDescent="0.25">
      <c r="A204" s="33" t="s">
        <v>764</v>
      </c>
      <c r="B204" s="11" t="s">
        <v>35</v>
      </c>
      <c r="C204" s="60" t="s">
        <v>1214</v>
      </c>
      <c r="D204" s="24">
        <f t="shared" si="51"/>
        <v>6</v>
      </c>
      <c r="E204" s="59">
        <f t="shared" si="52"/>
        <v>6.4285714285714279</v>
      </c>
      <c r="F204" s="59">
        <f t="shared" si="53"/>
        <v>9</v>
      </c>
      <c r="G204" s="11" t="s">
        <v>765</v>
      </c>
      <c r="H204" s="25" t="s">
        <v>106</v>
      </c>
      <c r="I204" s="25" t="s">
        <v>106</v>
      </c>
      <c r="J204" s="26" t="s">
        <v>106</v>
      </c>
      <c r="K204" s="26" t="str">
        <f>IF($AQ204,"#N/D",IFERROR(INDEX(Olimpiadas!$A$2:$A$61,MATCH($AO204,Olimpiadas!$C$2:$C$61,0)),"#N/D"))</f>
        <v>#N/D</v>
      </c>
      <c r="L204" s="26" t="str">
        <f>IF($AQ204,"#N/D",IFERROR(INDEX(Minculturas!$A$2:$A$48,MATCH($AO204,Minculturas!$C$2:$C$48,0)),"#N/D"))</f>
        <v>#N/D</v>
      </c>
      <c r="M204" s="26" t="str">
        <f>IF($AQ204,"#N/D",IFERROR(INDEX(Minculturas!$B$2:$B$48,MATCH($AO204,Minculturas!$C$2:$C$48,0)),"#N/D"))</f>
        <v>#N/D</v>
      </c>
      <c r="N204" s="27">
        <v>1</v>
      </c>
      <c r="O204" s="28">
        <v>0</v>
      </c>
      <c r="P204" s="28">
        <v>1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7">
        <f t="shared" si="54"/>
        <v>1</v>
      </c>
      <c r="AH204" s="28"/>
      <c r="AI204" s="28"/>
      <c r="AJ204" s="28">
        <v>34.1</v>
      </c>
      <c r="AK204" s="28"/>
      <c r="AL204" s="28"/>
      <c r="AM204" s="29" t="s">
        <v>766</v>
      </c>
      <c r="AO204" t="str">
        <f t="shared" si="55"/>
        <v>ubaque</v>
      </c>
      <c r="AP204" t="str">
        <f t="shared" si="56"/>
        <v>cundinamarca</v>
      </c>
      <c r="AQ204" t="b">
        <f t="shared" si="57"/>
        <v>0</v>
      </c>
      <c r="AR204" t="str">
        <f t="shared" si="58"/>
        <v>ubaque</v>
      </c>
      <c r="AS204" s="30">
        <f t="shared" si="59"/>
        <v>0</v>
      </c>
      <c r="AT204" s="30">
        <f t="shared" si="60"/>
        <v>1</v>
      </c>
      <c r="AU204" s="30">
        <f t="shared" si="61"/>
        <v>3</v>
      </c>
      <c r="AV204" s="30">
        <f t="shared" si="62"/>
        <v>3</v>
      </c>
      <c r="AZ204" s="31">
        <f t="shared" si="63"/>
        <v>3</v>
      </c>
      <c r="BA204" s="31">
        <f t="shared" si="64"/>
        <v>6</v>
      </c>
      <c r="BB204" s="32">
        <f>IFERROR(INDEX('Análisis general'!$E$4:$E$28,MATCH($B204,'Análisis general'!$B$4:$B$28,0)),"")</f>
        <v>4.0999999999999996</v>
      </c>
      <c r="BC204" s="31">
        <f t="shared" si="65"/>
        <v>3</v>
      </c>
      <c r="BD204" s="32">
        <f t="shared" si="66"/>
        <v>6.4285714285714279</v>
      </c>
      <c r="BE204" s="32">
        <f t="shared" si="67"/>
        <v>9</v>
      </c>
    </row>
    <row r="205" spans="1:57" ht="25.5" customHeight="1" x14ac:dyDescent="0.25">
      <c r="A205" s="33" t="s">
        <v>767</v>
      </c>
      <c r="B205" s="11" t="s">
        <v>35</v>
      </c>
      <c r="C205" s="65" t="s">
        <v>1218</v>
      </c>
      <c r="D205" s="24">
        <f t="shared" si="51"/>
        <v>6</v>
      </c>
      <c r="E205" s="59">
        <f t="shared" si="52"/>
        <v>6.4285714285714279</v>
      </c>
      <c r="F205" s="59">
        <f t="shared" si="53"/>
        <v>9</v>
      </c>
      <c r="G205" s="11" t="s">
        <v>768</v>
      </c>
      <c r="H205" s="25" t="str">
        <f>IFERROR(IF($AQ205,INDEX(cpe!$C$2:$C$307,MATCH($AR205,cpe!$F$2:$F$307,0)),INDEX(cpe!$C$2:$C$307,MATCH($AR205,cpe!$D$2:$D$307,0))),"#N/D")</f>
        <v>#N/D</v>
      </c>
      <c r="I205" s="25" t="str">
        <f>IFERROR(IF($AQ205,INDEX(cpe!$B$2:$B$307,MATCH($AR205,cpe!$F$2:$F$307,0)),INDEX(cpe!$B$2:$B$307,MATCH($AR205,cpe!$D$2:$D$307,0))),"#N/D")</f>
        <v>#N/D</v>
      </c>
      <c r="J205" s="26" t="str">
        <f>IF($AQ205,"#N/D",IFERROR(INDEX(Olimpiadas!$B$2:$B$61,MATCH($AO205,Olimpiadas!$C$2:$C$61,0)),"#N/D"))</f>
        <v>#N/D</v>
      </c>
      <c r="K205" s="26" t="str">
        <f>IF($AQ205,"#N/D",IFERROR(INDEX(Olimpiadas!$A$2:$A$61,MATCH($AO205,Olimpiadas!$C$2:$C$61,0)),"#N/D"))</f>
        <v>#N/D</v>
      </c>
      <c r="L205" s="26" t="str">
        <f>IF($AQ205,"#N/D",IFERROR(INDEX(Minculturas!$A$2:$A$48,MATCH($AO205,Minculturas!$C$2:$C$48,0)),"#N/D"))</f>
        <v>#N/D</v>
      </c>
      <c r="M205" s="26" t="str">
        <f>IF($AQ205,"#N/D",IFERROR(INDEX(Minculturas!$B$2:$B$48,MATCH($AO205,Minculturas!$C$2:$C$48,0)),"#N/D"))</f>
        <v>#N/D</v>
      </c>
      <c r="N205" s="27">
        <v>1</v>
      </c>
      <c r="O205" s="28">
        <v>0</v>
      </c>
      <c r="P205" s="28">
        <v>0</v>
      </c>
      <c r="Q205" s="28">
        <v>0</v>
      </c>
      <c r="R205" s="28">
        <v>0</v>
      </c>
      <c r="S205" s="28">
        <v>1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7">
        <f t="shared" si="54"/>
        <v>1</v>
      </c>
      <c r="AH205" s="28"/>
      <c r="AI205" s="28"/>
      <c r="AJ205" s="28">
        <v>22.6</v>
      </c>
      <c r="AK205" s="28"/>
      <c r="AL205" s="28"/>
      <c r="AM205" s="29" t="s">
        <v>769</v>
      </c>
      <c r="AO205" t="str">
        <f t="shared" si="55"/>
        <v>anapoima</v>
      </c>
      <c r="AP205" t="str">
        <f t="shared" si="56"/>
        <v>cundinamarca</v>
      </c>
      <c r="AQ205" t="b">
        <f t="shared" si="57"/>
        <v>0</v>
      </c>
      <c r="AR205" t="str">
        <f t="shared" si="58"/>
        <v>anapoima</v>
      </c>
      <c r="AS205" s="30">
        <f t="shared" si="59"/>
        <v>0</v>
      </c>
      <c r="AT205" s="30">
        <f t="shared" si="60"/>
        <v>1</v>
      </c>
      <c r="AU205" s="30">
        <f t="shared" si="61"/>
        <v>3</v>
      </c>
      <c r="AV205" s="30">
        <f t="shared" si="62"/>
        <v>3</v>
      </c>
      <c r="AZ205" s="31">
        <f t="shared" si="63"/>
        <v>3</v>
      </c>
      <c r="BA205" s="31">
        <f t="shared" si="64"/>
        <v>6</v>
      </c>
      <c r="BB205" s="32">
        <f>IFERROR(INDEX('Análisis general'!$E$4:$E$28,MATCH($B205,'Análisis general'!$B$4:$B$28,0)),"")</f>
        <v>4.0999999999999996</v>
      </c>
      <c r="BC205" s="31">
        <f t="shared" si="65"/>
        <v>3</v>
      </c>
      <c r="BD205" s="32">
        <f t="shared" si="66"/>
        <v>6.4285714285714279</v>
      </c>
      <c r="BE205" s="32">
        <f t="shared" si="67"/>
        <v>9</v>
      </c>
    </row>
    <row r="206" spans="1:57" ht="25.5" customHeight="1" x14ac:dyDescent="0.25">
      <c r="A206" s="33" t="s">
        <v>770</v>
      </c>
      <c r="B206" s="11" t="s">
        <v>35</v>
      </c>
      <c r="C206" s="43" t="s">
        <v>112</v>
      </c>
      <c r="D206" s="24">
        <f t="shared" si="51"/>
        <v>6</v>
      </c>
      <c r="E206" s="59">
        <f t="shared" si="52"/>
        <v>6.4285714285714279</v>
      </c>
      <c r="F206" s="59">
        <f t="shared" si="53"/>
        <v>9</v>
      </c>
      <c r="G206" s="11" t="s">
        <v>241</v>
      </c>
      <c r="H206" s="25" t="str">
        <f>IFERROR(IF($AQ206,INDEX(cpe!$C$2:$C$307,MATCH($AR206,cpe!$F$2:$F$307,0)),INDEX(cpe!$C$2:$C$307,MATCH($AR206,cpe!$D$2:$D$307,0))),"#N/D")</f>
        <v>#N/D</v>
      </c>
      <c r="I206" s="25" t="str">
        <f>IFERROR(IF($AQ206,INDEX(cpe!$B$2:$B$307,MATCH($AR206,cpe!$F$2:$F$307,0)),INDEX(cpe!$B$2:$B$307,MATCH($AR206,cpe!$D$2:$D$307,0))),"#N/D")</f>
        <v>#N/D</v>
      </c>
      <c r="J206" s="26" t="str">
        <f>IF($AQ206,"#N/D",IFERROR(INDEX(Olimpiadas!$B$2:$B$61,MATCH($AO206,Olimpiadas!$C$2:$C$61,0)),"#N/D"))</f>
        <v>#N/D</v>
      </c>
      <c r="K206" s="26" t="str">
        <f>IF($AQ206,"#N/D",IFERROR(INDEX(Olimpiadas!$A$2:$A$61,MATCH($AO206,Olimpiadas!$C$2:$C$61,0)),"#N/D"))</f>
        <v>#N/D</v>
      </c>
      <c r="L206" s="26" t="str">
        <f>IF($AQ206,"#N/D",IFERROR(INDEX(Minculturas!$A$2:$A$48,MATCH($AO206,Minculturas!$C$2:$C$48,0)),"#N/D"))</f>
        <v>#N/D</v>
      </c>
      <c r="M206" s="26" t="str">
        <f>IF($AQ206,"#N/D",IFERROR(INDEX(Minculturas!$B$2:$B$48,MATCH($AO206,Minculturas!$C$2:$C$48,0)),"#N/D"))</f>
        <v>#N/D</v>
      </c>
      <c r="N206" s="27">
        <v>1</v>
      </c>
      <c r="O206" s="28">
        <v>0</v>
      </c>
      <c r="P206" s="28">
        <v>1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7">
        <f t="shared" si="54"/>
        <v>1</v>
      </c>
      <c r="AH206" s="28"/>
      <c r="AI206" s="28"/>
      <c r="AJ206" s="28">
        <v>70.2</v>
      </c>
      <c r="AK206" s="28"/>
      <c r="AL206" s="28"/>
      <c r="AM206" s="29" t="s">
        <v>771</v>
      </c>
      <c r="AO206" t="str">
        <f t="shared" si="55"/>
        <v>mosquera</v>
      </c>
      <c r="AP206" t="str">
        <f t="shared" si="56"/>
        <v>cundinamarca</v>
      </c>
      <c r="AQ206" t="b">
        <f t="shared" si="57"/>
        <v>1</v>
      </c>
      <c r="AR206" t="str">
        <f t="shared" si="58"/>
        <v>mosquera|cundinamarca</v>
      </c>
      <c r="AS206" s="30">
        <f t="shared" si="59"/>
        <v>0</v>
      </c>
      <c r="AT206" s="30">
        <f t="shared" si="60"/>
        <v>1</v>
      </c>
      <c r="AU206" s="30">
        <f t="shared" si="61"/>
        <v>3</v>
      </c>
      <c r="AV206" s="30">
        <f t="shared" si="62"/>
        <v>3</v>
      </c>
      <c r="AZ206" s="31">
        <f t="shared" si="63"/>
        <v>3</v>
      </c>
      <c r="BA206" s="31">
        <f t="shared" si="64"/>
        <v>6</v>
      </c>
      <c r="BB206" s="32">
        <f>IFERROR(INDEX('Análisis general'!$E$4:$E$28,MATCH($B206,'Análisis general'!$B$4:$B$28,0)),"")</f>
        <v>4.0999999999999996</v>
      </c>
      <c r="BC206" s="31">
        <f t="shared" si="65"/>
        <v>3</v>
      </c>
      <c r="BD206" s="32">
        <f t="shared" si="66"/>
        <v>6.4285714285714279</v>
      </c>
      <c r="BE206" s="32">
        <f t="shared" si="67"/>
        <v>9</v>
      </c>
    </row>
    <row r="207" spans="1:57" ht="25.5" customHeight="1" x14ac:dyDescent="0.25">
      <c r="A207" s="33" t="s">
        <v>772</v>
      </c>
      <c r="B207" s="11" t="s">
        <v>35</v>
      </c>
      <c r="C207" s="43" t="s">
        <v>112</v>
      </c>
      <c r="D207" s="24">
        <f t="shared" si="51"/>
        <v>6</v>
      </c>
      <c r="E207" s="59">
        <f t="shared" si="52"/>
        <v>6.4285714285714279</v>
      </c>
      <c r="F207" s="59">
        <f t="shared" si="53"/>
        <v>9</v>
      </c>
      <c r="G207" s="11" t="s">
        <v>170</v>
      </c>
      <c r="H207" s="25" t="s">
        <v>106</v>
      </c>
      <c r="I207" s="25" t="s">
        <v>106</v>
      </c>
      <c r="J207" s="26" t="s">
        <v>106</v>
      </c>
      <c r="K207" s="26" t="str">
        <f>IF($AQ207,"#N/D",IFERROR(INDEX(Olimpiadas!$A$2:$A$61,MATCH($AO207,Olimpiadas!$C$2:$C$61,0)),"#N/D"))</f>
        <v>#N/D</v>
      </c>
      <c r="L207" s="26" t="str">
        <f>IF($AQ207,"#N/D",IFERROR(INDEX(Minculturas!$A$2:$A$48,MATCH($AO207,Minculturas!$C$2:$C$48,0)),"#N/D"))</f>
        <v>#N/D</v>
      </c>
      <c r="M207" s="26" t="str">
        <f>IF($AQ207,"#N/D",IFERROR(INDEX(Minculturas!$B$2:$B$48,MATCH($AO207,Minculturas!$C$2:$C$48,0)),"#N/D"))</f>
        <v>#N/D</v>
      </c>
      <c r="N207" s="27">
        <v>1</v>
      </c>
      <c r="O207" s="28">
        <v>0</v>
      </c>
      <c r="P207" s="28">
        <v>0</v>
      </c>
      <c r="Q207" s="28">
        <v>1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7">
        <f t="shared" si="54"/>
        <v>1</v>
      </c>
      <c r="AH207" s="28"/>
      <c r="AI207" s="28"/>
      <c r="AJ207" s="28">
        <v>71.900000000000006</v>
      </c>
      <c r="AK207" s="28"/>
      <c r="AL207" s="28"/>
      <c r="AM207" s="29" t="s">
        <v>773</v>
      </c>
      <c r="AO207" t="str">
        <f t="shared" si="55"/>
        <v>ricaurte</v>
      </c>
      <c r="AP207" t="str">
        <f t="shared" si="56"/>
        <v>cundinamarca</v>
      </c>
      <c r="AQ207" t="b">
        <f t="shared" si="57"/>
        <v>1</v>
      </c>
      <c r="AR207" t="str">
        <f t="shared" si="58"/>
        <v>ricaurte|cundinamarca</v>
      </c>
      <c r="AS207" s="30">
        <f t="shared" si="59"/>
        <v>0</v>
      </c>
      <c r="AT207" s="30">
        <f t="shared" si="60"/>
        <v>1</v>
      </c>
      <c r="AU207" s="30">
        <f t="shared" si="61"/>
        <v>3</v>
      </c>
      <c r="AV207" s="30">
        <f t="shared" si="62"/>
        <v>3</v>
      </c>
      <c r="AZ207" s="31">
        <f t="shared" si="63"/>
        <v>3</v>
      </c>
      <c r="BA207" s="31">
        <f t="shared" si="64"/>
        <v>6</v>
      </c>
      <c r="BB207" s="32">
        <f>IFERROR(INDEX('Análisis general'!$E$4:$E$28,MATCH($B207,'Análisis general'!$B$4:$B$28,0)),"")</f>
        <v>4.0999999999999996</v>
      </c>
      <c r="BC207" s="31">
        <f t="shared" si="65"/>
        <v>3</v>
      </c>
      <c r="BD207" s="32">
        <f t="shared" si="66"/>
        <v>6.4285714285714279</v>
      </c>
      <c r="BE207" s="32">
        <f t="shared" si="67"/>
        <v>9</v>
      </c>
    </row>
    <row r="208" spans="1:57" ht="25.5" customHeight="1" x14ac:dyDescent="0.25">
      <c r="A208" s="33" t="s">
        <v>774</v>
      </c>
      <c r="B208" s="11" t="s">
        <v>35</v>
      </c>
      <c r="C208" s="64" t="s">
        <v>1215</v>
      </c>
      <c r="D208" s="24">
        <f t="shared" si="51"/>
        <v>6</v>
      </c>
      <c r="E208" s="59">
        <f t="shared" si="52"/>
        <v>6.4285714285714279</v>
      </c>
      <c r="F208" s="59">
        <f t="shared" si="53"/>
        <v>9</v>
      </c>
      <c r="G208" s="11" t="s">
        <v>775</v>
      </c>
      <c r="H208" s="25" t="s">
        <v>106</v>
      </c>
      <c r="I208" s="25" t="s">
        <v>106</v>
      </c>
      <c r="J208" s="26" t="s">
        <v>106</v>
      </c>
      <c r="K208" s="26" t="str">
        <f>IF($AQ208,"#N/D",IFERROR(INDEX(Olimpiadas!$A$2:$A$61,MATCH($AO208,Olimpiadas!$C$2:$C$61,0)),"#N/D"))</f>
        <v>#N/D</v>
      </c>
      <c r="L208" s="26" t="str">
        <f>IF($AQ208,"#N/D",IFERROR(INDEX(Minculturas!$A$2:$A$48,MATCH($AO208,Minculturas!$C$2:$C$48,0)),"#N/D"))</f>
        <v>#N/D</v>
      </c>
      <c r="M208" s="26" t="str">
        <f>IF($AQ208,"#N/D",IFERROR(INDEX(Minculturas!$B$2:$B$48,MATCH($AO208,Minculturas!$C$2:$C$48,0)),"#N/D"))</f>
        <v>#N/D</v>
      </c>
      <c r="N208" s="27">
        <v>1</v>
      </c>
      <c r="O208" s="28">
        <v>0</v>
      </c>
      <c r="P208" s="35">
        <v>0</v>
      </c>
      <c r="Q208" s="35">
        <v>1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35">
        <v>0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27">
        <f t="shared" si="54"/>
        <v>1</v>
      </c>
      <c r="AH208" s="37"/>
      <c r="AI208" s="37"/>
      <c r="AJ208" s="28">
        <v>8</v>
      </c>
      <c r="AK208" s="28"/>
      <c r="AL208" s="28"/>
      <c r="AM208" s="29" t="s">
        <v>776</v>
      </c>
      <c r="AO208" t="str">
        <f t="shared" si="55"/>
        <v>sopo</v>
      </c>
      <c r="AP208" t="str">
        <f t="shared" si="56"/>
        <v>cundinamarca</v>
      </c>
      <c r="AQ208" t="b">
        <f t="shared" si="57"/>
        <v>0</v>
      </c>
      <c r="AR208" t="str">
        <f t="shared" si="58"/>
        <v>sopo</v>
      </c>
      <c r="AS208" s="30">
        <f t="shared" si="59"/>
        <v>0</v>
      </c>
      <c r="AT208" s="30">
        <f t="shared" si="60"/>
        <v>1</v>
      </c>
      <c r="AU208" s="30">
        <f t="shared" si="61"/>
        <v>3</v>
      </c>
      <c r="AV208" s="30">
        <f t="shared" si="62"/>
        <v>3</v>
      </c>
      <c r="AZ208" s="31">
        <f t="shared" si="63"/>
        <v>3</v>
      </c>
      <c r="BA208" s="31">
        <f t="shared" si="64"/>
        <v>6</v>
      </c>
      <c r="BB208" s="32">
        <f>IFERROR(INDEX('Análisis general'!$E$4:$E$28,MATCH($B208,'Análisis general'!$B$4:$B$28,0)),"")</f>
        <v>4.0999999999999996</v>
      </c>
      <c r="BC208" s="31">
        <f t="shared" si="65"/>
        <v>3</v>
      </c>
      <c r="BD208" s="32">
        <f t="shared" si="66"/>
        <v>6.4285714285714279</v>
      </c>
      <c r="BE208" s="32">
        <f t="shared" si="67"/>
        <v>9</v>
      </c>
    </row>
    <row r="209" spans="1:57" ht="25.5" customHeight="1" x14ac:dyDescent="0.25">
      <c r="A209" s="33" t="s">
        <v>777</v>
      </c>
      <c r="B209" s="11" t="s">
        <v>35</v>
      </c>
      <c r="C209" s="64" t="s">
        <v>1215</v>
      </c>
      <c r="D209" s="24">
        <f t="shared" si="51"/>
        <v>6</v>
      </c>
      <c r="E209" s="59">
        <f t="shared" si="52"/>
        <v>6.4285714285714279</v>
      </c>
      <c r="F209" s="59">
        <f t="shared" si="53"/>
        <v>9</v>
      </c>
      <c r="G209" s="11" t="s">
        <v>778</v>
      </c>
      <c r="H209" s="25" t="s">
        <v>106</v>
      </c>
      <c r="I209" s="25" t="s">
        <v>106</v>
      </c>
      <c r="J209" s="26" t="s">
        <v>106</v>
      </c>
      <c r="K209" s="26" t="str">
        <f>IF($AQ209,"#N/D",IFERROR(INDEX(Olimpiadas!$A$2:$A$61,MATCH($AO209,Olimpiadas!$C$2:$C$61,0)),"#N/D"))</f>
        <v>#N/D</v>
      </c>
      <c r="L209" s="26" t="str">
        <f>IF($AQ209,"#N/D",IFERROR(INDEX(Minculturas!$A$2:$A$48,MATCH($AO209,Minculturas!$C$2:$C$48,0)),"#N/D"))</f>
        <v>#N/D</v>
      </c>
      <c r="M209" s="26" t="str">
        <f>IF($AQ209,"#N/D",IFERROR(INDEX(Minculturas!$B$2:$B$48,MATCH($AO209,Minculturas!$C$2:$C$48,0)),"#N/D"))</f>
        <v>#N/D</v>
      </c>
      <c r="N209" s="27">
        <v>2</v>
      </c>
      <c r="O209" s="28">
        <v>0</v>
      </c>
      <c r="P209" s="28">
        <v>1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1</v>
      </c>
      <c r="AC209" s="28">
        <v>0</v>
      </c>
      <c r="AD209" s="28">
        <v>0</v>
      </c>
      <c r="AE209" s="28">
        <v>0</v>
      </c>
      <c r="AF209" s="28">
        <v>0</v>
      </c>
      <c r="AG209" s="27">
        <f t="shared" si="54"/>
        <v>1</v>
      </c>
      <c r="AH209" s="28"/>
      <c r="AI209" s="28"/>
      <c r="AJ209" s="28">
        <v>14</v>
      </c>
      <c r="AK209" s="28"/>
      <c r="AL209" s="28"/>
      <c r="AM209" s="29" t="s">
        <v>779</v>
      </c>
      <c r="AO209" t="str">
        <f t="shared" si="55"/>
        <v>suesca</v>
      </c>
      <c r="AP209" t="str">
        <f t="shared" si="56"/>
        <v>cundinamarca</v>
      </c>
      <c r="AQ209" t="b">
        <f t="shared" si="57"/>
        <v>0</v>
      </c>
      <c r="AR209" t="str">
        <f t="shared" si="58"/>
        <v>suesca</v>
      </c>
      <c r="AS209" s="30">
        <f t="shared" si="59"/>
        <v>0</v>
      </c>
      <c r="AT209" s="30">
        <f t="shared" si="60"/>
        <v>1</v>
      </c>
      <c r="AU209" s="30">
        <f t="shared" si="61"/>
        <v>3</v>
      </c>
      <c r="AV209" s="30">
        <f t="shared" si="62"/>
        <v>3</v>
      </c>
      <c r="AZ209" s="31">
        <f t="shared" si="63"/>
        <v>3</v>
      </c>
      <c r="BA209" s="31">
        <f t="shared" si="64"/>
        <v>6</v>
      </c>
      <c r="BB209" s="32">
        <f>IFERROR(INDEX('Análisis general'!$E$4:$E$28,MATCH($B209,'Análisis general'!$B$4:$B$28,0)),"")</f>
        <v>4.0999999999999996</v>
      </c>
      <c r="BC209" s="31">
        <f t="shared" si="65"/>
        <v>3</v>
      </c>
      <c r="BD209" s="32">
        <f t="shared" si="66"/>
        <v>6.4285714285714279</v>
      </c>
      <c r="BE209" s="32">
        <f t="shared" si="67"/>
        <v>9</v>
      </c>
    </row>
    <row r="210" spans="1:57" ht="25.5" customHeight="1" x14ac:dyDescent="0.25">
      <c r="A210" s="33" t="s">
        <v>780</v>
      </c>
      <c r="B210" s="11" t="s">
        <v>35</v>
      </c>
      <c r="C210" s="64" t="s">
        <v>1215</v>
      </c>
      <c r="D210" s="24">
        <f t="shared" si="51"/>
        <v>6</v>
      </c>
      <c r="E210" s="59">
        <f t="shared" si="52"/>
        <v>6.4285714285714279</v>
      </c>
      <c r="F210" s="59">
        <f t="shared" si="53"/>
        <v>9</v>
      </c>
      <c r="G210" s="11" t="s">
        <v>781</v>
      </c>
      <c r="H210" s="25" t="s">
        <v>106</v>
      </c>
      <c r="I210" s="25" t="s">
        <v>106</v>
      </c>
      <c r="J210" s="26" t="s">
        <v>106</v>
      </c>
      <c r="K210" s="26" t="str">
        <f>IF($AQ210,"#N/D",IFERROR(INDEX(Olimpiadas!$A$2:$A$61,MATCH($AO210,Olimpiadas!$C$2:$C$61,0)),"#N/D"))</f>
        <v>#N/D</v>
      </c>
      <c r="L210" s="26" t="str">
        <f>IF($AQ210,"#N/D",IFERROR(INDEX(Minculturas!$A$2:$A$48,MATCH($AO210,Minculturas!$C$2:$C$48,0)),"#N/D"))</f>
        <v>#N/D</v>
      </c>
      <c r="M210" s="26" t="str">
        <f>IF($AQ210,"#N/D",IFERROR(INDEX(Minculturas!$B$2:$B$48,MATCH($AO210,Minculturas!$C$2:$C$48,0)),"#N/D"))</f>
        <v>#N/D</v>
      </c>
      <c r="N210" s="27">
        <v>1</v>
      </c>
      <c r="O210" s="28">
        <v>0</v>
      </c>
      <c r="P210" s="28">
        <v>0</v>
      </c>
      <c r="Q210" s="28">
        <v>0</v>
      </c>
      <c r="R210" s="28">
        <v>0</v>
      </c>
      <c r="S210" s="28">
        <v>1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7">
        <f t="shared" si="54"/>
        <v>1</v>
      </c>
      <c r="AH210" s="28"/>
      <c r="AI210" s="28"/>
      <c r="AJ210" s="28">
        <v>9.6</v>
      </c>
      <c r="AK210" s="28"/>
      <c r="AL210" s="28"/>
      <c r="AM210" s="29" t="s">
        <v>782</v>
      </c>
      <c r="AO210" t="str">
        <f t="shared" si="55"/>
        <v>tabio</v>
      </c>
      <c r="AP210" t="str">
        <f t="shared" si="56"/>
        <v>cundinamarca</v>
      </c>
      <c r="AQ210" t="b">
        <f t="shared" si="57"/>
        <v>0</v>
      </c>
      <c r="AR210" t="str">
        <f t="shared" si="58"/>
        <v>tabio</v>
      </c>
      <c r="AS210" s="30">
        <f t="shared" si="59"/>
        <v>0</v>
      </c>
      <c r="AT210" s="30">
        <f t="shared" si="60"/>
        <v>1</v>
      </c>
      <c r="AU210" s="30">
        <f t="shared" si="61"/>
        <v>3</v>
      </c>
      <c r="AV210" s="30">
        <f t="shared" si="62"/>
        <v>3</v>
      </c>
      <c r="AZ210" s="31">
        <f t="shared" si="63"/>
        <v>3</v>
      </c>
      <c r="BA210" s="31">
        <f t="shared" si="64"/>
        <v>6</v>
      </c>
      <c r="BB210" s="32">
        <f>IFERROR(INDEX('Análisis general'!$E$4:$E$28,MATCH($B210,'Análisis general'!$B$4:$B$28,0)),"")</f>
        <v>4.0999999999999996</v>
      </c>
      <c r="BC210" s="31">
        <f t="shared" si="65"/>
        <v>3</v>
      </c>
      <c r="BD210" s="32">
        <f t="shared" si="66"/>
        <v>6.4285714285714279</v>
      </c>
      <c r="BE210" s="32">
        <f t="shared" si="67"/>
        <v>9</v>
      </c>
    </row>
    <row r="211" spans="1:57" ht="25.5" customHeight="1" x14ac:dyDescent="0.25">
      <c r="A211" s="33" t="s">
        <v>783</v>
      </c>
      <c r="B211" s="11" t="s">
        <v>35</v>
      </c>
      <c r="C211" s="64" t="s">
        <v>1215</v>
      </c>
      <c r="D211" s="24">
        <f t="shared" si="51"/>
        <v>6</v>
      </c>
      <c r="E211" s="59">
        <f t="shared" si="52"/>
        <v>6.4285714285714279</v>
      </c>
      <c r="F211" s="59">
        <f t="shared" si="53"/>
        <v>9</v>
      </c>
      <c r="G211" s="11" t="s">
        <v>784</v>
      </c>
      <c r="H211" s="25" t="s">
        <v>106</v>
      </c>
      <c r="I211" s="25" t="s">
        <v>106</v>
      </c>
      <c r="J211" s="26" t="s">
        <v>106</v>
      </c>
      <c r="K211" s="26" t="str">
        <f>IF($AQ211,"#N/D",IFERROR(INDEX(Olimpiadas!$A$2:$A$61,MATCH($AO211,Olimpiadas!$C$2:$C$61,0)),"#N/D"))</f>
        <v>#N/D</v>
      </c>
      <c r="L211" s="26" t="str">
        <f>IF($AQ211,"#N/D",IFERROR(INDEX(Minculturas!$A$2:$A$48,MATCH($AO211,Minculturas!$C$2:$C$48,0)),"#N/D"))</f>
        <v>#N/D</v>
      </c>
      <c r="M211" s="26" t="str">
        <f>IF($AQ211,"#N/D",IFERROR(INDEX(Minculturas!$B$2:$B$48,MATCH($AO211,Minculturas!$C$2:$C$48,0)),"#N/D"))</f>
        <v>#N/D</v>
      </c>
      <c r="N211" s="27">
        <v>1</v>
      </c>
      <c r="O211" s="28">
        <v>0</v>
      </c>
      <c r="P211" s="28">
        <v>0</v>
      </c>
      <c r="Q211" s="28">
        <v>1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7">
        <f t="shared" si="54"/>
        <v>1</v>
      </c>
      <c r="AH211" s="28"/>
      <c r="AI211" s="28"/>
      <c r="AJ211" s="28">
        <v>24.4</v>
      </c>
      <c r="AK211" s="28"/>
      <c r="AL211" s="28"/>
      <c r="AM211" s="29" t="s">
        <v>785</v>
      </c>
      <c r="AO211" t="str">
        <f t="shared" si="55"/>
        <v>tocaima</v>
      </c>
      <c r="AP211" t="str">
        <f t="shared" si="56"/>
        <v>cundinamarca</v>
      </c>
      <c r="AQ211" t="b">
        <f t="shared" si="57"/>
        <v>0</v>
      </c>
      <c r="AR211" t="str">
        <f t="shared" si="58"/>
        <v>tocaima</v>
      </c>
      <c r="AS211" s="30">
        <f t="shared" si="59"/>
        <v>0</v>
      </c>
      <c r="AT211" s="30">
        <f t="shared" si="60"/>
        <v>1</v>
      </c>
      <c r="AU211" s="30">
        <f t="shared" si="61"/>
        <v>3</v>
      </c>
      <c r="AV211" s="30">
        <f t="shared" si="62"/>
        <v>3</v>
      </c>
      <c r="AZ211" s="31">
        <f t="shared" si="63"/>
        <v>3</v>
      </c>
      <c r="BA211" s="31">
        <f t="shared" si="64"/>
        <v>6</v>
      </c>
      <c r="BB211" s="32">
        <f>IFERROR(INDEX('Análisis general'!$E$4:$E$28,MATCH($B211,'Análisis general'!$B$4:$B$28,0)),"")</f>
        <v>4.0999999999999996</v>
      </c>
      <c r="BC211" s="31">
        <f t="shared" si="65"/>
        <v>3</v>
      </c>
      <c r="BD211" s="32">
        <f t="shared" si="66"/>
        <v>6.4285714285714279</v>
      </c>
      <c r="BE211" s="32">
        <f t="shared" si="67"/>
        <v>9</v>
      </c>
    </row>
    <row r="212" spans="1:57" ht="25.5" customHeight="1" x14ac:dyDescent="0.25">
      <c r="A212" s="33" t="s">
        <v>786</v>
      </c>
      <c r="B212" s="11" t="s">
        <v>35</v>
      </c>
      <c r="C212" s="34" t="s">
        <v>112</v>
      </c>
      <c r="D212" s="24">
        <f t="shared" si="51"/>
        <v>6</v>
      </c>
      <c r="E212" s="59">
        <f t="shared" si="52"/>
        <v>6.4285714285714279</v>
      </c>
      <c r="F212" s="59">
        <f t="shared" si="53"/>
        <v>9</v>
      </c>
      <c r="G212" s="11" t="s">
        <v>787</v>
      </c>
      <c r="H212" s="25" t="str">
        <f>IFERROR(IF($AQ212,INDEX(cpe!$C$2:$C$307,MATCH($AR212,cpe!$F$2:$F$307,0)),INDEX(cpe!$C$2:$C$307,MATCH($AR212,cpe!$D$2:$D$307,0))),"#N/D")</f>
        <v>#N/D</v>
      </c>
      <c r="I212" s="25" t="str">
        <f>IFERROR(IF($AQ212,INDEX(cpe!$B$2:$B$307,MATCH($AR212,cpe!$F$2:$F$307,0)),INDEX(cpe!$B$2:$B$307,MATCH($AR212,cpe!$D$2:$D$307,0))),"#N/D")</f>
        <v>#N/D</v>
      </c>
      <c r="J212" s="26" t="str">
        <f>IF($AQ212,"#N/D",IFERROR(INDEX(Olimpiadas!$B$2:$B$61,MATCH($AO212,Olimpiadas!$C$2:$C$61,0)),"#N/D"))</f>
        <v>#N/D</v>
      </c>
      <c r="K212" s="26" t="str">
        <f>IF($AQ212,"#N/D",IFERROR(INDEX(Olimpiadas!$A$2:$A$61,MATCH($AO212,Olimpiadas!$C$2:$C$61,0)),"#N/D"))</f>
        <v>#N/D</v>
      </c>
      <c r="L212" s="26" t="str">
        <f>IF($AQ212,"#N/D",IFERROR(INDEX(Minculturas!$A$2:$A$48,MATCH($AO212,Minculturas!$C$2:$C$48,0)),"#N/D"))</f>
        <v>#N/D</v>
      </c>
      <c r="M212" s="26" t="str">
        <f>IF($AQ212,"#N/D",IFERROR(INDEX(Minculturas!$B$2:$B$48,MATCH($AO212,Minculturas!$C$2:$C$48,0)),"#N/D"))</f>
        <v>#N/D</v>
      </c>
      <c r="N212" s="27">
        <v>1</v>
      </c>
      <c r="O212" s="28">
        <v>0</v>
      </c>
      <c r="P212" s="28">
        <v>0</v>
      </c>
      <c r="Q212" s="28">
        <v>0</v>
      </c>
      <c r="R212" s="28">
        <v>0</v>
      </c>
      <c r="S212" s="28">
        <v>1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7">
        <f t="shared" si="54"/>
        <v>1</v>
      </c>
      <c r="AH212" s="28"/>
      <c r="AI212" s="28"/>
      <c r="AJ212" s="28">
        <v>22.7</v>
      </c>
      <c r="AK212" s="28"/>
      <c r="AL212" s="28"/>
      <c r="AM212" s="29" t="s">
        <v>114</v>
      </c>
      <c r="AO212" t="str">
        <f t="shared" si="55"/>
        <v>anolaima</v>
      </c>
      <c r="AP212" t="str">
        <f t="shared" si="56"/>
        <v>cundinamarca</v>
      </c>
      <c r="AQ212" t="b">
        <f t="shared" si="57"/>
        <v>0</v>
      </c>
      <c r="AR212" t="str">
        <f t="shared" si="58"/>
        <v>anolaima</v>
      </c>
      <c r="AS212" s="30">
        <f t="shared" si="59"/>
        <v>0</v>
      </c>
      <c r="AT212" s="30">
        <f t="shared" si="60"/>
        <v>1</v>
      </c>
      <c r="AU212" s="30">
        <f t="shared" si="61"/>
        <v>3</v>
      </c>
      <c r="AV212" s="30">
        <f t="shared" si="62"/>
        <v>3</v>
      </c>
      <c r="AZ212" s="31">
        <f t="shared" si="63"/>
        <v>3</v>
      </c>
      <c r="BA212" s="31">
        <f t="shared" si="64"/>
        <v>6</v>
      </c>
      <c r="BB212" s="32">
        <f>IFERROR(INDEX('Análisis general'!$E$4:$E$28,MATCH($B212,'Análisis general'!$B$4:$B$28,0)),"")</f>
        <v>4.0999999999999996</v>
      </c>
      <c r="BC212" s="31">
        <f t="shared" si="65"/>
        <v>3</v>
      </c>
      <c r="BD212" s="32">
        <f t="shared" si="66"/>
        <v>6.4285714285714279</v>
      </c>
      <c r="BE212" s="32">
        <f t="shared" si="67"/>
        <v>9</v>
      </c>
    </row>
    <row r="213" spans="1:57" ht="25.5" customHeight="1" x14ac:dyDescent="0.25">
      <c r="A213" s="33" t="s">
        <v>788</v>
      </c>
      <c r="B213" s="11" t="s">
        <v>45</v>
      </c>
      <c r="C213" s="34" t="s">
        <v>112</v>
      </c>
      <c r="D213" s="24">
        <f t="shared" si="51"/>
        <v>6</v>
      </c>
      <c r="E213" s="59">
        <f t="shared" si="52"/>
        <v>6.4285714285714279</v>
      </c>
      <c r="F213" s="59">
        <f t="shared" si="53"/>
        <v>9</v>
      </c>
      <c r="G213" s="11" t="s">
        <v>789</v>
      </c>
      <c r="H213" s="25" t="str">
        <f>IFERROR(IF($AQ213,INDEX(cpe!$C$2:$C$307,MATCH($AR213,cpe!$F$2:$F$307,0)),INDEX(cpe!$C$2:$C$307,MATCH($AR213,cpe!$D$2:$D$307,0))),"#N/D")</f>
        <v>#N/D</v>
      </c>
      <c r="I213" s="25" t="str">
        <f>IFERROR(IF($AQ213,INDEX(cpe!$B$2:$B$307,MATCH($AR213,cpe!$F$2:$F$307,0)),INDEX(cpe!$B$2:$B$307,MATCH($AR213,cpe!$D$2:$D$307,0))),"#N/D")</f>
        <v>#N/D</v>
      </c>
      <c r="J213" s="26" t="str">
        <f>IF($AQ213,"#N/D",IFERROR(INDEX(Olimpiadas!$B$2:$B$61,MATCH($AO213,Olimpiadas!$C$2:$C$61,0)),"#N/D"))</f>
        <v>#N/D</v>
      </c>
      <c r="K213" s="26" t="str">
        <f>IF($AQ213,"#N/D",IFERROR(INDEX(Olimpiadas!$A$2:$A$61,MATCH($AO213,Olimpiadas!$C$2:$C$61,0)),"#N/D"))</f>
        <v>#N/D</v>
      </c>
      <c r="L213" s="26" t="str">
        <f>IF($AQ213,"#N/D",IFERROR(INDEX(Minculturas!$A$2:$A$48,MATCH($AO213,Minculturas!$C$2:$C$48,0)),"#N/D"))</f>
        <v>#N/D</v>
      </c>
      <c r="M213" s="26" t="str">
        <f>IF($AQ213,"#N/D",IFERROR(INDEX(Minculturas!$B$2:$B$48,MATCH($AO213,Minculturas!$C$2:$C$48,0)),"#N/D"))</f>
        <v>#N/D</v>
      </c>
      <c r="N213" s="27">
        <v>1</v>
      </c>
      <c r="O213" s="28">
        <v>0</v>
      </c>
      <c r="P213" s="28">
        <v>1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7">
        <f t="shared" si="54"/>
        <v>1</v>
      </c>
      <c r="AH213" s="28" t="s">
        <v>790</v>
      </c>
      <c r="AI213" s="28" t="s">
        <v>791</v>
      </c>
      <c r="AJ213" s="28">
        <v>33.6</v>
      </c>
      <c r="AK213" s="28"/>
      <c r="AL213" s="28"/>
      <c r="AM213" s="29" t="s">
        <v>246</v>
      </c>
      <c r="AO213" t="str">
        <f t="shared" si="55"/>
        <v>apia</v>
      </c>
      <c r="AP213" t="str">
        <f t="shared" si="56"/>
        <v>risaralda</v>
      </c>
      <c r="AQ213" t="b">
        <f t="shared" si="57"/>
        <v>0</v>
      </c>
      <c r="AR213" t="str">
        <f t="shared" si="58"/>
        <v>apia</v>
      </c>
      <c r="AS213" s="30">
        <f t="shared" si="59"/>
        <v>0</v>
      </c>
      <c r="AT213" s="30">
        <f t="shared" si="60"/>
        <v>1</v>
      </c>
      <c r="AU213" s="30">
        <f t="shared" si="61"/>
        <v>3</v>
      </c>
      <c r="AV213" s="30">
        <f t="shared" si="62"/>
        <v>3</v>
      </c>
      <c r="AZ213" s="31">
        <f t="shared" si="63"/>
        <v>3</v>
      </c>
      <c r="BA213" s="31">
        <f t="shared" si="64"/>
        <v>6</v>
      </c>
      <c r="BB213" s="32">
        <f>IFERROR(INDEX('Análisis general'!$E$4:$E$28,MATCH($B213,'Análisis general'!$B$4:$B$28,0)),"")</f>
        <v>4.9000000000000004</v>
      </c>
      <c r="BC213" s="31">
        <f t="shared" si="65"/>
        <v>3</v>
      </c>
      <c r="BD213" s="32">
        <f t="shared" si="66"/>
        <v>6.4285714285714279</v>
      </c>
      <c r="BE213" s="32">
        <f t="shared" si="67"/>
        <v>9</v>
      </c>
    </row>
    <row r="214" spans="1:57" ht="25.5" customHeight="1" x14ac:dyDescent="0.25">
      <c r="A214" s="33" t="s">
        <v>792</v>
      </c>
      <c r="B214" s="11" t="s">
        <v>49</v>
      </c>
      <c r="C214" s="34" t="s">
        <v>112</v>
      </c>
      <c r="D214" s="24">
        <f t="shared" si="51"/>
        <v>6</v>
      </c>
      <c r="E214" s="59">
        <f t="shared" si="52"/>
        <v>6.4285714285714279</v>
      </c>
      <c r="F214" s="59">
        <f t="shared" si="53"/>
        <v>9</v>
      </c>
      <c r="G214" s="11" t="s">
        <v>224</v>
      </c>
      <c r="H214" s="25" t="str">
        <f>IFERROR(IF($AQ214,INDEX(cpe!$C$2:$C$307,MATCH($AR214,cpe!$F$2:$F$307,0)),INDEX(cpe!$C$2:$C$307,MATCH($AR214,cpe!$D$2:$D$307,0))),"#N/D")</f>
        <v>#N/D</v>
      </c>
      <c r="I214" s="25" t="str">
        <f>IFERROR(IF($AQ214,INDEX(cpe!$B$2:$B$307,MATCH($AR214,cpe!$F$2:$F$307,0)),INDEX(cpe!$B$2:$B$307,MATCH($AR214,cpe!$D$2:$D$307,0))),"#N/D")</f>
        <v>#N/D</v>
      </c>
      <c r="J214" s="26" t="str">
        <f>IF($AQ214,"#N/D",IFERROR(INDEX(Olimpiadas!$B$2:$B$61,MATCH($AO214,Olimpiadas!$C$2:$C$61,0)),"#N/D"))</f>
        <v>#N/D</v>
      </c>
      <c r="K214" s="26" t="str">
        <f>IF($AQ214,"#N/D",IFERROR(INDEX(Olimpiadas!$A$2:$A$61,MATCH($AO214,Olimpiadas!$C$2:$C$61,0)),"#N/D"))</f>
        <v>#N/D</v>
      </c>
      <c r="L214" s="26" t="str">
        <f>IF($AQ214,"#N/D",IFERROR(INDEX(Minculturas!$A$2:$A$48,MATCH($AO214,Minculturas!$C$2:$C$48,0)),"#N/D"))</f>
        <v>#N/D</v>
      </c>
      <c r="M214" s="26" t="str">
        <f>IF($AQ214,"#N/D",IFERROR(INDEX(Minculturas!$B$2:$B$48,MATCH($AO214,Minculturas!$C$2:$C$48,0)),"#N/D"))</f>
        <v>#N/D</v>
      </c>
      <c r="N214" s="27">
        <v>1</v>
      </c>
      <c r="O214" s="28">
        <v>0</v>
      </c>
      <c r="P214" s="28">
        <v>1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7">
        <f t="shared" si="54"/>
        <v>1</v>
      </c>
      <c r="AH214" s="28" t="s">
        <v>704</v>
      </c>
      <c r="AI214" s="28" t="s">
        <v>793</v>
      </c>
      <c r="AJ214" s="28">
        <v>50.1</v>
      </c>
      <c r="AK214" s="28"/>
      <c r="AL214" s="28"/>
      <c r="AM214" s="29" t="s">
        <v>114</v>
      </c>
      <c r="AO214" t="str">
        <f t="shared" si="55"/>
        <v>argelia</v>
      </c>
      <c r="AP214" t="str">
        <f t="shared" si="56"/>
        <v>valle del cauca</v>
      </c>
      <c r="AQ214" t="b">
        <f t="shared" si="57"/>
        <v>1</v>
      </c>
      <c r="AR214" t="str">
        <f t="shared" si="58"/>
        <v>argelia|valle del cauca</v>
      </c>
      <c r="AS214" s="30">
        <f t="shared" si="59"/>
        <v>0</v>
      </c>
      <c r="AT214" s="30">
        <f t="shared" si="60"/>
        <v>1</v>
      </c>
      <c r="AU214" s="30">
        <f t="shared" si="61"/>
        <v>3</v>
      </c>
      <c r="AV214" s="30">
        <f t="shared" si="62"/>
        <v>3</v>
      </c>
      <c r="AZ214" s="31">
        <f t="shared" si="63"/>
        <v>3</v>
      </c>
      <c r="BA214" s="31">
        <f t="shared" si="64"/>
        <v>6</v>
      </c>
      <c r="BB214" s="32">
        <f>IFERROR(INDEX('Análisis general'!$E$4:$E$28,MATCH($B214,'Análisis general'!$B$4:$B$28,0)),"")</f>
        <v>4.9000000000000004</v>
      </c>
      <c r="BC214" s="31">
        <f t="shared" si="65"/>
        <v>3</v>
      </c>
      <c r="BD214" s="32">
        <f t="shared" si="66"/>
        <v>6.4285714285714279</v>
      </c>
      <c r="BE214" s="32">
        <f t="shared" si="67"/>
        <v>9</v>
      </c>
    </row>
    <row r="215" spans="1:57" ht="25.5" customHeight="1" x14ac:dyDescent="0.25">
      <c r="A215" s="33" t="s">
        <v>794</v>
      </c>
      <c r="B215" s="11" t="s">
        <v>45</v>
      </c>
      <c r="C215" s="34" t="s">
        <v>112</v>
      </c>
      <c r="D215" s="24">
        <f t="shared" si="51"/>
        <v>6</v>
      </c>
      <c r="E215" s="59">
        <f t="shared" si="52"/>
        <v>6.4285714285714279</v>
      </c>
      <c r="F215" s="59">
        <f t="shared" si="53"/>
        <v>9</v>
      </c>
      <c r="G215" s="11" t="s">
        <v>113</v>
      </c>
      <c r="H215" s="25" t="str">
        <f>IFERROR(IF($AQ215,INDEX(cpe!$C$2:$C$307,MATCH($AR215,cpe!$F$2:$F$307,0)),INDEX(cpe!$C$2:$C$307,MATCH($AR215,cpe!$D$2:$D$307,0))),"#N/D")</f>
        <v>#N/D</v>
      </c>
      <c r="I215" s="25" t="str">
        <f>IFERROR(IF($AQ215,INDEX(cpe!$B$2:$B$307,MATCH($AR215,cpe!$F$2:$F$307,0)),INDEX(cpe!$B$2:$B$307,MATCH($AR215,cpe!$D$2:$D$307,0))),"#N/D")</f>
        <v>#N/D</v>
      </c>
      <c r="J215" s="26" t="str">
        <f>IF($AQ215,"#N/D",IFERROR(INDEX(Olimpiadas!$B$2:$B$61,MATCH($AO215,Olimpiadas!$C$2:$C$61,0)),"#N/D"))</f>
        <v>#N/D</v>
      </c>
      <c r="K215" s="26" t="str">
        <f>IF($AQ215,"#N/D",IFERROR(INDEX(Olimpiadas!$A$2:$A$61,MATCH($AO215,Olimpiadas!$C$2:$C$61,0)),"#N/D"))</f>
        <v>#N/D</v>
      </c>
      <c r="L215" s="26" t="str">
        <f>IF($AQ215,"#N/D",IFERROR(INDEX(Minculturas!$A$2:$A$48,MATCH($AO215,Minculturas!$C$2:$C$48,0)),"#N/D"))</f>
        <v>#N/D</v>
      </c>
      <c r="M215" s="26" t="str">
        <f>IF($AQ215,"#N/D",IFERROR(INDEX(Minculturas!$B$2:$B$48,MATCH($AO215,Minculturas!$C$2:$C$48,0)),"#N/D"))</f>
        <v>#N/D</v>
      </c>
      <c r="N215" s="27">
        <v>2</v>
      </c>
      <c r="O215" s="28">
        <v>0</v>
      </c>
      <c r="P215" s="28">
        <v>1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1</v>
      </c>
      <c r="AC215" s="28">
        <v>0</v>
      </c>
      <c r="AD215" s="28">
        <v>0</v>
      </c>
      <c r="AE215" s="28">
        <v>0</v>
      </c>
      <c r="AF215" s="28">
        <v>0</v>
      </c>
      <c r="AG215" s="27">
        <f t="shared" si="54"/>
        <v>1</v>
      </c>
      <c r="AH215" s="28" t="s">
        <v>795</v>
      </c>
      <c r="AI215" s="28" t="s">
        <v>796</v>
      </c>
      <c r="AJ215" s="28">
        <v>47.1</v>
      </c>
      <c r="AK215" s="28"/>
      <c r="AL215" s="28"/>
      <c r="AM215" s="29" t="s">
        <v>246</v>
      </c>
      <c r="AO215" t="str">
        <f t="shared" si="55"/>
        <v>balboa</v>
      </c>
      <c r="AP215" t="str">
        <f t="shared" si="56"/>
        <v>risaralda</v>
      </c>
      <c r="AQ215" t="b">
        <f t="shared" si="57"/>
        <v>1</v>
      </c>
      <c r="AR215" t="str">
        <f t="shared" si="58"/>
        <v>balboa|risaralda</v>
      </c>
      <c r="AS215" s="30">
        <f t="shared" si="59"/>
        <v>0</v>
      </c>
      <c r="AT215" s="30">
        <f t="shared" si="60"/>
        <v>1</v>
      </c>
      <c r="AU215" s="30">
        <f t="shared" si="61"/>
        <v>3</v>
      </c>
      <c r="AV215" s="30">
        <f t="shared" si="62"/>
        <v>3</v>
      </c>
      <c r="AZ215" s="31">
        <f t="shared" si="63"/>
        <v>3</v>
      </c>
      <c r="BA215" s="31">
        <f t="shared" si="64"/>
        <v>6</v>
      </c>
      <c r="BB215" s="32">
        <f>IFERROR(INDEX('Análisis general'!$E$4:$E$28,MATCH($B215,'Análisis general'!$B$4:$B$28,0)),"")</f>
        <v>4.9000000000000004</v>
      </c>
      <c r="BC215" s="31">
        <f t="shared" si="65"/>
        <v>3</v>
      </c>
      <c r="BD215" s="32">
        <f t="shared" si="66"/>
        <v>6.4285714285714279</v>
      </c>
      <c r="BE215" s="32">
        <f t="shared" si="67"/>
        <v>9</v>
      </c>
    </row>
    <row r="216" spans="1:57" ht="25.5" customHeight="1" x14ac:dyDescent="0.25">
      <c r="A216" s="33" t="s">
        <v>797</v>
      </c>
      <c r="B216" s="11" t="s">
        <v>35</v>
      </c>
      <c r="C216" s="34" t="s">
        <v>112</v>
      </c>
      <c r="D216" s="24">
        <f t="shared" si="51"/>
        <v>6</v>
      </c>
      <c r="E216" s="59">
        <f t="shared" si="52"/>
        <v>6.4285714285714279</v>
      </c>
      <c r="F216" s="59">
        <f t="shared" si="53"/>
        <v>9</v>
      </c>
      <c r="G216" s="11" t="s">
        <v>798</v>
      </c>
      <c r="H216" s="25" t="str">
        <f>IFERROR(IF($AQ216,INDEX(cpe!$C$2:$C$307,MATCH($AR216,cpe!$F$2:$F$307,0)),INDEX(cpe!$C$2:$C$307,MATCH($AR216,cpe!$D$2:$D$307,0))),"#N/D")</f>
        <v>#N/D</v>
      </c>
      <c r="I216" s="25" t="str">
        <f>IFERROR(IF($AQ216,INDEX(cpe!$B$2:$B$307,MATCH($AR216,cpe!$F$2:$F$307,0)),INDEX(cpe!$B$2:$B$307,MATCH($AR216,cpe!$D$2:$D$307,0))),"#N/D")</f>
        <v>#N/D</v>
      </c>
      <c r="J216" s="26" t="str">
        <f>IF($AQ216,"#N/D",IFERROR(INDEX(Olimpiadas!$B$2:$B$61,MATCH($AO216,Olimpiadas!$C$2:$C$61,0)),"#N/D"))</f>
        <v>#N/D</v>
      </c>
      <c r="K216" s="26" t="str">
        <f>IF($AQ216,"#N/D",IFERROR(INDEX(Olimpiadas!$A$2:$A$61,MATCH($AO216,Olimpiadas!$C$2:$C$61,0)),"#N/D"))</f>
        <v>#N/D</v>
      </c>
      <c r="L216" s="26" t="str">
        <f>IF($AQ216,"#N/D",IFERROR(INDEX(Minculturas!$A$2:$A$48,MATCH($AO216,Minculturas!$C$2:$C$48,0)),"#N/D"))</f>
        <v>#N/D</v>
      </c>
      <c r="M216" s="26" t="str">
        <f>IF($AQ216,"#N/D",IFERROR(INDEX(Minculturas!$B$2:$B$48,MATCH($AO216,Minculturas!$C$2:$C$48,0)),"#N/D"))</f>
        <v>#N/D</v>
      </c>
      <c r="N216" s="27">
        <v>1</v>
      </c>
      <c r="O216" s="28">
        <v>0</v>
      </c>
      <c r="P216" s="28">
        <v>0</v>
      </c>
      <c r="Q216" s="28">
        <v>0</v>
      </c>
      <c r="R216" s="28">
        <v>1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7">
        <f t="shared" si="54"/>
        <v>1</v>
      </c>
      <c r="AH216" s="28"/>
      <c r="AI216" s="28"/>
      <c r="AJ216" s="28">
        <v>23.6</v>
      </c>
      <c r="AK216" s="28"/>
      <c r="AL216" s="28"/>
      <c r="AM216" s="29" t="s">
        <v>114</v>
      </c>
      <c r="AO216" t="str">
        <f t="shared" si="55"/>
        <v>fuquene</v>
      </c>
      <c r="AP216" t="str">
        <f t="shared" si="56"/>
        <v>cundinamarca</v>
      </c>
      <c r="AQ216" t="b">
        <f t="shared" si="57"/>
        <v>0</v>
      </c>
      <c r="AR216" t="str">
        <f t="shared" si="58"/>
        <v>fuquene</v>
      </c>
      <c r="AS216" s="30">
        <f t="shared" si="59"/>
        <v>0</v>
      </c>
      <c r="AT216" s="30">
        <f t="shared" si="60"/>
        <v>1</v>
      </c>
      <c r="AU216" s="30">
        <f t="shared" si="61"/>
        <v>3</v>
      </c>
      <c r="AV216" s="30">
        <f t="shared" si="62"/>
        <v>3</v>
      </c>
      <c r="AZ216" s="31">
        <f t="shared" si="63"/>
        <v>3</v>
      </c>
      <c r="BA216" s="31">
        <f t="shared" si="64"/>
        <v>6</v>
      </c>
      <c r="BB216" s="32">
        <f>IFERROR(INDEX('Análisis general'!$E$4:$E$28,MATCH($B216,'Análisis general'!$B$4:$B$28,0)),"")</f>
        <v>4.0999999999999996</v>
      </c>
      <c r="BC216" s="31">
        <f t="shared" si="65"/>
        <v>3</v>
      </c>
      <c r="BD216" s="32">
        <f t="shared" si="66"/>
        <v>6.4285714285714279</v>
      </c>
      <c r="BE216" s="32">
        <f t="shared" si="67"/>
        <v>9</v>
      </c>
    </row>
    <row r="217" spans="1:57" ht="25.5" customHeight="1" x14ac:dyDescent="0.25">
      <c r="A217" s="33" t="s">
        <v>799</v>
      </c>
      <c r="B217" s="11" t="s">
        <v>35</v>
      </c>
      <c r="C217" s="34" t="s">
        <v>112</v>
      </c>
      <c r="D217" s="24">
        <f t="shared" si="51"/>
        <v>6</v>
      </c>
      <c r="E217" s="59">
        <f t="shared" si="52"/>
        <v>6.4285714285714279</v>
      </c>
      <c r="F217" s="59">
        <f t="shared" si="53"/>
        <v>9</v>
      </c>
      <c r="G217" s="11" t="s">
        <v>800</v>
      </c>
      <c r="H217" s="25" t="str">
        <f>IFERROR(IF($AQ217,INDEX(cpe!$C$2:$C$307,MATCH($AR217,cpe!$F$2:$F$307,0)),INDEX(cpe!$C$2:$C$307,MATCH($AR217,cpe!$D$2:$D$307,0))),"#N/D")</f>
        <v>#N/D</v>
      </c>
      <c r="I217" s="25" t="str">
        <f>IFERROR(IF($AQ217,INDEX(cpe!$B$2:$B$307,MATCH($AR217,cpe!$F$2:$F$307,0)),INDEX(cpe!$B$2:$B$307,MATCH($AR217,cpe!$D$2:$D$307,0))),"#N/D")</f>
        <v>#N/D</v>
      </c>
      <c r="J217" s="26" t="str">
        <f>IF($AQ217,"#N/D",IFERROR(INDEX(Olimpiadas!$B$2:$B$61,MATCH($AO217,Olimpiadas!$C$2:$C$61,0)),"#N/D"))</f>
        <v>#N/D</v>
      </c>
      <c r="K217" s="26" t="str">
        <f>IF($AQ217,"#N/D",IFERROR(INDEX(Olimpiadas!$A$2:$A$61,MATCH($AO217,Olimpiadas!$C$2:$C$61,0)),"#N/D"))</f>
        <v>#N/D</v>
      </c>
      <c r="L217" s="26" t="str">
        <f>IF($AQ217,"#N/D",IFERROR(INDEX(Minculturas!$A$2:$A$48,MATCH($AO217,Minculturas!$C$2:$C$48,0)),"#N/D"))</f>
        <v>#N/D</v>
      </c>
      <c r="M217" s="26" t="str">
        <f>IF($AQ217,"#N/D",IFERROR(INDEX(Minculturas!$B$2:$B$48,MATCH($AO217,Minculturas!$C$2:$C$48,0)),"#N/D"))</f>
        <v>#N/D</v>
      </c>
      <c r="N217" s="27">
        <v>1</v>
      </c>
      <c r="O217" s="28">
        <v>0</v>
      </c>
      <c r="P217" s="28">
        <v>0</v>
      </c>
      <c r="Q217" s="28">
        <v>0</v>
      </c>
      <c r="R217" s="28">
        <v>1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7">
        <f t="shared" si="54"/>
        <v>1</v>
      </c>
      <c r="AH217" s="28"/>
      <c r="AI217" s="28"/>
      <c r="AJ217" s="28">
        <v>25.7</v>
      </c>
      <c r="AK217" s="28"/>
      <c r="AL217" s="28"/>
      <c r="AM217" s="29" t="s">
        <v>114</v>
      </c>
      <c r="AO217" t="str">
        <f t="shared" si="55"/>
        <v>guacheta</v>
      </c>
      <c r="AP217" t="str">
        <f t="shared" si="56"/>
        <v>cundinamarca</v>
      </c>
      <c r="AQ217" t="b">
        <f t="shared" si="57"/>
        <v>0</v>
      </c>
      <c r="AR217" t="str">
        <f t="shared" si="58"/>
        <v>guacheta</v>
      </c>
      <c r="AS217" s="30">
        <f t="shared" si="59"/>
        <v>0</v>
      </c>
      <c r="AT217" s="30">
        <f t="shared" si="60"/>
        <v>1</v>
      </c>
      <c r="AU217" s="30">
        <f t="shared" si="61"/>
        <v>3</v>
      </c>
      <c r="AV217" s="30">
        <f t="shared" si="62"/>
        <v>3</v>
      </c>
      <c r="AZ217" s="31">
        <f t="shared" si="63"/>
        <v>3</v>
      </c>
      <c r="BA217" s="31">
        <f t="shared" si="64"/>
        <v>6</v>
      </c>
      <c r="BB217" s="32">
        <f>IFERROR(INDEX('Análisis general'!$E$4:$E$28,MATCH($B217,'Análisis general'!$B$4:$B$28,0)),"")</f>
        <v>4.0999999999999996</v>
      </c>
      <c r="BC217" s="31">
        <f t="shared" si="65"/>
        <v>3</v>
      </c>
      <c r="BD217" s="32">
        <f t="shared" si="66"/>
        <v>6.4285714285714279</v>
      </c>
      <c r="BE217" s="32">
        <f t="shared" si="67"/>
        <v>9</v>
      </c>
    </row>
    <row r="218" spans="1:57" ht="25.5" customHeight="1" x14ac:dyDescent="0.25">
      <c r="A218" s="33" t="s">
        <v>801</v>
      </c>
      <c r="B218" s="11" t="s">
        <v>35</v>
      </c>
      <c r="C218" s="34" t="s">
        <v>112</v>
      </c>
      <c r="D218" s="24">
        <f t="shared" si="51"/>
        <v>6</v>
      </c>
      <c r="E218" s="59">
        <f t="shared" si="52"/>
        <v>6.4285714285714279</v>
      </c>
      <c r="F218" s="59">
        <f t="shared" si="53"/>
        <v>9</v>
      </c>
      <c r="G218" s="11" t="s">
        <v>802</v>
      </c>
      <c r="H218" s="25" t="str">
        <f>IFERROR(IF($AQ218,INDEX(cpe!$C$2:$C$307,MATCH($AR218,cpe!$F$2:$F$307,0)),INDEX(cpe!$C$2:$C$307,MATCH($AR218,cpe!$D$2:$D$307,0))),"#N/D")</f>
        <v>#N/D</v>
      </c>
      <c r="I218" s="25" t="str">
        <f>IFERROR(IF($AQ218,INDEX(cpe!$B$2:$B$307,MATCH($AR218,cpe!$F$2:$F$307,0)),INDEX(cpe!$B$2:$B$307,MATCH($AR218,cpe!$D$2:$D$307,0))),"#N/D")</f>
        <v>#N/D</v>
      </c>
      <c r="J218" s="26" t="str">
        <f>IF($AQ218,"#N/D",IFERROR(INDEX(Olimpiadas!$B$2:$B$61,MATCH($AO218,Olimpiadas!$C$2:$C$61,0)),"#N/D"))</f>
        <v>#N/D</v>
      </c>
      <c r="K218" s="26" t="str">
        <f>IF($AQ218,"#N/D",IFERROR(INDEX(Olimpiadas!$A$2:$A$61,MATCH($AO218,Olimpiadas!$C$2:$C$61,0)),"#N/D"))</f>
        <v>#N/D</v>
      </c>
      <c r="L218" s="26" t="str">
        <f>IF($AQ218,"#N/D",IFERROR(INDEX(Minculturas!$A$2:$A$48,MATCH($AO218,Minculturas!$C$2:$C$48,0)),"#N/D"))</f>
        <v>#N/D</v>
      </c>
      <c r="M218" s="26" t="str">
        <f>IF($AQ218,"#N/D",IFERROR(INDEX(Minculturas!$B$2:$B$48,MATCH($AO218,Minculturas!$C$2:$C$48,0)),"#N/D"))</f>
        <v>#N/D</v>
      </c>
      <c r="N218" s="27">
        <v>1</v>
      </c>
      <c r="O218" s="28">
        <v>0</v>
      </c>
      <c r="P218" s="28">
        <v>0</v>
      </c>
      <c r="Q218" s="28">
        <v>0</v>
      </c>
      <c r="R218" s="28">
        <v>1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7">
        <f t="shared" si="54"/>
        <v>1</v>
      </c>
      <c r="AH218" s="28"/>
      <c r="AI218" s="28"/>
      <c r="AJ218" s="28">
        <v>32.9</v>
      </c>
      <c r="AK218" s="28"/>
      <c r="AL218" s="28"/>
      <c r="AM218" s="29" t="s">
        <v>114</v>
      </c>
      <c r="AO218" t="str">
        <f t="shared" si="55"/>
        <v>guataqui</v>
      </c>
      <c r="AP218" t="str">
        <f t="shared" si="56"/>
        <v>cundinamarca</v>
      </c>
      <c r="AQ218" t="b">
        <f t="shared" si="57"/>
        <v>0</v>
      </c>
      <c r="AR218" t="str">
        <f t="shared" si="58"/>
        <v>guataqui</v>
      </c>
      <c r="AS218" s="30">
        <f t="shared" si="59"/>
        <v>0</v>
      </c>
      <c r="AT218" s="30">
        <f t="shared" si="60"/>
        <v>1</v>
      </c>
      <c r="AU218" s="30">
        <f t="shared" si="61"/>
        <v>3</v>
      </c>
      <c r="AV218" s="30">
        <f t="shared" si="62"/>
        <v>3</v>
      </c>
      <c r="AZ218" s="31">
        <f t="shared" si="63"/>
        <v>3</v>
      </c>
      <c r="BA218" s="31">
        <f t="shared" si="64"/>
        <v>6</v>
      </c>
      <c r="BB218" s="32">
        <f>IFERROR(INDEX('Análisis general'!$E$4:$E$28,MATCH($B218,'Análisis general'!$B$4:$B$28,0)),"")</f>
        <v>4.0999999999999996</v>
      </c>
      <c r="BC218" s="31">
        <f t="shared" si="65"/>
        <v>3</v>
      </c>
      <c r="BD218" s="32">
        <f t="shared" si="66"/>
        <v>6.4285714285714279</v>
      </c>
      <c r="BE218" s="32">
        <f t="shared" si="67"/>
        <v>9</v>
      </c>
    </row>
    <row r="219" spans="1:57" ht="25.5" customHeight="1" x14ac:dyDescent="0.25">
      <c r="A219" s="33" t="s">
        <v>803</v>
      </c>
      <c r="B219" s="11" t="s">
        <v>35</v>
      </c>
      <c r="C219" s="34" t="s">
        <v>112</v>
      </c>
      <c r="D219" s="24">
        <f t="shared" si="51"/>
        <v>6</v>
      </c>
      <c r="E219" s="59">
        <f t="shared" si="52"/>
        <v>6.4285714285714279</v>
      </c>
      <c r="F219" s="59">
        <f t="shared" si="53"/>
        <v>9</v>
      </c>
      <c r="G219" s="11" t="s">
        <v>804</v>
      </c>
      <c r="H219" s="25" t="str">
        <f>IFERROR(IF($AQ219,INDEX(cpe!$C$2:$C$307,MATCH($AR219,cpe!$F$2:$F$307,0)),INDEX(cpe!$C$2:$C$307,MATCH($AR219,cpe!$D$2:$D$307,0))),"#N/D")</f>
        <v>#N/D</v>
      </c>
      <c r="I219" s="25" t="str">
        <f>IFERROR(IF($AQ219,INDEX(cpe!$B$2:$B$307,MATCH($AR219,cpe!$F$2:$F$307,0)),INDEX(cpe!$B$2:$B$307,MATCH($AR219,cpe!$D$2:$D$307,0))),"#N/D")</f>
        <v>#N/D</v>
      </c>
      <c r="J219" s="26" t="str">
        <f>IF($AQ219,"#N/D",IFERROR(INDEX(Olimpiadas!$B$2:$B$61,MATCH($AO219,Olimpiadas!$C$2:$C$61,0)),"#N/D"))</f>
        <v>#N/D</v>
      </c>
      <c r="K219" s="26" t="str">
        <f>IF($AQ219,"#N/D",IFERROR(INDEX(Olimpiadas!$A$2:$A$61,MATCH($AO219,Olimpiadas!$C$2:$C$61,0)),"#N/D"))</f>
        <v>#N/D</v>
      </c>
      <c r="L219" s="26" t="str">
        <f>IF($AQ219,"#N/D",IFERROR(INDEX(Minculturas!$A$2:$A$48,MATCH($AO219,Minculturas!$C$2:$C$48,0)),"#N/D"))</f>
        <v>#N/D</v>
      </c>
      <c r="M219" s="26" t="str">
        <f>IF($AQ219,"#N/D",IFERROR(INDEX(Minculturas!$B$2:$B$48,MATCH($AO219,Minculturas!$C$2:$C$48,0)),"#N/D"))</f>
        <v>#N/D</v>
      </c>
      <c r="N219" s="27">
        <v>1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1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7">
        <f t="shared" si="54"/>
        <v>1</v>
      </c>
      <c r="AH219" s="28"/>
      <c r="AI219" s="28"/>
      <c r="AJ219" s="28">
        <v>38.5</v>
      </c>
      <c r="AK219" s="28"/>
      <c r="AL219" s="28"/>
      <c r="AM219" s="29" t="s">
        <v>114</v>
      </c>
      <c r="AO219" t="str">
        <f t="shared" si="55"/>
        <v>medina</v>
      </c>
      <c r="AP219" t="str">
        <f t="shared" si="56"/>
        <v>cundinamarca</v>
      </c>
      <c r="AQ219" t="b">
        <f t="shared" si="57"/>
        <v>0</v>
      </c>
      <c r="AR219" t="str">
        <f t="shared" si="58"/>
        <v>medina</v>
      </c>
      <c r="AS219" s="30">
        <f t="shared" si="59"/>
        <v>0</v>
      </c>
      <c r="AT219" s="30">
        <f t="shared" si="60"/>
        <v>1</v>
      </c>
      <c r="AU219" s="30">
        <f t="shared" si="61"/>
        <v>3</v>
      </c>
      <c r="AV219" s="30">
        <f t="shared" si="62"/>
        <v>3</v>
      </c>
      <c r="AZ219" s="31">
        <f t="shared" si="63"/>
        <v>3</v>
      </c>
      <c r="BA219" s="31">
        <f t="shared" si="64"/>
        <v>6</v>
      </c>
      <c r="BB219" s="32">
        <f>IFERROR(INDEX('Análisis general'!$E$4:$E$28,MATCH($B219,'Análisis general'!$B$4:$B$28,0)),"")</f>
        <v>4.0999999999999996</v>
      </c>
      <c r="BC219" s="31">
        <f t="shared" si="65"/>
        <v>3</v>
      </c>
      <c r="BD219" s="32">
        <f t="shared" si="66"/>
        <v>6.4285714285714279</v>
      </c>
      <c r="BE219" s="32">
        <f t="shared" si="67"/>
        <v>9</v>
      </c>
    </row>
    <row r="220" spans="1:57" ht="25.5" customHeight="1" x14ac:dyDescent="0.25">
      <c r="A220" s="33" t="s">
        <v>805</v>
      </c>
      <c r="B220" s="11" t="s">
        <v>49</v>
      </c>
      <c r="C220" s="34" t="s">
        <v>112</v>
      </c>
      <c r="D220" s="24">
        <f t="shared" si="51"/>
        <v>6</v>
      </c>
      <c r="E220" s="59">
        <f t="shared" si="52"/>
        <v>6.4285714285714279</v>
      </c>
      <c r="F220" s="59">
        <f t="shared" si="53"/>
        <v>9</v>
      </c>
      <c r="G220" s="11" t="s">
        <v>806</v>
      </c>
      <c r="H220" s="25" t="str">
        <f>IFERROR(IF($AQ220,INDEX(cpe!$C$2:$C$307,MATCH($AR220,cpe!$F$2:$F$307,0)),INDEX(cpe!$C$2:$C$307,MATCH($AR220,cpe!$D$2:$D$307,0))),"#N/D")</f>
        <v>#N/D</v>
      </c>
      <c r="I220" s="25" t="str">
        <f>IFERROR(IF($AQ220,INDEX(cpe!$B$2:$B$307,MATCH($AR220,cpe!$F$2:$F$307,0)),INDEX(cpe!$B$2:$B$307,MATCH($AR220,cpe!$D$2:$D$307,0))),"#N/D")</f>
        <v>#N/D</v>
      </c>
      <c r="J220" s="26" t="str">
        <f>IF($AQ220,"#N/D",IFERROR(INDEX(Olimpiadas!$B$2:$B$61,MATCH($AO220,Olimpiadas!$C$2:$C$61,0)),"#N/D"))</f>
        <v>#N/D</v>
      </c>
      <c r="K220" s="26" t="str">
        <f>IF($AQ220,"#N/D",IFERROR(INDEX(Olimpiadas!$A$2:$A$61,MATCH($AO220,Olimpiadas!$C$2:$C$61,0)),"#N/D"))</f>
        <v>#N/D</v>
      </c>
      <c r="L220" s="26" t="str">
        <f>IF($AQ220,"#N/D",IFERROR(INDEX(Minculturas!$A$2:$A$48,MATCH($AO220,Minculturas!$C$2:$C$48,0)),"#N/D"))</f>
        <v>#N/D</v>
      </c>
      <c r="M220" s="26" t="str">
        <f>IF($AQ220,"#N/D",IFERROR(INDEX(Minculturas!$B$2:$B$48,MATCH($AO220,Minculturas!$C$2:$C$48,0)),"#N/D"))</f>
        <v>#N/D</v>
      </c>
      <c r="N220" s="27">
        <v>1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1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7">
        <f t="shared" si="54"/>
        <v>1</v>
      </c>
      <c r="AH220" s="28" t="s">
        <v>575</v>
      </c>
      <c r="AI220" s="28" t="s">
        <v>807</v>
      </c>
      <c r="AJ220" s="28">
        <v>31.2</v>
      </c>
      <c r="AK220" s="28"/>
      <c r="AL220" s="28"/>
      <c r="AM220" s="29" t="s">
        <v>246</v>
      </c>
      <c r="AO220" t="str">
        <f t="shared" si="55"/>
        <v>obando</v>
      </c>
      <c r="AP220" t="str">
        <f t="shared" si="56"/>
        <v>valle del cauca</v>
      </c>
      <c r="AQ220" t="b">
        <f t="shared" si="57"/>
        <v>0</v>
      </c>
      <c r="AR220" t="str">
        <f t="shared" si="58"/>
        <v>obando</v>
      </c>
      <c r="AS220" s="30">
        <f t="shared" si="59"/>
        <v>0</v>
      </c>
      <c r="AT220" s="30">
        <f t="shared" si="60"/>
        <v>1</v>
      </c>
      <c r="AU220" s="30">
        <f t="shared" si="61"/>
        <v>3</v>
      </c>
      <c r="AV220" s="30">
        <f t="shared" si="62"/>
        <v>3</v>
      </c>
      <c r="AZ220" s="31">
        <f t="shared" si="63"/>
        <v>3</v>
      </c>
      <c r="BA220" s="31">
        <f t="shared" si="64"/>
        <v>6</v>
      </c>
      <c r="BB220" s="32">
        <f>IFERROR(INDEX('Análisis general'!$E$4:$E$28,MATCH($B220,'Análisis general'!$B$4:$B$28,0)),"")</f>
        <v>4.9000000000000004</v>
      </c>
      <c r="BC220" s="31">
        <f t="shared" si="65"/>
        <v>3</v>
      </c>
      <c r="BD220" s="32">
        <f t="shared" si="66"/>
        <v>6.4285714285714279</v>
      </c>
      <c r="BE220" s="32">
        <f t="shared" si="67"/>
        <v>9</v>
      </c>
    </row>
    <row r="221" spans="1:57" ht="25.5" customHeight="1" x14ac:dyDescent="0.25">
      <c r="A221" s="33" t="s">
        <v>808</v>
      </c>
      <c r="B221" s="11" t="s">
        <v>35</v>
      </c>
      <c r="C221" s="34" t="s">
        <v>112</v>
      </c>
      <c r="D221" s="24">
        <f t="shared" si="51"/>
        <v>6</v>
      </c>
      <c r="E221" s="59">
        <f t="shared" si="52"/>
        <v>6.4285714285714279</v>
      </c>
      <c r="F221" s="59">
        <f t="shared" si="53"/>
        <v>9</v>
      </c>
      <c r="G221" s="11" t="s">
        <v>809</v>
      </c>
      <c r="H221" s="25" t="s">
        <v>106</v>
      </c>
      <c r="I221" s="25" t="s">
        <v>106</v>
      </c>
      <c r="J221" s="26" t="s">
        <v>106</v>
      </c>
      <c r="K221" s="26" t="str">
        <f>IF($AQ221,"#N/D",IFERROR(INDEX(Olimpiadas!$A$2:$A$61,MATCH($AO221,Olimpiadas!$C$2:$C$61,0)),"#N/D"))</f>
        <v>#N/D</v>
      </c>
      <c r="L221" s="26" t="str">
        <f>IF($AQ221,"#N/D",IFERROR(INDEX(Minculturas!$A$2:$A$48,MATCH($AO221,Minculturas!$C$2:$C$48,0)),"#N/D"))</f>
        <v>#N/D</v>
      </c>
      <c r="M221" s="26" t="str">
        <f>IF($AQ221,"#N/D",IFERROR(INDEX(Minculturas!$B$2:$B$48,MATCH($AO221,Minculturas!$C$2:$C$48,0)),"#N/D"))</f>
        <v>#N/D</v>
      </c>
      <c r="N221" s="27">
        <v>1</v>
      </c>
      <c r="O221" s="28">
        <v>0</v>
      </c>
      <c r="P221" s="28">
        <v>0</v>
      </c>
      <c r="Q221" s="28">
        <v>0</v>
      </c>
      <c r="R221" s="28">
        <v>0</v>
      </c>
      <c r="S221" s="28">
        <v>1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7">
        <f t="shared" si="54"/>
        <v>1</v>
      </c>
      <c r="AH221" s="28"/>
      <c r="AI221" s="28"/>
      <c r="AJ221" s="28">
        <v>12.6</v>
      </c>
      <c r="AK221" s="28"/>
      <c r="AL221" s="28"/>
      <c r="AM221" s="29" t="s">
        <v>114</v>
      </c>
      <c r="AO221" t="str">
        <f t="shared" si="55"/>
        <v>subachoque</v>
      </c>
      <c r="AP221" t="str">
        <f t="shared" si="56"/>
        <v>cundinamarca</v>
      </c>
      <c r="AQ221" t="b">
        <f t="shared" si="57"/>
        <v>0</v>
      </c>
      <c r="AR221" t="str">
        <f t="shared" si="58"/>
        <v>subachoque</v>
      </c>
      <c r="AS221" s="30">
        <f t="shared" si="59"/>
        <v>0</v>
      </c>
      <c r="AT221" s="30">
        <f t="shared" si="60"/>
        <v>1</v>
      </c>
      <c r="AU221" s="30">
        <f t="shared" si="61"/>
        <v>3</v>
      </c>
      <c r="AV221" s="30">
        <f t="shared" si="62"/>
        <v>3</v>
      </c>
      <c r="AZ221" s="31">
        <f t="shared" si="63"/>
        <v>3</v>
      </c>
      <c r="BA221" s="31">
        <f t="shared" si="64"/>
        <v>6</v>
      </c>
      <c r="BB221" s="32">
        <f>IFERROR(INDEX('Análisis general'!$E$4:$E$28,MATCH($B221,'Análisis general'!$B$4:$B$28,0)),"")</f>
        <v>4.0999999999999996</v>
      </c>
      <c r="BC221" s="31">
        <f t="shared" si="65"/>
        <v>3</v>
      </c>
      <c r="BD221" s="32">
        <f t="shared" si="66"/>
        <v>6.4285714285714279</v>
      </c>
      <c r="BE221" s="32">
        <f t="shared" si="67"/>
        <v>9</v>
      </c>
    </row>
    <row r="222" spans="1:57" ht="25.5" customHeight="1" x14ac:dyDescent="0.25">
      <c r="A222" s="33" t="s">
        <v>579</v>
      </c>
      <c r="B222" s="11" t="s">
        <v>41</v>
      </c>
      <c r="C222" s="34" t="s">
        <v>112</v>
      </c>
      <c r="D222" s="24">
        <f t="shared" si="51"/>
        <v>5</v>
      </c>
      <c r="E222" s="59">
        <f t="shared" si="52"/>
        <v>5.5714285714285712</v>
      </c>
      <c r="F222" s="59">
        <f t="shared" si="53"/>
        <v>5.3999999999999995</v>
      </c>
      <c r="G222" s="11" t="s">
        <v>580</v>
      </c>
      <c r="H222" s="25" t="s">
        <v>581</v>
      </c>
      <c r="I222" s="25" t="s">
        <v>580</v>
      </c>
      <c r="J222" s="26" t="s">
        <v>580</v>
      </c>
      <c r="K222" s="26" t="str">
        <f>IF($AQ222,"#N/D",IFERROR(INDEX(Olimpiadas!$A$2:$A$61,MATCH($AO222,Olimpiadas!$C$2:$C$61,0)),"#N/D"))</f>
        <v>INSTITUCIÓN EDUCATIVA MUNICIPAL LIBERTAD</v>
      </c>
      <c r="L222" s="26" t="str">
        <f>IF($AQ222,"#N/D",IFERROR(INDEX(Minculturas!$A$2:$A$48,MATCH($AO222,Minculturas!$C$2:$C$48,0)),"#N/D"))</f>
        <v>#N/D</v>
      </c>
      <c r="M222" s="26" t="str">
        <f>IF($AQ222,"#N/D",IFERROR(INDEX(Minculturas!$B$2:$B$48,MATCH($AO222,Minculturas!$C$2:$C$48,0)),"#N/D"))</f>
        <v>#N/D</v>
      </c>
      <c r="N222" s="27">
        <v>18</v>
      </c>
      <c r="O222" s="28">
        <v>0</v>
      </c>
      <c r="P222" s="28">
        <v>8</v>
      </c>
      <c r="Q222" s="28">
        <v>3</v>
      </c>
      <c r="R222" s="28">
        <v>0</v>
      </c>
      <c r="S222" s="28">
        <v>1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6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7">
        <f t="shared" si="54"/>
        <v>12</v>
      </c>
      <c r="AH222" s="28"/>
      <c r="AI222" s="28"/>
      <c r="AJ222" s="28">
        <v>16.3</v>
      </c>
      <c r="AK222" s="28"/>
      <c r="AL222" s="28"/>
      <c r="AM222" s="29" t="s">
        <v>114</v>
      </c>
      <c r="AO222" t="str">
        <f t="shared" si="55"/>
        <v>pasto</v>
      </c>
      <c r="AP222" t="str">
        <f t="shared" si="56"/>
        <v>narino</v>
      </c>
      <c r="AQ222" t="b">
        <f t="shared" si="57"/>
        <v>0</v>
      </c>
      <c r="AR222" t="str">
        <f t="shared" si="58"/>
        <v>pasto</v>
      </c>
      <c r="AS222" s="30">
        <f t="shared" si="59"/>
        <v>2</v>
      </c>
      <c r="AT222" s="30">
        <f t="shared" si="60"/>
        <v>12</v>
      </c>
      <c r="AU222" s="30">
        <f t="shared" si="61"/>
        <v>3</v>
      </c>
      <c r="AV222" s="30">
        <f t="shared" si="62"/>
        <v>0</v>
      </c>
      <c r="AZ222" s="31">
        <f t="shared" si="63"/>
        <v>0</v>
      </c>
      <c r="BA222" s="31">
        <f t="shared" si="64"/>
        <v>5</v>
      </c>
      <c r="BB222" s="32">
        <f>IFERROR(INDEX('Análisis general'!$E$4:$E$28,MATCH($B222,'Análisis general'!$B$4:$B$28,0)),"")</f>
        <v>13.2</v>
      </c>
      <c r="BC222" s="31">
        <f t="shared" si="65"/>
        <v>3</v>
      </c>
      <c r="BD222" s="32">
        <f t="shared" si="66"/>
        <v>5.5714285714285712</v>
      </c>
      <c r="BE222" s="32">
        <f t="shared" si="67"/>
        <v>5.3999999999999995</v>
      </c>
    </row>
    <row r="223" spans="1:57" ht="25.5" customHeight="1" x14ac:dyDescent="0.25">
      <c r="A223" s="33" t="s">
        <v>577</v>
      </c>
      <c r="B223" s="11" t="s">
        <v>42</v>
      </c>
      <c r="C223" s="34" t="s">
        <v>112</v>
      </c>
      <c r="D223" s="24">
        <f t="shared" si="51"/>
        <v>5</v>
      </c>
      <c r="E223" s="59">
        <f t="shared" si="52"/>
        <v>5.5714285714285712</v>
      </c>
      <c r="F223" s="59">
        <f t="shared" si="53"/>
        <v>5.3999999999999995</v>
      </c>
      <c r="G223" s="11" t="s">
        <v>578</v>
      </c>
      <c r="H223" s="25" t="str">
        <f>IFERROR(IF($AQ223,INDEX(cpe!$C$2:$C$307,MATCH($AR223,cpe!$F$2:$F$307,0)),INDEX(cpe!$C$2:$C$307,MATCH($AR223,cpe!$D$2:$D$307,0))),"#N/D")</f>
        <v>Institucion Educativa Bohorquez</v>
      </c>
      <c r="I223" s="25" t="str">
        <f>IFERROR(IF($AQ223,INDEX(cpe!$B$2:$B$307,MATCH($AR223,cpe!$F$2:$F$307,0)),INDEX(cpe!$B$2:$B$307,MATCH($AR223,cpe!$D$2:$D$307,0))),"#N/D")</f>
        <v>Cúcuta</v>
      </c>
      <c r="J223" s="26" t="str">
        <f>IF($AQ223,"#N/D",IFERROR(INDEX(Olimpiadas!$B$2:$B$61,MATCH($AO223,Olimpiadas!$C$2:$C$61,0)),"#N/D"))</f>
        <v>Cúcuta</v>
      </c>
      <c r="K223" s="26" t="str">
        <f>IF($AQ223,"#N/D",IFERROR(INDEX(Olimpiadas!$A$2:$A$61,MATCH($AO223,Olimpiadas!$C$2:$C$61,0)),"#N/D"))</f>
        <v>INSTITUCIÓN EDUCATIVA CLAUDIA MARÍA PRADA</v>
      </c>
      <c r="L223" s="26" t="str">
        <f>IF($AQ223,"#N/D",IFERROR(INDEX(Minculturas!$A$2:$A$48,MATCH($AO223,Minculturas!$C$2:$C$48,0)),"#N/D"))</f>
        <v>#N/D</v>
      </c>
      <c r="M223" s="26" t="str">
        <f>IF($AQ223,"#N/D",IFERROR(INDEX(Minculturas!$B$2:$B$48,MATCH($AO223,Minculturas!$C$2:$C$48,0)),"#N/D"))</f>
        <v>#N/D</v>
      </c>
      <c r="N223" s="27">
        <v>7</v>
      </c>
      <c r="O223" s="28">
        <v>0</v>
      </c>
      <c r="P223" s="28">
        <v>1</v>
      </c>
      <c r="Q223" s="28">
        <v>3</v>
      </c>
      <c r="R223" s="28">
        <v>0</v>
      </c>
      <c r="S223" s="28">
        <v>1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2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7">
        <f t="shared" si="54"/>
        <v>5</v>
      </c>
      <c r="AH223" s="28"/>
      <c r="AI223" s="28"/>
      <c r="AJ223" s="28">
        <v>25.7</v>
      </c>
      <c r="AK223" s="28"/>
      <c r="AL223" s="28"/>
      <c r="AM223" s="29" t="s">
        <v>114</v>
      </c>
      <c r="AO223" t="str">
        <f t="shared" si="55"/>
        <v>cucuta</v>
      </c>
      <c r="AP223" t="str">
        <f t="shared" si="56"/>
        <v>norte de santander</v>
      </c>
      <c r="AQ223" t="b">
        <f t="shared" si="57"/>
        <v>0</v>
      </c>
      <c r="AR223" t="str">
        <f t="shared" si="58"/>
        <v>cucuta</v>
      </c>
      <c r="AS223" s="30">
        <f t="shared" si="59"/>
        <v>2</v>
      </c>
      <c r="AT223" s="30">
        <f t="shared" si="60"/>
        <v>5</v>
      </c>
      <c r="AU223" s="30">
        <f t="shared" si="61"/>
        <v>3</v>
      </c>
      <c r="AV223" s="30">
        <f t="shared" si="62"/>
        <v>0</v>
      </c>
      <c r="AZ223" s="31">
        <f t="shared" si="63"/>
        <v>0</v>
      </c>
      <c r="BA223" s="31">
        <f t="shared" si="64"/>
        <v>5</v>
      </c>
      <c r="BB223" s="32">
        <f>IFERROR(INDEX('Análisis general'!$E$4:$E$28,MATCH($B223,'Análisis general'!$B$4:$B$28,0)),"")</f>
        <v>13.3</v>
      </c>
      <c r="BC223" s="31">
        <f t="shared" si="65"/>
        <v>3</v>
      </c>
      <c r="BD223" s="32">
        <f t="shared" si="66"/>
        <v>5.5714285714285712</v>
      </c>
      <c r="BE223" s="32">
        <f t="shared" si="67"/>
        <v>5.3999999999999995</v>
      </c>
    </row>
    <row r="224" spans="1:57" ht="25.5" customHeight="1" x14ac:dyDescent="0.25">
      <c r="A224" s="33" t="s">
        <v>573</v>
      </c>
      <c r="B224" s="11" t="s">
        <v>31</v>
      </c>
      <c r="C224" s="34" t="s">
        <v>112</v>
      </c>
      <c r="D224" s="24">
        <f t="shared" si="51"/>
        <v>5</v>
      </c>
      <c r="E224" s="59">
        <f t="shared" si="52"/>
        <v>5.5714285714285712</v>
      </c>
      <c r="F224" s="59">
        <f t="shared" si="53"/>
        <v>5.3999999999999995</v>
      </c>
      <c r="G224" s="11" t="s">
        <v>574</v>
      </c>
      <c r="H224" s="25" t="str">
        <f>IFERROR(IF($AQ224,INDEX(cpe!$C$2:$C$307,MATCH($AR224,cpe!$F$2:$F$307,0)),INDEX(cpe!$C$2:$C$307,MATCH($AR224,cpe!$D$2:$D$307,0))),"#N/D")</f>
        <v>IE Chugandi</v>
      </c>
      <c r="I224" s="25" t="str">
        <f>IFERROR(IF($AQ224,INDEX(cpe!$B$2:$B$307,MATCH($AR224,cpe!$F$2:$F$307,0)),INDEX(cpe!$B$2:$B$307,MATCH($AR224,cpe!$D$2:$D$307,0))),"#N/D")</f>
        <v>Acandí</v>
      </c>
      <c r="J224" s="26" t="str">
        <f>IF($AQ224,"#N/D",IFERROR(INDEX(Olimpiadas!$B$2:$B$61,MATCH($AO224,Olimpiadas!$C$2:$C$61,0)),"#N/D"))</f>
        <v>#N/D</v>
      </c>
      <c r="K224" s="26" t="str">
        <f>IF($AQ224,"#N/D",IFERROR(INDEX(Olimpiadas!$A$2:$A$61,MATCH($AO224,Olimpiadas!$C$2:$C$61,0)),"#N/D"))</f>
        <v>#N/D</v>
      </c>
      <c r="L224" s="26" t="str">
        <f>IF($AQ224,"#N/D",IFERROR(INDEX(Minculturas!$A$2:$A$48,MATCH($AO224,Minculturas!$C$2:$C$48,0)),"#N/D"))</f>
        <v>Acandí</v>
      </c>
      <c r="M224" s="26" t="str">
        <f>IF($AQ224,"#N/D",IFERROR(INDEX(Minculturas!$B$2:$B$48,MATCH($AO224,Minculturas!$C$2:$C$48,0)),"#N/D"))</f>
        <v>Senderos del Darién - turismo de bienestar y salud</v>
      </c>
      <c r="N224" s="27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7">
        <f t="shared" si="54"/>
        <v>0</v>
      </c>
      <c r="AH224" s="28" t="s">
        <v>575</v>
      </c>
      <c r="AI224" s="28" t="s">
        <v>576</v>
      </c>
      <c r="AJ224" s="28">
        <v>51.4</v>
      </c>
      <c r="AK224" s="28"/>
      <c r="AL224" s="28"/>
      <c r="AM224" s="29" t="s">
        <v>246</v>
      </c>
      <c r="AO224" t="str">
        <f t="shared" si="55"/>
        <v>acandi</v>
      </c>
      <c r="AP224" t="str">
        <f t="shared" si="56"/>
        <v>choco</v>
      </c>
      <c r="AQ224" t="b">
        <f t="shared" si="57"/>
        <v>0</v>
      </c>
      <c r="AR224" t="str">
        <f t="shared" si="58"/>
        <v>acandi</v>
      </c>
      <c r="AS224" s="30">
        <f t="shared" si="59"/>
        <v>2</v>
      </c>
      <c r="AT224" s="30">
        <f t="shared" si="60"/>
        <v>0</v>
      </c>
      <c r="AU224" s="30">
        <f t="shared" si="61"/>
        <v>0</v>
      </c>
      <c r="AV224" s="30">
        <f t="shared" si="62"/>
        <v>3</v>
      </c>
      <c r="AZ224" s="31">
        <f t="shared" si="63"/>
        <v>3</v>
      </c>
      <c r="BA224" s="31">
        <f t="shared" si="64"/>
        <v>5</v>
      </c>
      <c r="BB224" s="32">
        <f>IFERROR(INDEX('Análisis general'!$E$4:$E$28,MATCH($B224,'Análisis general'!$B$4:$B$28,0)),"")</f>
        <v>30.8</v>
      </c>
      <c r="BC224" s="31">
        <f t="shared" si="65"/>
        <v>3</v>
      </c>
      <c r="BD224" s="32">
        <f t="shared" si="66"/>
        <v>5.5714285714285712</v>
      </c>
      <c r="BE224" s="32">
        <f t="shared" si="67"/>
        <v>5.3999999999999995</v>
      </c>
    </row>
    <row r="225" spans="1:57" ht="25.5" customHeight="1" x14ac:dyDescent="0.25">
      <c r="A225" s="33" t="s">
        <v>586</v>
      </c>
      <c r="B225" s="11" t="s">
        <v>31</v>
      </c>
      <c r="C225" s="62" t="s">
        <v>1216</v>
      </c>
      <c r="D225" s="24">
        <f t="shared" si="51"/>
        <v>4</v>
      </c>
      <c r="E225" s="59">
        <f t="shared" si="52"/>
        <v>4.7142857142857144</v>
      </c>
      <c r="F225" s="59">
        <f t="shared" si="53"/>
        <v>5.3999999999999995</v>
      </c>
      <c r="G225" s="11" t="s">
        <v>587</v>
      </c>
      <c r="H225" s="25" t="s">
        <v>588</v>
      </c>
      <c r="I225" s="25" t="s">
        <v>587</v>
      </c>
      <c r="J225" s="26" t="s">
        <v>106</v>
      </c>
      <c r="K225" s="26" t="str">
        <f>IF($AQ225,"#N/D",IFERROR(INDEX(Olimpiadas!$A$2:$A$61,MATCH($AO225,Olimpiadas!$C$2:$C$61,0)),"#N/D"))</f>
        <v>#N/D</v>
      </c>
      <c r="L225" s="26" t="str">
        <f>IF($AQ225,"#N/D",IFERROR(INDEX(Minculturas!$A$2:$A$48,MATCH($AO225,Minculturas!$C$2:$C$48,0)),"#N/D"))</f>
        <v>#N/D</v>
      </c>
      <c r="M225" s="26" t="str">
        <f>IF($AQ225,"#N/D",IFERROR(INDEX(Minculturas!$B$2:$B$48,MATCH($AO225,Minculturas!$C$2:$C$48,0)),"#N/D"))</f>
        <v>#N/D</v>
      </c>
      <c r="N225" s="27">
        <v>85</v>
      </c>
      <c r="O225" s="28">
        <v>9</v>
      </c>
      <c r="P225" s="28">
        <v>10</v>
      </c>
      <c r="Q225" s="28">
        <v>25</v>
      </c>
      <c r="R225" s="28">
        <v>3</v>
      </c>
      <c r="S225" s="28">
        <v>4</v>
      </c>
      <c r="T225" s="28">
        <v>2</v>
      </c>
      <c r="U225" s="28">
        <v>6</v>
      </c>
      <c r="V225" s="28">
        <v>0</v>
      </c>
      <c r="W225" s="28">
        <v>1</v>
      </c>
      <c r="X225" s="28">
        <v>3</v>
      </c>
      <c r="Y225" s="28">
        <v>10</v>
      </c>
      <c r="Z225" s="28">
        <v>2</v>
      </c>
      <c r="AA225" s="28">
        <v>3</v>
      </c>
      <c r="AB225" s="28">
        <v>7</v>
      </c>
      <c r="AC225" s="28">
        <v>0</v>
      </c>
      <c r="AD225" s="28">
        <v>0</v>
      </c>
      <c r="AE225" s="28">
        <v>0</v>
      </c>
      <c r="AF225" s="28">
        <v>0</v>
      </c>
      <c r="AG225" s="27">
        <f t="shared" si="54"/>
        <v>63</v>
      </c>
      <c r="AH225" s="28" t="s">
        <v>589</v>
      </c>
      <c r="AI225" s="28" t="s">
        <v>590</v>
      </c>
      <c r="AJ225" s="28">
        <v>44.4</v>
      </c>
      <c r="AK225" s="28"/>
      <c r="AL225" s="28"/>
      <c r="AM225" s="29" t="s">
        <v>591</v>
      </c>
      <c r="AO225" t="str">
        <f t="shared" si="55"/>
        <v>quibdo</v>
      </c>
      <c r="AP225" t="str">
        <f t="shared" si="56"/>
        <v>choco</v>
      </c>
      <c r="AQ225" t="b">
        <f t="shared" si="57"/>
        <v>0</v>
      </c>
      <c r="AR225" t="str">
        <f t="shared" si="58"/>
        <v>quibdo</v>
      </c>
      <c r="AS225" s="30">
        <f t="shared" si="59"/>
        <v>1</v>
      </c>
      <c r="AT225" s="30">
        <f t="shared" si="60"/>
        <v>63</v>
      </c>
      <c r="AU225" s="30">
        <f t="shared" si="61"/>
        <v>3</v>
      </c>
      <c r="AV225" s="30">
        <f t="shared" si="62"/>
        <v>0</v>
      </c>
      <c r="AZ225" s="31">
        <f t="shared" si="63"/>
        <v>0</v>
      </c>
      <c r="BA225" s="31">
        <f t="shared" si="64"/>
        <v>4</v>
      </c>
      <c r="BB225" s="32">
        <f>IFERROR(INDEX('Análisis general'!$E$4:$E$28,MATCH($B225,'Análisis general'!$B$4:$B$28,0)),"")</f>
        <v>30.8</v>
      </c>
      <c r="BC225" s="31">
        <f t="shared" si="65"/>
        <v>3</v>
      </c>
      <c r="BD225" s="32">
        <f t="shared" si="66"/>
        <v>4.7142857142857144</v>
      </c>
      <c r="BE225" s="32">
        <f t="shared" si="67"/>
        <v>5.3999999999999995</v>
      </c>
    </row>
    <row r="226" spans="1:57" ht="25.5" customHeight="1" x14ac:dyDescent="0.25">
      <c r="A226" s="33" t="s">
        <v>607</v>
      </c>
      <c r="B226" s="11" t="s">
        <v>28</v>
      </c>
      <c r="C226" s="34" t="s">
        <v>112</v>
      </c>
      <c r="D226" s="24">
        <f t="shared" si="51"/>
        <v>4</v>
      </c>
      <c r="E226" s="59">
        <f t="shared" si="52"/>
        <v>4.7142857142857144</v>
      </c>
      <c r="F226" s="59">
        <f t="shared" si="53"/>
        <v>5.3999999999999995</v>
      </c>
      <c r="G226" s="11" t="s">
        <v>608</v>
      </c>
      <c r="H226" s="25" t="s">
        <v>106</v>
      </c>
      <c r="I226" s="25" t="s">
        <v>106</v>
      </c>
      <c r="J226" s="26" t="s">
        <v>608</v>
      </c>
      <c r="K226" s="42" t="str">
        <f>IF($AQ226,"#N/D",IFERROR(INDEX(Olimpiadas!$A$2:$A$61,MATCH($AO226,Olimpiadas!$C$2:$C$61,0)),"#N/D"))</f>
        <v>INSTITUCIÓN EDUCATIVA INDÍGENA DEL RESGUARDO DE POBLAZÓN</v>
      </c>
      <c r="L226" s="42" t="str">
        <f>IF($AQ226,"#N/D",IFERROR(INDEX(Minculturas!$A$2:$A$48,MATCH($AO226,Minculturas!$C$2:$C$48,0)),"#N/D"))</f>
        <v>#N/D</v>
      </c>
      <c r="M226" s="42" t="str">
        <f>IF($AQ226,"#N/D",IFERROR(INDEX(Minculturas!$B$2:$B$48,MATCH($AO226,Minculturas!$C$2:$C$48,0)),"#N/D"))</f>
        <v>#N/D</v>
      </c>
      <c r="N226" s="27">
        <v>27</v>
      </c>
      <c r="O226" s="28">
        <v>0</v>
      </c>
      <c r="P226" s="28">
        <v>3</v>
      </c>
      <c r="Q226" s="28">
        <v>2</v>
      </c>
      <c r="R226" s="28">
        <v>6</v>
      </c>
      <c r="S226" s="28">
        <v>2</v>
      </c>
      <c r="T226" s="28">
        <v>6</v>
      </c>
      <c r="U226" s="28">
        <v>4</v>
      </c>
      <c r="V226" s="28">
        <v>1</v>
      </c>
      <c r="W226" s="28">
        <v>0</v>
      </c>
      <c r="X226" s="28">
        <v>0</v>
      </c>
      <c r="Y226" s="28">
        <v>2</v>
      </c>
      <c r="Z226" s="28">
        <v>0</v>
      </c>
      <c r="AA226" s="28">
        <v>0</v>
      </c>
      <c r="AB226" s="28">
        <v>1</v>
      </c>
      <c r="AC226" s="28">
        <v>0</v>
      </c>
      <c r="AD226" s="28">
        <v>0</v>
      </c>
      <c r="AE226" s="28">
        <v>0</v>
      </c>
      <c r="AF226" s="28">
        <v>0</v>
      </c>
      <c r="AG226" s="27">
        <f t="shared" si="54"/>
        <v>24</v>
      </c>
      <c r="AH226" s="28"/>
      <c r="AI226" s="28"/>
      <c r="AJ226" s="28">
        <v>18.399999999999999</v>
      </c>
      <c r="AK226" s="28"/>
      <c r="AL226" s="28"/>
      <c r="AM226" s="29" t="s">
        <v>114</v>
      </c>
      <c r="AO226" t="str">
        <f t="shared" si="55"/>
        <v>popayan</v>
      </c>
      <c r="AP226" t="str">
        <f t="shared" si="56"/>
        <v>cauca</v>
      </c>
      <c r="AQ226" t="b">
        <f t="shared" si="57"/>
        <v>0</v>
      </c>
      <c r="AR226" t="str">
        <f t="shared" si="58"/>
        <v>popayan</v>
      </c>
      <c r="AS226" s="30">
        <f t="shared" si="59"/>
        <v>1</v>
      </c>
      <c r="AT226" s="30">
        <f t="shared" si="60"/>
        <v>24</v>
      </c>
      <c r="AU226" s="30">
        <f t="shared" si="61"/>
        <v>3</v>
      </c>
      <c r="AV226" s="30">
        <f t="shared" si="62"/>
        <v>0</v>
      </c>
      <c r="AZ226" s="31">
        <f t="shared" si="63"/>
        <v>0</v>
      </c>
      <c r="BA226" s="31">
        <f t="shared" si="64"/>
        <v>4</v>
      </c>
      <c r="BB226" s="32">
        <f>IFERROR(INDEX('Análisis general'!$E$4:$E$28,MATCH($B226,'Análisis general'!$B$4:$B$28,0)),"")</f>
        <v>13</v>
      </c>
      <c r="BC226" s="31">
        <f t="shared" si="65"/>
        <v>3</v>
      </c>
      <c r="BD226" s="32">
        <f t="shared" si="66"/>
        <v>4.7142857142857144</v>
      </c>
      <c r="BE226" s="32">
        <f t="shared" si="67"/>
        <v>5.3999999999999995</v>
      </c>
    </row>
    <row r="227" spans="1:57" ht="25.5" customHeight="1" x14ac:dyDescent="0.25">
      <c r="A227" s="33" t="s">
        <v>597</v>
      </c>
      <c r="B227" s="11" t="s">
        <v>41</v>
      </c>
      <c r="C227" s="34" t="s">
        <v>112</v>
      </c>
      <c r="D227" s="24">
        <f t="shared" si="51"/>
        <v>4</v>
      </c>
      <c r="E227" s="59">
        <f t="shared" si="52"/>
        <v>4.7142857142857144</v>
      </c>
      <c r="F227" s="59">
        <f t="shared" si="53"/>
        <v>5.3999999999999995</v>
      </c>
      <c r="G227" s="11" t="s">
        <v>598</v>
      </c>
      <c r="H227" s="25" t="str">
        <f>IFERROR(IF($AQ227,INDEX(cpe!$C$2:$C$307,MATCH($AR227,cpe!$F$2:$F$307,0)),INDEX(cpe!$C$2:$C$307,MATCH($AR227,cpe!$D$2:$D$307,0))),"#N/D")</f>
        <v>Institucion Educativa Guacamayas</v>
      </c>
      <c r="I227" s="25" t="str">
        <f>IFERROR(IF($AQ227,INDEX(cpe!$B$2:$B$307,MATCH($AR227,cpe!$F$2:$F$307,0)),INDEX(cpe!$B$2:$B$307,MATCH($AR227,cpe!$D$2:$D$307,0))),"#N/D")</f>
        <v>Ipiales</v>
      </c>
      <c r="J227" s="26" t="str">
        <f>IF($AQ227,"#N/D",IFERROR(INDEX(Olimpiadas!$B$2:$B$61,MATCH($AO227,Olimpiadas!$C$2:$C$61,0)),"#N/D"))</f>
        <v>#N/D</v>
      </c>
      <c r="K227" s="26" t="str">
        <f>IF($AQ227,"#N/D",IFERROR(INDEX(Olimpiadas!$A$2:$A$61,MATCH($AO227,Olimpiadas!$C$2:$C$61,0)),"#N/D"))</f>
        <v>#N/D</v>
      </c>
      <c r="L227" s="26" t="str">
        <f>IF($AQ227,"#N/D",IFERROR(INDEX(Minculturas!$A$2:$A$48,MATCH($AO227,Minculturas!$C$2:$C$48,0)),"#N/D"))</f>
        <v>#N/D</v>
      </c>
      <c r="M227" s="26" t="str">
        <f>IF($AQ227,"#N/D",IFERROR(INDEX(Minculturas!$B$2:$B$48,MATCH($AO227,Minculturas!$C$2:$C$48,0)),"#N/D"))</f>
        <v>#N/D</v>
      </c>
      <c r="N227" s="27">
        <v>9</v>
      </c>
      <c r="O227" s="28">
        <v>0</v>
      </c>
      <c r="P227" s="28">
        <v>2</v>
      </c>
      <c r="Q227" s="28">
        <v>1</v>
      </c>
      <c r="R227" s="28">
        <v>0</v>
      </c>
      <c r="S227" s="28">
        <v>0</v>
      </c>
      <c r="T227" s="28">
        <v>0</v>
      </c>
      <c r="U227" s="28">
        <v>3</v>
      </c>
      <c r="V227" s="28">
        <v>1</v>
      </c>
      <c r="W227" s="28">
        <v>0</v>
      </c>
      <c r="X227" s="28">
        <v>0</v>
      </c>
      <c r="Y227" s="28">
        <v>2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7">
        <f t="shared" si="54"/>
        <v>7</v>
      </c>
      <c r="AH227" s="28"/>
      <c r="AI227" s="28"/>
      <c r="AJ227" s="28">
        <v>23.4</v>
      </c>
      <c r="AK227" s="28"/>
      <c r="AL227" s="28"/>
      <c r="AM227" s="29" t="s">
        <v>114</v>
      </c>
      <c r="AO227" t="str">
        <f t="shared" si="55"/>
        <v>ipiales</v>
      </c>
      <c r="AP227" t="str">
        <f t="shared" si="56"/>
        <v>narino</v>
      </c>
      <c r="AQ227" t="b">
        <f t="shared" si="57"/>
        <v>0</v>
      </c>
      <c r="AR227" t="str">
        <f t="shared" si="58"/>
        <v>ipiales</v>
      </c>
      <c r="AS227" s="30">
        <f t="shared" si="59"/>
        <v>1</v>
      </c>
      <c r="AT227" s="30">
        <f t="shared" si="60"/>
        <v>7</v>
      </c>
      <c r="AU227" s="30">
        <f t="shared" si="61"/>
        <v>3</v>
      </c>
      <c r="AV227" s="30">
        <f t="shared" si="62"/>
        <v>0</v>
      </c>
      <c r="AZ227" s="31">
        <f t="shared" si="63"/>
        <v>0</v>
      </c>
      <c r="BA227" s="31">
        <f t="shared" si="64"/>
        <v>4</v>
      </c>
      <c r="BB227" s="32">
        <f>IFERROR(INDEX('Análisis general'!$E$4:$E$28,MATCH($B227,'Análisis general'!$B$4:$B$28,0)),"")</f>
        <v>13.2</v>
      </c>
      <c r="BC227" s="31">
        <f t="shared" si="65"/>
        <v>3</v>
      </c>
      <c r="BD227" s="32">
        <f t="shared" si="66"/>
        <v>4.7142857142857144</v>
      </c>
      <c r="BE227" s="32">
        <f t="shared" si="67"/>
        <v>5.3999999999999995</v>
      </c>
    </row>
    <row r="228" spans="1:57" ht="25.5" customHeight="1" x14ac:dyDescent="0.25">
      <c r="A228" s="33" t="s">
        <v>599</v>
      </c>
      <c r="B228" s="11" t="s">
        <v>31</v>
      </c>
      <c r="C228" s="34" t="s">
        <v>112</v>
      </c>
      <c r="D228" s="24">
        <f t="shared" si="51"/>
        <v>4</v>
      </c>
      <c r="E228" s="59">
        <f t="shared" si="52"/>
        <v>4.7142857142857144</v>
      </c>
      <c r="F228" s="59">
        <f t="shared" si="53"/>
        <v>5.3999999999999995</v>
      </c>
      <c r="G228" s="11" t="s">
        <v>600</v>
      </c>
      <c r="H228" s="25" t="str">
        <f>IFERROR(IF($AQ228,INDEX(cpe!$C$2:$C$307,MATCH($AR228,cpe!$F$2:$F$307,0)),INDEX(cpe!$C$2:$C$307,MATCH($AR228,cpe!$D$2:$D$307,0))),"#N/D")</f>
        <v>Institucion Educativa Cano Blanco Ii</v>
      </c>
      <c r="I228" s="25" t="str">
        <f>IFERROR(IF($AQ228,INDEX(cpe!$B$2:$B$307,MATCH($AR228,cpe!$F$2:$F$307,0)),INDEX(cpe!$B$2:$B$307,MATCH($AR228,cpe!$D$2:$D$307,0))),"#N/D")</f>
        <v>Istmina</v>
      </c>
      <c r="J228" s="26" t="str">
        <f>IF($AQ228,"#N/D",IFERROR(INDEX(Olimpiadas!$B$2:$B$61,MATCH($AO228,Olimpiadas!$C$2:$C$61,0)),"#N/D"))</f>
        <v>#N/D</v>
      </c>
      <c r="K228" s="26" t="str">
        <f>IF($AQ228,"#N/D",IFERROR(INDEX(Olimpiadas!$A$2:$A$61,MATCH($AO228,Olimpiadas!$C$2:$C$61,0)),"#N/D"))</f>
        <v>#N/D</v>
      </c>
      <c r="L228" s="26" t="str">
        <f>IF($AQ228,"#N/D",IFERROR(INDEX(Minculturas!$A$2:$A$48,MATCH($AO228,Minculturas!$C$2:$C$48,0)),"#N/D"))</f>
        <v>#N/D</v>
      </c>
      <c r="M228" s="26" t="str">
        <f>IF($AQ228,"#N/D",IFERROR(INDEX(Minculturas!$B$2:$B$48,MATCH($AO228,Minculturas!$C$2:$C$48,0)),"#N/D"))</f>
        <v>#N/D</v>
      </c>
      <c r="N228" s="27">
        <v>14</v>
      </c>
      <c r="O228" s="28">
        <v>1</v>
      </c>
      <c r="P228" s="28">
        <v>2</v>
      </c>
      <c r="Q228" s="28">
        <v>1</v>
      </c>
      <c r="R228" s="28">
        <v>0</v>
      </c>
      <c r="S228" s="28">
        <v>0</v>
      </c>
      <c r="T228" s="28">
        <v>0</v>
      </c>
      <c r="U228" s="28">
        <v>0</v>
      </c>
      <c r="V228" s="28">
        <v>2</v>
      </c>
      <c r="W228" s="28">
        <v>0</v>
      </c>
      <c r="X228" s="28">
        <v>1</v>
      </c>
      <c r="Y228" s="28">
        <v>5</v>
      </c>
      <c r="Z228" s="28">
        <v>1</v>
      </c>
      <c r="AA228" s="28">
        <v>0</v>
      </c>
      <c r="AB228" s="28">
        <v>1</v>
      </c>
      <c r="AC228" s="28">
        <v>0</v>
      </c>
      <c r="AD228" s="28">
        <v>0</v>
      </c>
      <c r="AE228" s="28">
        <v>0</v>
      </c>
      <c r="AF228" s="28">
        <v>0</v>
      </c>
      <c r="AG228" s="27">
        <f t="shared" si="54"/>
        <v>7</v>
      </c>
      <c r="AH228" s="28" t="s">
        <v>601</v>
      </c>
      <c r="AI228" s="28" t="s">
        <v>602</v>
      </c>
      <c r="AJ228" s="28">
        <v>55.1</v>
      </c>
      <c r="AK228" s="28"/>
      <c r="AL228" s="28"/>
      <c r="AM228" s="29" t="s">
        <v>114</v>
      </c>
      <c r="AO228" t="str">
        <f t="shared" si="55"/>
        <v>istmina</v>
      </c>
      <c r="AP228" t="str">
        <f t="shared" si="56"/>
        <v>choco</v>
      </c>
      <c r="AQ228" t="b">
        <f t="shared" si="57"/>
        <v>0</v>
      </c>
      <c r="AR228" t="str">
        <f t="shared" si="58"/>
        <v>istmina</v>
      </c>
      <c r="AS228" s="30">
        <f t="shared" si="59"/>
        <v>1</v>
      </c>
      <c r="AT228" s="30">
        <f t="shared" si="60"/>
        <v>7</v>
      </c>
      <c r="AU228" s="30">
        <f t="shared" si="61"/>
        <v>3</v>
      </c>
      <c r="AV228" s="30">
        <f t="shared" si="62"/>
        <v>0</v>
      </c>
      <c r="AZ228" s="31">
        <f t="shared" si="63"/>
        <v>0</v>
      </c>
      <c r="BA228" s="31">
        <f t="shared" si="64"/>
        <v>4</v>
      </c>
      <c r="BB228" s="32">
        <f>IFERROR(INDEX('Análisis general'!$E$4:$E$28,MATCH($B228,'Análisis general'!$B$4:$B$28,0)),"")</f>
        <v>30.8</v>
      </c>
      <c r="BC228" s="31">
        <f t="shared" si="65"/>
        <v>3</v>
      </c>
      <c r="BD228" s="32">
        <f t="shared" si="66"/>
        <v>4.7142857142857144</v>
      </c>
      <c r="BE228" s="32">
        <f t="shared" si="67"/>
        <v>5.3999999999999995</v>
      </c>
    </row>
    <row r="229" spans="1:57" ht="25.5" customHeight="1" x14ac:dyDescent="0.25">
      <c r="A229" s="33" t="s">
        <v>603</v>
      </c>
      <c r="B229" s="11" t="s">
        <v>31</v>
      </c>
      <c r="C229" s="34" t="s">
        <v>112</v>
      </c>
      <c r="D229" s="24">
        <f t="shared" si="51"/>
        <v>4</v>
      </c>
      <c r="E229" s="59">
        <f t="shared" si="52"/>
        <v>4.7142857142857144</v>
      </c>
      <c r="F229" s="59">
        <f t="shared" si="53"/>
        <v>5.3999999999999995</v>
      </c>
      <c r="G229" s="11" t="s">
        <v>604</v>
      </c>
      <c r="H229" s="25" t="str">
        <f>IFERROR(IF($AQ229,INDEX(cpe!$C$2:$C$307,MATCH($AR229,cpe!$F$2:$F$307,0)),INDEX(cpe!$C$2:$C$307,MATCH($AR229,cpe!$D$2:$D$307,0))),"#N/D")</f>
        <v>Institucion Educativa Jose Ignacio Ospina</v>
      </c>
      <c r="I229" s="25" t="str">
        <f>IFERROR(IF($AQ229,INDEX(cpe!$B$2:$B$307,MATCH($AR229,cpe!$F$2:$F$307,0)),INDEX(cpe!$B$2:$B$307,MATCH($AR229,cpe!$D$2:$D$307,0))),"#N/D")</f>
        <v>Medio San Juan</v>
      </c>
      <c r="J229" s="26" t="str">
        <f>IF($AQ229,"#N/D",IFERROR(INDEX(Olimpiadas!$B$2:$B$61,MATCH($AO229,Olimpiadas!$C$2:$C$61,0)),"#N/D"))</f>
        <v>#N/D</v>
      </c>
      <c r="K229" s="26" t="str">
        <f>IF($AQ229,"#N/D",IFERROR(INDEX(Olimpiadas!$A$2:$A$61,MATCH($AO229,Olimpiadas!$C$2:$C$61,0)),"#N/D"))</f>
        <v>#N/D</v>
      </c>
      <c r="L229" s="26" t="str">
        <f>IF($AQ229,"#N/D",IFERROR(INDEX(Minculturas!$A$2:$A$48,MATCH($AO229,Minculturas!$C$2:$C$48,0)),"#N/D"))</f>
        <v>#N/D</v>
      </c>
      <c r="M229" s="26" t="str">
        <f>IF($AQ229,"#N/D",IFERROR(INDEX(Minculturas!$B$2:$B$48,MATCH($AO229,Minculturas!$C$2:$C$48,0)),"#N/D"))</f>
        <v>#N/D</v>
      </c>
      <c r="N229" s="27">
        <v>16</v>
      </c>
      <c r="O229" s="28">
        <v>0</v>
      </c>
      <c r="P229" s="28">
        <v>1</v>
      </c>
      <c r="Q229" s="28">
        <v>1</v>
      </c>
      <c r="R229" s="28">
        <v>1</v>
      </c>
      <c r="S229" s="28">
        <v>1</v>
      </c>
      <c r="T229" s="28">
        <v>0</v>
      </c>
      <c r="U229" s="28">
        <v>1</v>
      </c>
      <c r="V229" s="28">
        <v>0</v>
      </c>
      <c r="W229" s="28">
        <v>0</v>
      </c>
      <c r="X229" s="28">
        <v>2</v>
      </c>
      <c r="Y229" s="28">
        <v>2</v>
      </c>
      <c r="Z229" s="28">
        <v>0</v>
      </c>
      <c r="AA229" s="28">
        <v>0</v>
      </c>
      <c r="AB229" s="28">
        <v>7</v>
      </c>
      <c r="AC229" s="28">
        <v>0</v>
      </c>
      <c r="AD229" s="28">
        <v>0</v>
      </c>
      <c r="AE229" s="28">
        <v>0</v>
      </c>
      <c r="AF229" s="28">
        <v>0</v>
      </c>
      <c r="AG229" s="27">
        <f t="shared" si="54"/>
        <v>7</v>
      </c>
      <c r="AH229" s="28" t="s">
        <v>605</v>
      </c>
      <c r="AI229" s="28" t="s">
        <v>606</v>
      </c>
      <c r="AJ229" s="28">
        <v>69.7</v>
      </c>
      <c r="AK229" s="28"/>
      <c r="AL229" s="28"/>
      <c r="AM229" s="29" t="s">
        <v>114</v>
      </c>
      <c r="AO229" t="str">
        <f t="shared" si="55"/>
        <v>medio san juan</v>
      </c>
      <c r="AP229" t="str">
        <f t="shared" si="56"/>
        <v>choco</v>
      </c>
      <c r="AQ229" t="b">
        <f t="shared" si="57"/>
        <v>0</v>
      </c>
      <c r="AR229" t="str">
        <f t="shared" si="58"/>
        <v>medio san juan</v>
      </c>
      <c r="AS229" s="30">
        <f t="shared" si="59"/>
        <v>1</v>
      </c>
      <c r="AT229" s="30">
        <f t="shared" si="60"/>
        <v>7</v>
      </c>
      <c r="AU229" s="30">
        <f t="shared" si="61"/>
        <v>3</v>
      </c>
      <c r="AV229" s="30">
        <f t="shared" si="62"/>
        <v>0</v>
      </c>
      <c r="AZ229" s="31">
        <f t="shared" si="63"/>
        <v>0</v>
      </c>
      <c r="BA229" s="31">
        <f t="shared" si="64"/>
        <v>4</v>
      </c>
      <c r="BB229" s="32">
        <f>IFERROR(INDEX('Análisis general'!$E$4:$E$28,MATCH($B229,'Análisis general'!$B$4:$B$28,0)),"")</f>
        <v>30.8</v>
      </c>
      <c r="BC229" s="31">
        <f t="shared" si="65"/>
        <v>3</v>
      </c>
      <c r="BD229" s="32">
        <f t="shared" si="66"/>
        <v>4.7142857142857144</v>
      </c>
      <c r="BE229" s="32">
        <f t="shared" si="67"/>
        <v>5.3999999999999995</v>
      </c>
    </row>
    <row r="230" spans="1:57" ht="25.5" customHeight="1" x14ac:dyDescent="0.25">
      <c r="A230" s="33" t="s">
        <v>609</v>
      </c>
      <c r="B230" s="11" t="s">
        <v>31</v>
      </c>
      <c r="C230" s="34" t="s">
        <v>112</v>
      </c>
      <c r="D230" s="24">
        <f t="shared" si="51"/>
        <v>4</v>
      </c>
      <c r="E230" s="59">
        <f t="shared" si="52"/>
        <v>4.7142857142857144</v>
      </c>
      <c r="F230" s="59">
        <f t="shared" si="53"/>
        <v>5.3999999999999995</v>
      </c>
      <c r="G230" s="11" t="s">
        <v>610</v>
      </c>
      <c r="H230" s="25" t="s">
        <v>611</v>
      </c>
      <c r="I230" s="25" t="s">
        <v>610</v>
      </c>
      <c r="J230" s="26" t="s">
        <v>106</v>
      </c>
      <c r="K230" s="26" t="str">
        <f>IF($AQ230,"#N/D",IFERROR(INDEX(Olimpiadas!$A$2:$A$61,MATCH($AO230,Olimpiadas!$C$2:$C$61,0)),"#N/D"))</f>
        <v>#N/D</v>
      </c>
      <c r="L230" s="26" t="str">
        <f>IF($AQ230,"#N/D",IFERROR(INDEX(Minculturas!$A$2:$A$48,MATCH($AO230,Minculturas!$C$2:$C$48,0)),"#N/D"))</f>
        <v>#N/D</v>
      </c>
      <c r="M230" s="26" t="str">
        <f>IF($AQ230,"#N/D",IFERROR(INDEX(Minculturas!$B$2:$B$48,MATCH($AO230,Minculturas!$C$2:$C$48,0)),"#N/D"))</f>
        <v>#N/D</v>
      </c>
      <c r="N230" s="27">
        <v>9</v>
      </c>
      <c r="O230" s="28">
        <v>1</v>
      </c>
      <c r="P230" s="28">
        <v>0</v>
      </c>
      <c r="Q230" s="28">
        <v>2</v>
      </c>
      <c r="R230" s="28">
        <v>0</v>
      </c>
      <c r="S230" s="28">
        <v>1</v>
      </c>
      <c r="T230" s="28">
        <v>0</v>
      </c>
      <c r="U230" s="28">
        <v>0</v>
      </c>
      <c r="V230" s="28">
        <v>0</v>
      </c>
      <c r="W230" s="28">
        <v>0</v>
      </c>
      <c r="X230" s="28">
        <v>1</v>
      </c>
      <c r="Y230" s="28">
        <v>2</v>
      </c>
      <c r="Z230" s="28">
        <v>1</v>
      </c>
      <c r="AA230" s="28">
        <v>0</v>
      </c>
      <c r="AB230" s="28">
        <v>0</v>
      </c>
      <c r="AC230" s="28">
        <v>1</v>
      </c>
      <c r="AD230" s="28">
        <v>0</v>
      </c>
      <c r="AE230" s="28">
        <v>0</v>
      </c>
      <c r="AF230" s="28">
        <v>0</v>
      </c>
      <c r="AG230" s="27">
        <f t="shared" si="54"/>
        <v>5</v>
      </c>
      <c r="AH230" s="28"/>
      <c r="AI230" s="28"/>
      <c r="AJ230" s="28">
        <v>57.4</v>
      </c>
      <c r="AK230" s="28"/>
      <c r="AL230" s="28"/>
      <c r="AM230" s="29" t="s">
        <v>114</v>
      </c>
      <c r="AO230" t="str">
        <f t="shared" si="55"/>
        <v>union panamericana</v>
      </c>
      <c r="AP230" t="str">
        <f t="shared" si="56"/>
        <v>choco</v>
      </c>
      <c r="AQ230" t="b">
        <f t="shared" si="57"/>
        <v>0</v>
      </c>
      <c r="AR230" t="str">
        <f t="shared" si="58"/>
        <v>union panamericana</v>
      </c>
      <c r="AS230" s="30">
        <f t="shared" si="59"/>
        <v>1</v>
      </c>
      <c r="AT230" s="30">
        <f t="shared" si="60"/>
        <v>5</v>
      </c>
      <c r="AU230" s="30">
        <f t="shared" si="61"/>
        <v>3</v>
      </c>
      <c r="AV230" s="30">
        <f t="shared" si="62"/>
        <v>0</v>
      </c>
      <c r="AZ230" s="31">
        <f t="shared" si="63"/>
        <v>0</v>
      </c>
      <c r="BA230" s="31">
        <f t="shared" si="64"/>
        <v>4</v>
      </c>
      <c r="BB230" s="32">
        <f>IFERROR(INDEX('Análisis general'!$E$4:$E$28,MATCH($B230,'Análisis general'!$B$4:$B$28,0)),"")</f>
        <v>30.8</v>
      </c>
      <c r="BC230" s="31">
        <f t="shared" si="65"/>
        <v>3</v>
      </c>
      <c r="BD230" s="32">
        <f t="shared" si="66"/>
        <v>4.7142857142857144</v>
      </c>
      <c r="BE230" s="32">
        <f t="shared" si="67"/>
        <v>5.3999999999999995</v>
      </c>
    </row>
    <row r="231" spans="1:57" ht="25.5" customHeight="1" x14ac:dyDescent="0.25">
      <c r="A231" s="33" t="s">
        <v>595</v>
      </c>
      <c r="B231" s="11" t="s">
        <v>42</v>
      </c>
      <c r="C231" s="34" t="s">
        <v>112</v>
      </c>
      <c r="D231" s="24">
        <f t="shared" si="51"/>
        <v>4</v>
      </c>
      <c r="E231" s="59">
        <f t="shared" si="52"/>
        <v>4.7142857142857144</v>
      </c>
      <c r="F231" s="59">
        <f t="shared" si="53"/>
        <v>5.3999999999999995</v>
      </c>
      <c r="G231" s="11" t="s">
        <v>596</v>
      </c>
      <c r="H231" s="25" t="str">
        <f>IFERROR(IF($AQ231,INDEX(cpe!$C$2:$C$307,MATCH($AR231,cpe!$F$2:$F$307,0)),INDEX(cpe!$C$2:$C$307,MATCH($AR231,cpe!$D$2:$D$307,0))),"#N/D")</f>
        <v>Institucion Educativa el Pescador</v>
      </c>
      <c r="I231" s="25" t="str">
        <f>IFERROR(IF($AQ231,INDEX(cpe!$B$2:$B$307,MATCH($AR231,cpe!$F$2:$F$307,0)),INDEX(cpe!$B$2:$B$307,MATCH($AR231,cpe!$D$2:$D$307,0))),"#N/D")</f>
        <v>El Tarra</v>
      </c>
      <c r="J231" s="26" t="str">
        <f>IF($AQ231,"#N/D",IFERROR(INDEX(Olimpiadas!$B$2:$B$61,MATCH($AO231,Olimpiadas!$C$2:$C$61,0)),"#N/D"))</f>
        <v>#N/D</v>
      </c>
      <c r="K231" s="26" t="str">
        <f>IF($AQ231,"#N/D",IFERROR(INDEX(Olimpiadas!$A$2:$A$61,MATCH($AO231,Olimpiadas!$C$2:$C$61,0)),"#N/D"))</f>
        <v>#N/D</v>
      </c>
      <c r="L231" s="26" t="str">
        <f>IF($AQ231,"#N/D",IFERROR(INDEX(Minculturas!$A$2:$A$48,MATCH($AO231,Minculturas!$C$2:$C$48,0)),"#N/D"))</f>
        <v>#N/D</v>
      </c>
      <c r="M231" s="26" t="str">
        <f>IF($AQ231,"#N/D",IFERROR(INDEX(Minculturas!$B$2:$B$48,MATCH($AO231,Minculturas!$C$2:$C$48,0)),"#N/D"))</f>
        <v>#N/D</v>
      </c>
      <c r="N231" s="27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7">
        <f t="shared" si="54"/>
        <v>0</v>
      </c>
      <c r="AH231" s="28" t="s">
        <v>175</v>
      </c>
      <c r="AI231" s="28" t="s">
        <v>234</v>
      </c>
      <c r="AJ231" s="28">
        <v>71.2</v>
      </c>
      <c r="AK231" s="28"/>
      <c r="AL231" s="28"/>
      <c r="AM231" s="29" t="s">
        <v>246</v>
      </c>
      <c r="AO231" t="str">
        <f t="shared" si="55"/>
        <v>el tarra</v>
      </c>
      <c r="AP231" t="str">
        <f t="shared" si="56"/>
        <v>norte de santander</v>
      </c>
      <c r="AQ231" t="b">
        <f t="shared" si="57"/>
        <v>0</v>
      </c>
      <c r="AR231" t="str">
        <f t="shared" si="58"/>
        <v>el tarra</v>
      </c>
      <c r="AS231" s="30">
        <f t="shared" si="59"/>
        <v>1</v>
      </c>
      <c r="AT231" s="30">
        <f t="shared" si="60"/>
        <v>0</v>
      </c>
      <c r="AU231" s="30">
        <f t="shared" si="61"/>
        <v>0</v>
      </c>
      <c r="AV231" s="30">
        <f t="shared" si="62"/>
        <v>3</v>
      </c>
      <c r="AZ231" s="31">
        <f t="shared" si="63"/>
        <v>3</v>
      </c>
      <c r="BA231" s="31">
        <f t="shared" si="64"/>
        <v>4</v>
      </c>
      <c r="BB231" s="32">
        <f>IFERROR(INDEX('Análisis general'!$E$4:$E$28,MATCH($B231,'Análisis general'!$B$4:$B$28,0)),"")</f>
        <v>13.3</v>
      </c>
      <c r="BC231" s="31">
        <f t="shared" si="65"/>
        <v>3</v>
      </c>
      <c r="BD231" s="32">
        <f t="shared" si="66"/>
        <v>4.7142857142857144</v>
      </c>
      <c r="BE231" s="32">
        <f t="shared" si="67"/>
        <v>5.3999999999999995</v>
      </c>
    </row>
    <row r="232" spans="1:57" ht="25.5" customHeight="1" x14ac:dyDescent="0.25">
      <c r="A232" s="33" t="s">
        <v>664</v>
      </c>
      <c r="B232" s="11" t="s">
        <v>31</v>
      </c>
      <c r="C232" s="62" t="s">
        <v>1216</v>
      </c>
      <c r="D232" s="24">
        <f t="shared" si="51"/>
        <v>3</v>
      </c>
      <c r="E232" s="59">
        <f t="shared" si="52"/>
        <v>3.8571428571428568</v>
      </c>
      <c r="F232" s="59">
        <f t="shared" si="53"/>
        <v>5.3999999999999995</v>
      </c>
      <c r="G232" s="11" t="s">
        <v>665</v>
      </c>
      <c r="H232" s="25" t="s">
        <v>106</v>
      </c>
      <c r="I232" s="25" t="s">
        <v>106</v>
      </c>
      <c r="J232" s="26" t="s">
        <v>106</v>
      </c>
      <c r="K232" s="26" t="str">
        <f>IF($AQ232,"#N/D",IFERROR(INDEX(Olimpiadas!$A$2:$A$61,MATCH($AO232,Olimpiadas!$C$2:$C$61,0)),"#N/D"))</f>
        <v>#N/D</v>
      </c>
      <c r="L232" s="26" t="str">
        <f>IF($AQ232,"#N/D",IFERROR(INDEX(Minculturas!$A$2:$A$48,MATCH($AO232,Minculturas!$C$2:$C$48,0)),"#N/D"))</f>
        <v>#N/D</v>
      </c>
      <c r="M232" s="26" t="str">
        <f>IF($AQ232,"#N/D",IFERROR(INDEX(Minculturas!$B$2:$B$48,MATCH($AO232,Minculturas!$C$2:$C$48,0)),"#N/D"))</f>
        <v>#N/D</v>
      </c>
      <c r="N232" s="27">
        <v>26</v>
      </c>
      <c r="O232" s="28">
        <v>1</v>
      </c>
      <c r="P232" s="28">
        <v>0</v>
      </c>
      <c r="Q232" s="28">
        <v>5</v>
      </c>
      <c r="R232" s="28">
        <v>2</v>
      </c>
      <c r="S232" s="28">
        <v>6</v>
      </c>
      <c r="T232" s="28">
        <v>1</v>
      </c>
      <c r="U232" s="28">
        <v>1</v>
      </c>
      <c r="V232" s="28">
        <v>2</v>
      </c>
      <c r="W232" s="28">
        <v>1</v>
      </c>
      <c r="X232" s="28">
        <v>1</v>
      </c>
      <c r="Y232" s="28">
        <v>3</v>
      </c>
      <c r="Z232" s="28">
        <v>3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7">
        <f t="shared" si="54"/>
        <v>20</v>
      </c>
      <c r="AH232" s="28" t="s">
        <v>666</v>
      </c>
      <c r="AI232" s="28" t="s">
        <v>667</v>
      </c>
      <c r="AJ232" s="28">
        <v>59.1</v>
      </c>
      <c r="AK232" s="28"/>
      <c r="AL232" s="28"/>
      <c r="AM232" s="29" t="s">
        <v>668</v>
      </c>
      <c r="AO232" t="str">
        <f t="shared" si="55"/>
        <v>san jose del palmar</v>
      </c>
      <c r="AP232" t="str">
        <f t="shared" si="56"/>
        <v>choco</v>
      </c>
      <c r="AQ232" t="b">
        <f t="shared" si="57"/>
        <v>0</v>
      </c>
      <c r="AR232" t="str">
        <f t="shared" si="58"/>
        <v>san jose del palmar</v>
      </c>
      <c r="AS232" s="30">
        <f t="shared" si="59"/>
        <v>0</v>
      </c>
      <c r="AT232" s="30">
        <f t="shared" si="60"/>
        <v>20</v>
      </c>
      <c r="AU232" s="30">
        <f t="shared" si="61"/>
        <v>3</v>
      </c>
      <c r="AV232" s="30">
        <f t="shared" si="62"/>
        <v>0</v>
      </c>
      <c r="AZ232" s="31">
        <f t="shared" si="63"/>
        <v>0</v>
      </c>
      <c r="BA232" s="31">
        <f t="shared" si="64"/>
        <v>3</v>
      </c>
      <c r="BB232" s="32">
        <f>IFERROR(INDEX('Análisis general'!$E$4:$E$28,MATCH($B232,'Análisis general'!$B$4:$B$28,0)),"")</f>
        <v>30.8</v>
      </c>
      <c r="BC232" s="31">
        <f t="shared" si="65"/>
        <v>3</v>
      </c>
      <c r="BD232" s="32">
        <f t="shared" si="66"/>
        <v>3.8571428571428568</v>
      </c>
      <c r="BE232" s="32">
        <f t="shared" si="67"/>
        <v>5.3999999999999995</v>
      </c>
    </row>
    <row r="233" spans="1:57" ht="25.5" customHeight="1" x14ac:dyDescent="0.25">
      <c r="A233" s="33" t="s">
        <v>705</v>
      </c>
      <c r="B233" s="11" t="s">
        <v>31</v>
      </c>
      <c r="C233" s="61" t="s">
        <v>1214</v>
      </c>
      <c r="D233" s="24">
        <f t="shared" si="51"/>
        <v>3</v>
      </c>
      <c r="E233" s="59">
        <f t="shared" si="52"/>
        <v>3.8571428571428568</v>
      </c>
      <c r="F233" s="59">
        <f t="shared" si="53"/>
        <v>5.3999999999999995</v>
      </c>
      <c r="G233" s="11" t="s">
        <v>706</v>
      </c>
      <c r="H233" s="25" t="s">
        <v>106</v>
      </c>
      <c r="I233" s="25" t="s">
        <v>106</v>
      </c>
      <c r="J233" s="26" t="s">
        <v>106</v>
      </c>
      <c r="K233" s="26" t="str">
        <f>IF($AQ233,"#N/D",IFERROR(INDEX(Olimpiadas!$A$2:$A$61,MATCH($AO233,Olimpiadas!$C$2:$C$61,0)),"#N/D"))</f>
        <v>#N/D</v>
      </c>
      <c r="L233" s="26" t="str">
        <f>IF($AQ233,"#N/D",IFERROR(INDEX(Minculturas!$A$2:$A$48,MATCH($AO233,Minculturas!$C$2:$C$48,0)),"#N/D"))</f>
        <v>#N/D</v>
      </c>
      <c r="M233" s="26" t="str">
        <f>IF($AQ233,"#N/D",IFERROR(INDEX(Minculturas!$B$2:$B$48,MATCH($AO233,Minculturas!$C$2:$C$48,0)),"#N/D"))</f>
        <v>#N/D</v>
      </c>
      <c r="N233" s="27">
        <v>17</v>
      </c>
      <c r="O233" s="28">
        <v>0</v>
      </c>
      <c r="P233" s="28">
        <v>4</v>
      </c>
      <c r="Q233" s="28">
        <v>6</v>
      </c>
      <c r="R233" s="28">
        <v>0</v>
      </c>
      <c r="S233" s="28">
        <v>0</v>
      </c>
      <c r="T233" s="28">
        <v>2</v>
      </c>
      <c r="U233" s="28">
        <v>0</v>
      </c>
      <c r="V233" s="28">
        <v>0</v>
      </c>
      <c r="W233" s="28">
        <v>0</v>
      </c>
      <c r="X233" s="28">
        <v>0</v>
      </c>
      <c r="Y233" s="28">
        <v>2</v>
      </c>
      <c r="Z233" s="28">
        <v>1</v>
      </c>
      <c r="AA233" s="28">
        <v>0</v>
      </c>
      <c r="AB233" s="28">
        <v>2</v>
      </c>
      <c r="AC233" s="28">
        <v>0</v>
      </c>
      <c r="AD233" s="28">
        <v>0</v>
      </c>
      <c r="AE233" s="28">
        <v>0</v>
      </c>
      <c r="AF233" s="28">
        <v>0</v>
      </c>
      <c r="AG233" s="27">
        <f t="shared" si="54"/>
        <v>12</v>
      </c>
      <c r="AH233" s="28" t="s">
        <v>707</v>
      </c>
      <c r="AI233" s="28" t="s">
        <v>708</v>
      </c>
      <c r="AJ233" s="28">
        <v>29.3</v>
      </c>
      <c r="AK233" s="28"/>
      <c r="AL233" s="28"/>
      <c r="AM233" s="29" t="s">
        <v>114</v>
      </c>
      <c r="AO233" t="str">
        <f t="shared" si="55"/>
        <v>riosucio</v>
      </c>
      <c r="AP233" t="str">
        <f t="shared" si="56"/>
        <v>choco</v>
      </c>
      <c r="AQ233" t="b">
        <f t="shared" si="57"/>
        <v>1</v>
      </c>
      <c r="AR233" t="str">
        <f t="shared" si="58"/>
        <v>riosucio|choco</v>
      </c>
      <c r="AS233" s="30">
        <f t="shared" si="59"/>
        <v>0</v>
      </c>
      <c r="AT233" s="30">
        <f t="shared" si="60"/>
        <v>12</v>
      </c>
      <c r="AU233" s="30">
        <f t="shared" si="61"/>
        <v>3</v>
      </c>
      <c r="AV233" s="30">
        <f t="shared" si="62"/>
        <v>0</v>
      </c>
      <c r="AZ233" s="31">
        <f t="shared" si="63"/>
        <v>0</v>
      </c>
      <c r="BA233" s="31">
        <f t="shared" si="64"/>
        <v>3</v>
      </c>
      <c r="BB233" s="32">
        <f>IFERROR(INDEX('Análisis general'!$E$4:$E$28,MATCH($B233,'Análisis general'!$B$4:$B$28,0)),"")</f>
        <v>30.8</v>
      </c>
      <c r="BC233" s="31">
        <f t="shared" si="65"/>
        <v>3</v>
      </c>
      <c r="BD233" s="32">
        <f t="shared" si="66"/>
        <v>3.8571428571428568</v>
      </c>
      <c r="BE233" s="32">
        <f t="shared" si="67"/>
        <v>5.3999999999999995</v>
      </c>
    </row>
    <row r="234" spans="1:57" ht="25.5" customHeight="1" x14ac:dyDescent="0.25">
      <c r="A234" s="33" t="s">
        <v>722</v>
      </c>
      <c r="B234" s="11" t="s">
        <v>31</v>
      </c>
      <c r="C234" s="34" t="s">
        <v>112</v>
      </c>
      <c r="D234" s="24">
        <f t="shared" si="51"/>
        <v>4</v>
      </c>
      <c r="E234" s="59">
        <f t="shared" si="52"/>
        <v>3.8571428571428568</v>
      </c>
      <c r="F234" s="59">
        <f t="shared" si="53"/>
        <v>5.3999999999999995</v>
      </c>
      <c r="G234" s="11" t="s">
        <v>723</v>
      </c>
      <c r="H234" s="25" t="s">
        <v>106</v>
      </c>
      <c r="I234" s="25" t="s">
        <v>106</v>
      </c>
      <c r="J234" s="26" t="s">
        <v>106</v>
      </c>
      <c r="K234" s="26" t="str">
        <f>IF($AQ234,"#N/D",IFERROR(INDEX(Olimpiadas!$A$2:$A$61,MATCH($AO234,Olimpiadas!$C$2:$C$61,0)),"#N/D"))</f>
        <v>#N/D</v>
      </c>
      <c r="L234" s="26" t="str">
        <f>IF($AQ234,"#N/D",IFERROR(INDEX(Minculturas!$A$2:$A$48,MATCH($AO234,Minculturas!$C$2:$C$48,0)),"#N/D"))</f>
        <v>#N/D</v>
      </c>
      <c r="M234" s="26" t="str">
        <f>IF($AQ234,"#N/D",IFERROR(INDEX(Minculturas!$B$2:$B$48,MATCH($AO234,Minculturas!$C$2:$C$48,0)),"#N/D"))</f>
        <v>#N/D</v>
      </c>
      <c r="N234" s="27">
        <v>12</v>
      </c>
      <c r="O234" s="28">
        <v>0</v>
      </c>
      <c r="P234" s="28">
        <v>3</v>
      </c>
      <c r="Q234" s="28">
        <v>5</v>
      </c>
      <c r="R234" s="28">
        <v>1</v>
      </c>
      <c r="S234" s="28">
        <v>0</v>
      </c>
      <c r="T234" s="28">
        <v>1</v>
      </c>
      <c r="U234" s="28">
        <v>0</v>
      </c>
      <c r="V234" s="28">
        <v>0</v>
      </c>
      <c r="W234" s="28">
        <v>0</v>
      </c>
      <c r="X234" s="28">
        <v>0</v>
      </c>
      <c r="Y234" s="28">
        <v>1</v>
      </c>
      <c r="Z234" s="28">
        <v>1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  <c r="AF234" s="28">
        <v>0</v>
      </c>
      <c r="AG234" s="27">
        <f t="shared" si="54"/>
        <v>10</v>
      </c>
      <c r="AH234" s="28" t="s">
        <v>305</v>
      </c>
      <c r="AI234" s="28" t="s">
        <v>724</v>
      </c>
      <c r="AJ234" s="28">
        <v>59.9</v>
      </c>
      <c r="AK234" s="28"/>
      <c r="AL234" s="28"/>
      <c r="AM234" s="29" t="s">
        <v>114</v>
      </c>
      <c r="AO234" t="str">
        <f t="shared" si="55"/>
        <v>tado</v>
      </c>
      <c r="AP234" t="str">
        <f t="shared" si="56"/>
        <v>choco</v>
      </c>
      <c r="AQ234" t="b">
        <f t="shared" si="57"/>
        <v>0</v>
      </c>
      <c r="AR234" t="str">
        <f t="shared" si="58"/>
        <v>tado</v>
      </c>
      <c r="AS234" s="30">
        <f t="shared" si="59"/>
        <v>0</v>
      </c>
      <c r="AT234" s="30">
        <f t="shared" si="60"/>
        <v>10</v>
      </c>
      <c r="AU234" s="30">
        <f t="shared" si="61"/>
        <v>3</v>
      </c>
      <c r="AV234" s="30">
        <f t="shared" si="62"/>
        <v>1</v>
      </c>
      <c r="AZ234" s="31">
        <f t="shared" si="63"/>
        <v>0</v>
      </c>
      <c r="BA234" s="31">
        <f t="shared" si="64"/>
        <v>3</v>
      </c>
      <c r="BB234" s="32">
        <f>IFERROR(INDEX('Análisis general'!$E$4:$E$28,MATCH($B234,'Análisis general'!$B$4:$B$28,0)),"")</f>
        <v>30.8</v>
      </c>
      <c r="BC234" s="31">
        <f t="shared" si="65"/>
        <v>3</v>
      </c>
      <c r="BD234" s="32">
        <f t="shared" si="66"/>
        <v>3.8571428571428568</v>
      </c>
      <c r="BE234" s="32">
        <f t="shared" si="67"/>
        <v>5.3999999999999995</v>
      </c>
    </row>
    <row r="235" spans="1:57" ht="25.5" customHeight="1" x14ac:dyDescent="0.25">
      <c r="A235" s="33" t="s">
        <v>717</v>
      </c>
      <c r="B235" s="11" t="s">
        <v>28</v>
      </c>
      <c r="C235" s="34" t="s">
        <v>112</v>
      </c>
      <c r="D235" s="24">
        <f t="shared" si="51"/>
        <v>4</v>
      </c>
      <c r="E235" s="59">
        <f t="shared" si="52"/>
        <v>3.8571428571428568</v>
      </c>
      <c r="F235" s="59">
        <f t="shared" si="53"/>
        <v>5.3999999999999995</v>
      </c>
      <c r="G235" s="11" t="s">
        <v>718</v>
      </c>
      <c r="H235" s="25" t="s">
        <v>106</v>
      </c>
      <c r="I235" s="25" t="s">
        <v>106</v>
      </c>
      <c r="J235" s="26" t="s">
        <v>106</v>
      </c>
      <c r="K235" s="26" t="str">
        <f>IF($AQ235,"#N/D",IFERROR(INDEX(Olimpiadas!$A$2:$A$61,MATCH($AO235,Olimpiadas!$C$2:$C$61,0)),"#N/D"))</f>
        <v>#N/D</v>
      </c>
      <c r="L235" s="26" t="str">
        <f>IF($AQ235,"#N/D",IFERROR(INDEX(Minculturas!$A$2:$A$48,MATCH($AO235,Minculturas!$C$2:$C$48,0)),"#N/D"))</f>
        <v>#N/D</v>
      </c>
      <c r="M235" s="26" t="str">
        <f>IF($AQ235,"#N/D",IFERROR(INDEX(Minculturas!$B$2:$B$48,MATCH($AO235,Minculturas!$C$2:$C$48,0)),"#N/D"))</f>
        <v>#N/D</v>
      </c>
      <c r="N235" s="27">
        <v>13</v>
      </c>
      <c r="O235" s="28">
        <v>1</v>
      </c>
      <c r="P235" s="28">
        <v>0</v>
      </c>
      <c r="Q235" s="28">
        <v>0</v>
      </c>
      <c r="R235" s="28">
        <v>3</v>
      </c>
      <c r="S235" s="28">
        <v>0</v>
      </c>
      <c r="T235" s="28">
        <v>1</v>
      </c>
      <c r="U235" s="28">
        <v>3</v>
      </c>
      <c r="V235" s="28">
        <v>0</v>
      </c>
      <c r="W235" s="28">
        <v>0</v>
      </c>
      <c r="X235" s="28">
        <v>0</v>
      </c>
      <c r="Y235" s="28">
        <v>1</v>
      </c>
      <c r="Z235" s="28">
        <v>0</v>
      </c>
      <c r="AA235" s="28">
        <v>1</v>
      </c>
      <c r="AB235" s="28">
        <v>3</v>
      </c>
      <c r="AC235" s="28">
        <v>0</v>
      </c>
      <c r="AD235" s="28">
        <v>0</v>
      </c>
      <c r="AE235" s="28">
        <v>0</v>
      </c>
      <c r="AF235" s="28">
        <v>0</v>
      </c>
      <c r="AG235" s="27">
        <f t="shared" si="54"/>
        <v>8</v>
      </c>
      <c r="AH235" s="28"/>
      <c r="AI235" s="28"/>
      <c r="AJ235" s="28">
        <v>23.8</v>
      </c>
      <c r="AK235" s="28"/>
      <c r="AL235" s="28"/>
      <c r="AM235" s="29" t="s">
        <v>114</v>
      </c>
      <c r="AO235" t="str">
        <f t="shared" si="55"/>
        <v>santander de quilichao</v>
      </c>
      <c r="AP235" t="str">
        <f t="shared" si="56"/>
        <v>cauca</v>
      </c>
      <c r="AQ235" t="b">
        <f t="shared" si="57"/>
        <v>0</v>
      </c>
      <c r="AR235" t="str">
        <f t="shared" si="58"/>
        <v>santander de quilichao</v>
      </c>
      <c r="AS235" s="30">
        <f t="shared" si="59"/>
        <v>0</v>
      </c>
      <c r="AT235" s="30">
        <f t="shared" si="60"/>
        <v>8</v>
      </c>
      <c r="AU235" s="30">
        <f t="shared" si="61"/>
        <v>3</v>
      </c>
      <c r="AV235" s="30">
        <f t="shared" si="62"/>
        <v>1</v>
      </c>
      <c r="AZ235" s="31">
        <f t="shared" si="63"/>
        <v>0</v>
      </c>
      <c r="BA235" s="31">
        <f t="shared" si="64"/>
        <v>3</v>
      </c>
      <c r="BB235" s="32">
        <f>IFERROR(INDEX('Análisis general'!$E$4:$E$28,MATCH($B235,'Análisis general'!$B$4:$B$28,0)),"")</f>
        <v>13</v>
      </c>
      <c r="BC235" s="31">
        <f t="shared" si="65"/>
        <v>3</v>
      </c>
      <c r="BD235" s="32">
        <f t="shared" si="66"/>
        <v>3.8571428571428568</v>
      </c>
      <c r="BE235" s="32">
        <f t="shared" si="67"/>
        <v>5.3999999999999995</v>
      </c>
    </row>
    <row r="236" spans="1:57" ht="25.5" customHeight="1" x14ac:dyDescent="0.25">
      <c r="A236" s="33" t="s">
        <v>671</v>
      </c>
      <c r="B236" s="11" t="s">
        <v>28</v>
      </c>
      <c r="C236" s="34" t="s">
        <v>112</v>
      </c>
      <c r="D236" s="24">
        <f t="shared" si="51"/>
        <v>4</v>
      </c>
      <c r="E236" s="59">
        <f t="shared" si="52"/>
        <v>3.8571428571428568</v>
      </c>
      <c r="F236" s="59">
        <f t="shared" si="53"/>
        <v>5.3999999999999995</v>
      </c>
      <c r="G236" s="11" t="s">
        <v>19</v>
      </c>
      <c r="H236" s="25" t="str">
        <f>IFERROR(IF($AQ236,INDEX(cpe!$C$2:$C$307,MATCH($AR236,cpe!$F$2:$F$307,0)),INDEX(cpe!$C$2:$C$307,MATCH($AR236,cpe!$D$2:$D$307,0))),"#N/D")</f>
        <v>#N/D</v>
      </c>
      <c r="I236" s="25" t="str">
        <f>IFERROR(IF($AQ236,INDEX(cpe!$B$2:$B$307,MATCH($AR236,cpe!$F$2:$F$307,0)),INDEX(cpe!$B$2:$B$307,MATCH($AR236,cpe!$D$2:$D$307,0))),"#N/D")</f>
        <v>#N/D</v>
      </c>
      <c r="J236" s="26" t="str">
        <f>IF($AQ236,"#N/D",IFERROR(INDEX(Olimpiadas!$B$2:$B$61,MATCH($AO236,Olimpiadas!$C$2:$C$61,0)),"#N/D"))</f>
        <v>#N/D</v>
      </c>
      <c r="K236" s="26" t="str">
        <f>IF($AQ236,"#N/D",IFERROR(INDEX(Olimpiadas!$A$2:$A$61,MATCH($AO236,Olimpiadas!$C$2:$C$61,0)),"#N/D"))</f>
        <v>#N/D</v>
      </c>
      <c r="L236" s="26" t="str">
        <f>IF($AQ236,"#N/D",IFERROR(INDEX(Minculturas!$A$2:$A$48,MATCH($AO236,Minculturas!$C$2:$C$48,0)),"#N/D"))</f>
        <v>#N/D</v>
      </c>
      <c r="M236" s="26" t="str">
        <f>IF($AQ236,"#N/D",IFERROR(INDEX(Minculturas!$B$2:$B$48,MATCH($AO236,Minculturas!$C$2:$C$48,0)),"#N/D"))</f>
        <v>#N/D</v>
      </c>
      <c r="N236" s="27">
        <v>9</v>
      </c>
      <c r="O236" s="28">
        <v>0</v>
      </c>
      <c r="P236" s="28">
        <v>2</v>
      </c>
      <c r="Q236" s="28">
        <v>0</v>
      </c>
      <c r="R236" s="28">
        <v>2</v>
      </c>
      <c r="S236" s="28">
        <v>1</v>
      </c>
      <c r="T236" s="28">
        <v>0</v>
      </c>
      <c r="U236" s="28">
        <v>1</v>
      </c>
      <c r="V236" s="28">
        <v>1</v>
      </c>
      <c r="W236" s="28">
        <v>0</v>
      </c>
      <c r="X236" s="28">
        <v>0</v>
      </c>
      <c r="Y236" s="28">
        <v>1</v>
      </c>
      <c r="Z236" s="28">
        <v>0</v>
      </c>
      <c r="AA236" s="28">
        <v>0</v>
      </c>
      <c r="AB236" s="28">
        <v>1</v>
      </c>
      <c r="AC236" s="28">
        <v>0</v>
      </c>
      <c r="AD236" s="28">
        <v>0</v>
      </c>
      <c r="AE236" s="28">
        <v>0</v>
      </c>
      <c r="AF236" s="28">
        <v>0</v>
      </c>
      <c r="AG236" s="27">
        <f t="shared" si="54"/>
        <v>7</v>
      </c>
      <c r="AH236" s="28"/>
      <c r="AI236" s="28"/>
      <c r="AJ236" s="28">
        <v>29.7</v>
      </c>
      <c r="AK236" s="28"/>
      <c r="AL236" s="28"/>
      <c r="AM236" s="29" t="s">
        <v>114</v>
      </c>
      <c r="AO236" t="str">
        <f t="shared" si="55"/>
        <v>bolivar</v>
      </c>
      <c r="AP236" t="str">
        <f t="shared" si="56"/>
        <v>cauca</v>
      </c>
      <c r="AQ236" t="b">
        <f t="shared" si="57"/>
        <v>1</v>
      </c>
      <c r="AR236" t="str">
        <f t="shared" si="58"/>
        <v>bolivar|cauca</v>
      </c>
      <c r="AS236" s="30">
        <f t="shared" si="59"/>
        <v>0</v>
      </c>
      <c r="AT236" s="30">
        <f t="shared" si="60"/>
        <v>7</v>
      </c>
      <c r="AU236" s="30">
        <f t="shared" si="61"/>
        <v>3</v>
      </c>
      <c r="AV236" s="30">
        <f t="shared" si="62"/>
        <v>1</v>
      </c>
      <c r="AZ236" s="31">
        <f t="shared" si="63"/>
        <v>0</v>
      </c>
      <c r="BA236" s="31">
        <f t="shared" si="64"/>
        <v>3</v>
      </c>
      <c r="BB236" s="32">
        <f>IFERROR(INDEX('Análisis general'!$E$4:$E$28,MATCH($B236,'Análisis general'!$B$4:$B$28,0)),"")</f>
        <v>13</v>
      </c>
      <c r="BC236" s="31">
        <f t="shared" si="65"/>
        <v>3</v>
      </c>
      <c r="BD236" s="32">
        <f t="shared" si="66"/>
        <v>3.8571428571428568</v>
      </c>
      <c r="BE236" s="32">
        <f t="shared" si="67"/>
        <v>5.3999999999999995</v>
      </c>
    </row>
    <row r="237" spans="1:57" ht="25.5" customHeight="1" x14ac:dyDescent="0.25">
      <c r="A237" s="33" t="s">
        <v>229</v>
      </c>
      <c r="B237" s="11" t="s">
        <v>41</v>
      </c>
      <c r="C237" s="34" t="s">
        <v>112</v>
      </c>
      <c r="D237" s="24">
        <f t="shared" si="51"/>
        <v>4</v>
      </c>
      <c r="E237" s="59">
        <f t="shared" si="52"/>
        <v>3.8571428571428568</v>
      </c>
      <c r="F237" s="59">
        <f t="shared" si="53"/>
        <v>5.3999999999999995</v>
      </c>
      <c r="G237" s="11" t="s">
        <v>33</v>
      </c>
      <c r="H237" s="25" t="str">
        <f>IFERROR(IF($AQ237,INDEX(cpe!$C$2:$C$307,MATCH($AR237,cpe!$F$2:$F$307,0)),INDEX(cpe!$C$2:$C$307,MATCH($AR237,cpe!$D$2:$D$307,0))),"#N/D")</f>
        <v>#N/D</v>
      </c>
      <c r="I237" s="25" t="str">
        <f>IFERROR(IF($AQ237,INDEX(cpe!$B$2:$B$307,MATCH($AR237,cpe!$F$2:$F$307,0)),INDEX(cpe!$B$2:$B$307,MATCH($AR237,cpe!$D$2:$D$307,0))),"#N/D")</f>
        <v>#N/D</v>
      </c>
      <c r="J237" s="26" t="str">
        <f>IF($AQ237,"#N/D",IFERROR(INDEX(Olimpiadas!$B$2:$B$61,MATCH($AO237,Olimpiadas!$C$2:$C$61,0)),"#N/D"))</f>
        <v>#N/D</v>
      </c>
      <c r="K237" s="26" t="str">
        <f>IF($AQ237,"#N/D",IFERROR(INDEX(Olimpiadas!$A$2:$A$61,MATCH($AO237,Olimpiadas!$C$2:$C$61,0)),"#N/D"))</f>
        <v>#N/D</v>
      </c>
      <c r="L237" s="26" t="str">
        <f>IF($AQ237,"#N/D",IFERROR(INDEX(Minculturas!$A$2:$A$48,MATCH($AO237,Minculturas!$C$2:$C$48,0)),"#N/D"))</f>
        <v>#N/D</v>
      </c>
      <c r="M237" s="26" t="str">
        <f>IF($AQ237,"#N/D",IFERROR(INDEX(Minculturas!$B$2:$B$48,MATCH($AO237,Minculturas!$C$2:$C$48,0)),"#N/D"))</f>
        <v>#N/D</v>
      </c>
      <c r="N237" s="27">
        <v>7</v>
      </c>
      <c r="O237" s="28">
        <v>0</v>
      </c>
      <c r="P237" s="28">
        <v>2</v>
      </c>
      <c r="Q237" s="28">
        <v>2</v>
      </c>
      <c r="R237" s="28">
        <v>0</v>
      </c>
      <c r="S237" s="28">
        <v>0</v>
      </c>
      <c r="T237" s="28">
        <v>0</v>
      </c>
      <c r="U237" s="28">
        <v>2</v>
      </c>
      <c r="V237" s="28">
        <v>0</v>
      </c>
      <c r="W237" s="28">
        <v>0</v>
      </c>
      <c r="X237" s="28">
        <v>0</v>
      </c>
      <c r="Y237" s="28">
        <v>1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7">
        <f t="shared" si="54"/>
        <v>6</v>
      </c>
      <c r="AH237" s="28"/>
      <c r="AI237" s="28"/>
      <c r="AJ237" s="28">
        <v>30.7</v>
      </c>
      <c r="AK237" s="28"/>
      <c r="AL237" s="28"/>
      <c r="AM237" s="29" t="s">
        <v>230</v>
      </c>
      <c r="AO237" t="str">
        <f t="shared" si="55"/>
        <v>cordoba</v>
      </c>
      <c r="AP237" t="str">
        <f t="shared" si="56"/>
        <v>narino</v>
      </c>
      <c r="AQ237" t="b">
        <f t="shared" si="57"/>
        <v>1</v>
      </c>
      <c r="AR237" t="str">
        <f t="shared" si="58"/>
        <v>cordoba|narino</v>
      </c>
      <c r="AS237" s="30">
        <f t="shared" si="59"/>
        <v>0</v>
      </c>
      <c r="AT237" s="30">
        <f t="shared" si="60"/>
        <v>6</v>
      </c>
      <c r="AU237" s="30">
        <f t="shared" si="61"/>
        <v>3</v>
      </c>
      <c r="AV237" s="30">
        <f t="shared" si="62"/>
        <v>1</v>
      </c>
      <c r="AZ237" s="31">
        <f t="shared" si="63"/>
        <v>0</v>
      </c>
      <c r="BA237" s="31">
        <f t="shared" si="64"/>
        <v>3</v>
      </c>
      <c r="BB237" s="32">
        <f>IFERROR(INDEX('Análisis general'!$E$4:$E$28,MATCH($B237,'Análisis general'!$B$4:$B$28,0)),"")</f>
        <v>13.2</v>
      </c>
      <c r="BC237" s="31">
        <f t="shared" si="65"/>
        <v>3</v>
      </c>
      <c r="BD237" s="32">
        <f t="shared" si="66"/>
        <v>3.8571428571428568</v>
      </c>
      <c r="BE237" s="32">
        <f t="shared" si="67"/>
        <v>5.3999999999999995</v>
      </c>
    </row>
    <row r="238" spans="1:57" ht="25.5" customHeight="1" x14ac:dyDescent="0.25">
      <c r="A238" s="33" t="s">
        <v>669</v>
      </c>
      <c r="B238" s="11" t="s">
        <v>31</v>
      </c>
      <c r="C238" s="34" t="s">
        <v>112</v>
      </c>
      <c r="D238" s="24">
        <f t="shared" si="51"/>
        <v>3</v>
      </c>
      <c r="E238" s="59">
        <f t="shared" si="52"/>
        <v>3.8571428571428568</v>
      </c>
      <c r="F238" s="59">
        <f t="shared" si="53"/>
        <v>5.3999999999999995</v>
      </c>
      <c r="G238" s="11" t="s">
        <v>670</v>
      </c>
      <c r="H238" s="25" t="str">
        <f>IFERROR(IF($AQ238,INDEX(cpe!$C$2:$C$307,MATCH($AR238,cpe!$F$2:$F$307,0)),INDEX(cpe!$C$2:$C$307,MATCH($AR238,cpe!$D$2:$D$307,0))),"#N/D")</f>
        <v>#N/D</v>
      </c>
      <c r="I238" s="25" t="str">
        <f>IFERROR(IF($AQ238,INDEX(cpe!$B$2:$B$307,MATCH($AR238,cpe!$F$2:$F$307,0)),INDEX(cpe!$B$2:$B$307,MATCH($AR238,cpe!$D$2:$D$307,0))),"#N/D")</f>
        <v>#N/D</v>
      </c>
      <c r="J238" s="26" t="str">
        <f>IF($AQ238,"#N/D",IFERROR(INDEX(Olimpiadas!$B$2:$B$61,MATCH($AO238,Olimpiadas!$C$2:$C$61,0)),"#N/D"))</f>
        <v>#N/D</v>
      </c>
      <c r="K238" s="26" t="str">
        <f>IF($AQ238,"#N/D",IFERROR(INDEX(Olimpiadas!$A$2:$A$61,MATCH($AO238,Olimpiadas!$C$2:$C$61,0)),"#N/D"))</f>
        <v>#N/D</v>
      </c>
      <c r="L238" s="26" t="str">
        <f>IF($AQ238,"#N/D",IFERROR(INDEX(Minculturas!$A$2:$A$48,MATCH($AO238,Minculturas!$C$2:$C$48,0)),"#N/D"))</f>
        <v>#N/D</v>
      </c>
      <c r="M238" s="26" t="str">
        <f>IF($AQ238,"#N/D",IFERROR(INDEX(Minculturas!$B$2:$B$48,MATCH($AO238,Minculturas!$C$2:$C$48,0)),"#N/D"))</f>
        <v>#N/D</v>
      </c>
      <c r="N238" s="27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7">
        <f t="shared" si="54"/>
        <v>0</v>
      </c>
      <c r="AH238" s="28"/>
      <c r="AI238" s="28"/>
      <c r="AJ238" s="28">
        <v>77.099999999999994</v>
      </c>
      <c r="AK238" s="28"/>
      <c r="AL238" s="28"/>
      <c r="AM238" s="29" t="s">
        <v>246</v>
      </c>
      <c r="AO238" t="str">
        <f t="shared" si="55"/>
        <v>bojaya</v>
      </c>
      <c r="AP238" t="str">
        <f t="shared" si="56"/>
        <v>choco</v>
      </c>
      <c r="AQ238" t="b">
        <f t="shared" si="57"/>
        <v>0</v>
      </c>
      <c r="AR238" t="str">
        <f t="shared" si="58"/>
        <v>bojaya</v>
      </c>
      <c r="AS238" s="30">
        <f t="shared" si="59"/>
        <v>0</v>
      </c>
      <c r="AT238" s="30">
        <f t="shared" si="60"/>
        <v>0</v>
      </c>
      <c r="AU238" s="30">
        <f t="shared" si="61"/>
        <v>0</v>
      </c>
      <c r="AV238" s="30">
        <f t="shared" si="62"/>
        <v>3</v>
      </c>
      <c r="AZ238" s="31">
        <f t="shared" si="63"/>
        <v>3</v>
      </c>
      <c r="BA238" s="31">
        <f t="shared" si="64"/>
        <v>3</v>
      </c>
      <c r="BB238" s="32">
        <f>IFERROR(INDEX('Análisis general'!$E$4:$E$28,MATCH($B238,'Análisis general'!$B$4:$B$28,0)),"")</f>
        <v>30.8</v>
      </c>
      <c r="BC238" s="31">
        <f t="shared" si="65"/>
        <v>3</v>
      </c>
      <c r="BD238" s="32">
        <f t="shared" si="66"/>
        <v>3.8571428571428568</v>
      </c>
      <c r="BE238" s="32">
        <f t="shared" si="67"/>
        <v>5.3999999999999995</v>
      </c>
    </row>
    <row r="239" spans="1:57" ht="25.5" customHeight="1" x14ac:dyDescent="0.25">
      <c r="A239" s="33" t="s">
        <v>674</v>
      </c>
      <c r="B239" s="11" t="s">
        <v>28</v>
      </c>
      <c r="C239" s="34" t="s">
        <v>112</v>
      </c>
      <c r="D239" s="24">
        <f t="shared" si="51"/>
        <v>3</v>
      </c>
      <c r="E239" s="59">
        <f t="shared" si="52"/>
        <v>3.8571428571428568</v>
      </c>
      <c r="F239" s="59">
        <f t="shared" si="53"/>
        <v>5.3999999999999995</v>
      </c>
      <c r="G239" s="11" t="s">
        <v>675</v>
      </c>
      <c r="H239" s="25" t="str">
        <f>IFERROR(IF($AQ239,INDEX(cpe!$C$2:$C$307,MATCH($AR239,cpe!$F$2:$F$307,0)),INDEX(cpe!$C$2:$C$307,MATCH($AR239,cpe!$D$2:$D$307,0))),"#N/D")</f>
        <v>#N/D</v>
      </c>
      <c r="I239" s="25" t="str">
        <f>IFERROR(IF($AQ239,INDEX(cpe!$B$2:$B$307,MATCH($AR239,cpe!$F$2:$F$307,0)),INDEX(cpe!$B$2:$B$307,MATCH($AR239,cpe!$D$2:$D$307,0))),"#N/D")</f>
        <v>#N/D</v>
      </c>
      <c r="J239" s="26" t="str">
        <f>IF($AQ239,"#N/D",IFERROR(INDEX(Olimpiadas!$B$2:$B$61,MATCH($AO239,Olimpiadas!$C$2:$C$61,0)),"#N/D"))</f>
        <v>#N/D</v>
      </c>
      <c r="K239" s="26" t="str">
        <f>IF($AQ239,"#N/D",IFERROR(INDEX(Olimpiadas!$A$2:$A$61,MATCH($AO239,Olimpiadas!$C$2:$C$61,0)),"#N/D"))</f>
        <v>#N/D</v>
      </c>
      <c r="L239" s="26" t="str">
        <f>IF($AQ239,"#N/D",IFERROR(INDEX(Minculturas!$A$2:$A$48,MATCH($AO239,Minculturas!$C$2:$C$48,0)),"#N/D"))</f>
        <v>#N/D</v>
      </c>
      <c r="M239" s="26" t="str">
        <f>IF($AQ239,"#N/D",IFERROR(INDEX(Minculturas!$B$2:$B$48,MATCH($AO239,Minculturas!$C$2:$C$48,0)),"#N/D"))</f>
        <v>#N/D</v>
      </c>
      <c r="N239" s="27">
        <v>1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1</v>
      </c>
      <c r="AC239" s="28">
        <v>0</v>
      </c>
      <c r="AD239" s="28">
        <v>0</v>
      </c>
      <c r="AE239" s="28">
        <v>0</v>
      </c>
      <c r="AF239" s="28">
        <v>0</v>
      </c>
      <c r="AG239" s="27">
        <f t="shared" si="54"/>
        <v>0</v>
      </c>
      <c r="AH239" s="28"/>
      <c r="AI239" s="28"/>
      <c r="AJ239" s="28">
        <v>37.4</v>
      </c>
      <c r="AK239" s="28"/>
      <c r="AL239" s="28"/>
      <c r="AM239" s="29" t="s">
        <v>114</v>
      </c>
      <c r="AO239" t="str">
        <f t="shared" si="55"/>
        <v>caloto</v>
      </c>
      <c r="AP239" t="str">
        <f t="shared" si="56"/>
        <v>cauca</v>
      </c>
      <c r="AQ239" t="b">
        <f t="shared" si="57"/>
        <v>0</v>
      </c>
      <c r="AR239" t="str">
        <f t="shared" si="58"/>
        <v>caloto</v>
      </c>
      <c r="AS239" s="30">
        <f t="shared" si="59"/>
        <v>0</v>
      </c>
      <c r="AT239" s="30">
        <f t="shared" si="60"/>
        <v>0</v>
      </c>
      <c r="AU239" s="30">
        <f t="shared" si="61"/>
        <v>0</v>
      </c>
      <c r="AV239" s="30">
        <f t="shared" si="62"/>
        <v>3</v>
      </c>
      <c r="AZ239" s="31">
        <f t="shared" si="63"/>
        <v>3</v>
      </c>
      <c r="BA239" s="31">
        <f t="shared" si="64"/>
        <v>3</v>
      </c>
      <c r="BB239" s="32">
        <f>IFERROR(INDEX('Análisis general'!$E$4:$E$28,MATCH($B239,'Análisis general'!$B$4:$B$28,0)),"")</f>
        <v>13</v>
      </c>
      <c r="BC239" s="31">
        <f t="shared" si="65"/>
        <v>3</v>
      </c>
      <c r="BD239" s="32">
        <f t="shared" si="66"/>
        <v>3.8571428571428568</v>
      </c>
      <c r="BE239" s="32">
        <f t="shared" si="67"/>
        <v>5.3999999999999995</v>
      </c>
    </row>
    <row r="240" spans="1:57" ht="25.5" customHeight="1" x14ac:dyDescent="0.25">
      <c r="A240" s="33" t="s">
        <v>676</v>
      </c>
      <c r="B240" s="11" t="s">
        <v>28</v>
      </c>
      <c r="C240" s="34" t="s">
        <v>112</v>
      </c>
      <c r="D240" s="24">
        <f t="shared" si="51"/>
        <v>3</v>
      </c>
      <c r="E240" s="59">
        <f t="shared" si="52"/>
        <v>3.8571428571428568</v>
      </c>
      <c r="F240" s="59">
        <f t="shared" si="53"/>
        <v>5.3999999999999995</v>
      </c>
      <c r="G240" s="11" t="s">
        <v>677</v>
      </c>
      <c r="H240" s="25" t="str">
        <f>IFERROR(IF($AQ240,INDEX(cpe!$C$2:$C$307,MATCH($AR240,cpe!$F$2:$F$307,0)),INDEX(cpe!$C$2:$C$307,MATCH($AR240,cpe!$D$2:$D$307,0))),"#N/D")</f>
        <v>#N/D</v>
      </c>
      <c r="I240" s="25" t="str">
        <f>IFERROR(IF($AQ240,INDEX(cpe!$B$2:$B$307,MATCH($AR240,cpe!$F$2:$F$307,0)),INDEX(cpe!$B$2:$B$307,MATCH($AR240,cpe!$D$2:$D$307,0))),"#N/D")</f>
        <v>#N/D</v>
      </c>
      <c r="J240" s="26" t="str">
        <f>IF($AQ240,"#N/D",IFERROR(INDEX(Olimpiadas!$B$2:$B$61,MATCH($AO240,Olimpiadas!$C$2:$C$61,0)),"#N/D"))</f>
        <v>#N/D</v>
      </c>
      <c r="K240" s="26" t="str">
        <f>IF($AQ240,"#N/D",IFERROR(INDEX(Olimpiadas!$A$2:$A$61,MATCH($AO240,Olimpiadas!$C$2:$C$61,0)),"#N/D"))</f>
        <v>#N/D</v>
      </c>
      <c r="L240" s="26" t="str">
        <f>IF($AQ240,"#N/D",IFERROR(INDEX(Minculturas!$A$2:$A$48,MATCH($AO240,Minculturas!$C$2:$C$48,0)),"#N/D"))</f>
        <v>#N/D</v>
      </c>
      <c r="M240" s="26" t="str">
        <f>IF($AQ240,"#N/D",IFERROR(INDEX(Minculturas!$B$2:$B$48,MATCH($AO240,Minculturas!$C$2:$C$48,0)),"#N/D"))</f>
        <v>#N/D</v>
      </c>
      <c r="N240" s="27">
        <v>1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1</v>
      </c>
      <c r="AC240" s="28">
        <v>0</v>
      </c>
      <c r="AD240" s="28">
        <v>0</v>
      </c>
      <c r="AE240" s="28">
        <v>0</v>
      </c>
      <c r="AF240" s="28">
        <v>0</v>
      </c>
      <c r="AG240" s="27">
        <f t="shared" si="54"/>
        <v>0</v>
      </c>
      <c r="AH240" s="28"/>
      <c r="AI240" s="28"/>
      <c r="AJ240" s="28">
        <v>36.299999999999997</v>
      </c>
      <c r="AK240" s="28"/>
      <c r="AL240" s="28"/>
      <c r="AM240" s="29" t="s">
        <v>114</v>
      </c>
      <c r="AO240" t="str">
        <f t="shared" si="55"/>
        <v>florencia</v>
      </c>
      <c r="AP240" t="str">
        <f t="shared" si="56"/>
        <v>cauca</v>
      </c>
      <c r="AQ240" t="b">
        <f t="shared" si="57"/>
        <v>1</v>
      </c>
      <c r="AR240" t="str">
        <f t="shared" si="58"/>
        <v>florencia|cauca</v>
      </c>
      <c r="AS240" s="30">
        <f t="shared" si="59"/>
        <v>0</v>
      </c>
      <c r="AT240" s="30">
        <f t="shared" si="60"/>
        <v>0</v>
      </c>
      <c r="AU240" s="30">
        <f t="shared" si="61"/>
        <v>0</v>
      </c>
      <c r="AV240" s="30">
        <f t="shared" si="62"/>
        <v>3</v>
      </c>
      <c r="AZ240" s="31">
        <f t="shared" si="63"/>
        <v>3</v>
      </c>
      <c r="BA240" s="31">
        <f t="shared" si="64"/>
        <v>3</v>
      </c>
      <c r="BB240" s="32">
        <f>IFERROR(INDEX('Análisis general'!$E$4:$E$28,MATCH($B240,'Análisis general'!$B$4:$B$28,0)),"")</f>
        <v>13</v>
      </c>
      <c r="BC240" s="31">
        <f t="shared" si="65"/>
        <v>3</v>
      </c>
      <c r="BD240" s="32">
        <f t="shared" si="66"/>
        <v>3.8571428571428568</v>
      </c>
      <c r="BE240" s="32">
        <f t="shared" si="67"/>
        <v>5.3999999999999995</v>
      </c>
    </row>
    <row r="241" spans="1:57" ht="25.5" customHeight="1" x14ac:dyDescent="0.25">
      <c r="A241" s="33" t="s">
        <v>678</v>
      </c>
      <c r="B241" s="11" t="s">
        <v>28</v>
      </c>
      <c r="C241" s="34" t="s">
        <v>112</v>
      </c>
      <c r="D241" s="24">
        <f t="shared" si="51"/>
        <v>3</v>
      </c>
      <c r="E241" s="59">
        <f t="shared" si="52"/>
        <v>3.8571428571428568</v>
      </c>
      <c r="F241" s="59">
        <f t="shared" si="53"/>
        <v>5.3999999999999995</v>
      </c>
      <c r="G241" s="11" t="s">
        <v>679</v>
      </c>
      <c r="H241" s="25" t="str">
        <f>IFERROR(IF($AQ241,INDEX(cpe!$C$2:$C$307,MATCH($AR241,cpe!$F$2:$F$307,0)),INDEX(cpe!$C$2:$C$307,MATCH($AR241,cpe!$D$2:$D$307,0))),"#N/D")</f>
        <v>#N/D</v>
      </c>
      <c r="I241" s="25" t="str">
        <f>IFERROR(IF($AQ241,INDEX(cpe!$B$2:$B$307,MATCH($AR241,cpe!$F$2:$F$307,0)),INDEX(cpe!$B$2:$B$307,MATCH($AR241,cpe!$D$2:$D$307,0))),"#N/D")</f>
        <v>#N/D</v>
      </c>
      <c r="J241" s="26" t="str">
        <f>IF($AQ241,"#N/D",IFERROR(INDEX(Olimpiadas!$B$2:$B$61,MATCH($AO241,Olimpiadas!$C$2:$C$61,0)),"#N/D"))</f>
        <v>#N/D</v>
      </c>
      <c r="K241" s="26" t="str">
        <f>IF($AQ241,"#N/D",IFERROR(INDEX(Olimpiadas!$A$2:$A$61,MATCH($AO241,Olimpiadas!$C$2:$C$61,0)),"#N/D"))</f>
        <v>#N/D</v>
      </c>
      <c r="L241" s="26" t="str">
        <f>IF($AQ241,"#N/D",IFERROR(INDEX(Minculturas!$A$2:$A$48,MATCH($AO241,Minculturas!$C$2:$C$48,0)),"#N/D"))</f>
        <v>#N/D</v>
      </c>
      <c r="M241" s="26" t="str">
        <f>IF($AQ241,"#N/D",IFERROR(INDEX(Minculturas!$B$2:$B$48,MATCH($AO241,Minculturas!$C$2:$C$48,0)),"#N/D"))</f>
        <v>#N/D</v>
      </c>
      <c r="N241" s="27">
        <v>1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1</v>
      </c>
      <c r="AC241" s="28">
        <v>0</v>
      </c>
      <c r="AD241" s="28">
        <v>0</v>
      </c>
      <c r="AE241" s="28">
        <v>0</v>
      </c>
      <c r="AF241" s="28">
        <v>0</v>
      </c>
      <c r="AG241" s="27">
        <f t="shared" si="54"/>
        <v>0</v>
      </c>
      <c r="AH241" s="28"/>
      <c r="AI241" s="28"/>
      <c r="AJ241" s="28">
        <v>59</v>
      </c>
      <c r="AK241" s="28"/>
      <c r="AL241" s="28"/>
      <c r="AM241" s="29" t="s">
        <v>114</v>
      </c>
      <c r="AO241" t="str">
        <f t="shared" si="55"/>
        <v>inza</v>
      </c>
      <c r="AP241" t="str">
        <f t="shared" si="56"/>
        <v>cauca</v>
      </c>
      <c r="AQ241" t="b">
        <f t="shared" si="57"/>
        <v>0</v>
      </c>
      <c r="AR241" t="str">
        <f t="shared" si="58"/>
        <v>inza</v>
      </c>
      <c r="AS241" s="30">
        <f t="shared" si="59"/>
        <v>0</v>
      </c>
      <c r="AT241" s="30">
        <f t="shared" si="60"/>
        <v>0</v>
      </c>
      <c r="AU241" s="30">
        <f t="shared" si="61"/>
        <v>0</v>
      </c>
      <c r="AV241" s="30">
        <f t="shared" si="62"/>
        <v>3</v>
      </c>
      <c r="AZ241" s="31">
        <f t="shared" si="63"/>
        <v>3</v>
      </c>
      <c r="BA241" s="31">
        <f t="shared" si="64"/>
        <v>3</v>
      </c>
      <c r="BB241" s="32">
        <f>IFERROR(INDEX('Análisis general'!$E$4:$E$28,MATCH($B241,'Análisis general'!$B$4:$B$28,0)),"")</f>
        <v>13</v>
      </c>
      <c r="BC241" s="31">
        <f t="shared" si="65"/>
        <v>3</v>
      </c>
      <c r="BD241" s="32">
        <f t="shared" si="66"/>
        <v>3.8571428571428568</v>
      </c>
      <c r="BE241" s="32">
        <f t="shared" si="67"/>
        <v>5.3999999999999995</v>
      </c>
    </row>
    <row r="242" spans="1:57" ht="25.5" customHeight="1" x14ac:dyDescent="0.25">
      <c r="A242" s="33" t="s">
        <v>680</v>
      </c>
      <c r="B242" s="11" t="s">
        <v>28</v>
      </c>
      <c r="C242" s="34" t="s">
        <v>112</v>
      </c>
      <c r="D242" s="24">
        <f t="shared" si="51"/>
        <v>3</v>
      </c>
      <c r="E242" s="59">
        <f t="shared" si="52"/>
        <v>3.8571428571428568</v>
      </c>
      <c r="F242" s="59">
        <f t="shared" si="53"/>
        <v>5.3999999999999995</v>
      </c>
      <c r="G242" s="11" t="s">
        <v>681</v>
      </c>
      <c r="H242" s="25" t="str">
        <f>IFERROR(IF($AQ242,INDEX(cpe!$C$2:$C$307,MATCH($AR242,cpe!$F$2:$F$307,0)),INDEX(cpe!$C$2:$C$307,MATCH($AR242,cpe!$D$2:$D$307,0))),"#N/D")</f>
        <v>#N/D</v>
      </c>
      <c r="I242" s="25" t="str">
        <f>IFERROR(IF($AQ242,INDEX(cpe!$B$2:$B$307,MATCH($AR242,cpe!$F$2:$F$307,0)),INDEX(cpe!$B$2:$B$307,MATCH($AR242,cpe!$D$2:$D$307,0))),"#N/D")</f>
        <v>#N/D</v>
      </c>
      <c r="J242" s="26" t="str">
        <f>IF($AQ242,"#N/D",IFERROR(INDEX(Olimpiadas!$B$2:$B$61,MATCH($AO242,Olimpiadas!$C$2:$C$61,0)),"#N/D"))</f>
        <v>#N/D</v>
      </c>
      <c r="K242" s="26" t="str">
        <f>IF($AQ242,"#N/D",IFERROR(INDEX(Olimpiadas!$A$2:$A$61,MATCH($AO242,Olimpiadas!$C$2:$C$61,0)),"#N/D"))</f>
        <v>#N/D</v>
      </c>
      <c r="L242" s="26" t="str">
        <f>IF($AQ242,"#N/D",IFERROR(INDEX(Minculturas!$A$2:$A$48,MATCH($AO242,Minculturas!$C$2:$C$48,0)),"#N/D"))</f>
        <v>#N/D</v>
      </c>
      <c r="M242" s="26" t="str">
        <f>IF($AQ242,"#N/D",IFERROR(INDEX(Minculturas!$B$2:$B$48,MATCH($AO242,Minculturas!$C$2:$C$48,0)),"#N/D"))</f>
        <v>#N/D</v>
      </c>
      <c r="N242" s="27">
        <v>1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1</v>
      </c>
      <c r="AC242" s="28">
        <v>0</v>
      </c>
      <c r="AD242" s="28">
        <v>0</v>
      </c>
      <c r="AE242" s="28">
        <v>0</v>
      </c>
      <c r="AF242" s="28">
        <v>0</v>
      </c>
      <c r="AG242" s="27">
        <f t="shared" si="54"/>
        <v>0</v>
      </c>
      <c r="AH242" s="28"/>
      <c r="AI242" s="28"/>
      <c r="AJ242" s="28">
        <v>46.5</v>
      </c>
      <c r="AK242" s="28"/>
      <c r="AL242" s="28"/>
      <c r="AM242" s="29" t="s">
        <v>246</v>
      </c>
      <c r="AO242" t="str">
        <f t="shared" si="55"/>
        <v>jambalo</v>
      </c>
      <c r="AP242" t="str">
        <f t="shared" si="56"/>
        <v>cauca</v>
      </c>
      <c r="AQ242" t="b">
        <f t="shared" si="57"/>
        <v>0</v>
      </c>
      <c r="AR242" t="str">
        <f t="shared" si="58"/>
        <v>jambalo</v>
      </c>
      <c r="AS242" s="30">
        <f t="shared" si="59"/>
        <v>0</v>
      </c>
      <c r="AT242" s="30">
        <f t="shared" si="60"/>
        <v>0</v>
      </c>
      <c r="AU242" s="30">
        <f t="shared" si="61"/>
        <v>0</v>
      </c>
      <c r="AV242" s="30">
        <f t="shared" si="62"/>
        <v>3</v>
      </c>
      <c r="AZ242" s="31">
        <f t="shared" si="63"/>
        <v>3</v>
      </c>
      <c r="BA242" s="31">
        <f t="shared" si="64"/>
        <v>3</v>
      </c>
      <c r="BB242" s="32">
        <f>IFERROR(INDEX('Análisis general'!$E$4:$E$28,MATCH($B242,'Análisis general'!$B$4:$B$28,0)),"")</f>
        <v>13</v>
      </c>
      <c r="BC242" s="31">
        <f t="shared" si="65"/>
        <v>3</v>
      </c>
      <c r="BD242" s="32">
        <f t="shared" si="66"/>
        <v>3.8571428571428568</v>
      </c>
      <c r="BE242" s="32">
        <f t="shared" si="67"/>
        <v>5.3999999999999995</v>
      </c>
    </row>
    <row r="243" spans="1:57" ht="25.5" customHeight="1" x14ac:dyDescent="0.25">
      <c r="A243" s="33" t="s">
        <v>682</v>
      </c>
      <c r="B243" s="11" t="s">
        <v>28</v>
      </c>
      <c r="C243" s="34" t="s">
        <v>112</v>
      </c>
      <c r="D243" s="24">
        <f t="shared" si="51"/>
        <v>3</v>
      </c>
      <c r="E243" s="59">
        <f t="shared" si="52"/>
        <v>3.8571428571428568</v>
      </c>
      <c r="F243" s="59">
        <f t="shared" si="53"/>
        <v>5.3999999999999995</v>
      </c>
      <c r="G243" s="11" t="s">
        <v>683</v>
      </c>
      <c r="H243" s="25" t="str">
        <f>IFERROR(IF($AQ243,INDEX(cpe!$C$2:$C$307,MATCH($AR243,cpe!$F$2:$F$307,0)),INDEX(cpe!$C$2:$C$307,MATCH($AR243,cpe!$D$2:$D$307,0))),"#N/D")</f>
        <v>#N/D</v>
      </c>
      <c r="I243" s="25" t="str">
        <f>IFERROR(IF($AQ243,INDEX(cpe!$B$2:$B$307,MATCH($AR243,cpe!$F$2:$F$307,0)),INDEX(cpe!$B$2:$B$307,MATCH($AR243,cpe!$D$2:$D$307,0))),"#N/D")</f>
        <v>#N/D</v>
      </c>
      <c r="J243" s="26" t="str">
        <f>IF($AQ243,"#N/D",IFERROR(INDEX(Olimpiadas!$B$2:$B$61,MATCH($AO243,Olimpiadas!$C$2:$C$61,0)),"#N/D"))</f>
        <v>#N/D</v>
      </c>
      <c r="K243" s="26" t="str">
        <f>IF($AQ243,"#N/D",IFERROR(INDEX(Olimpiadas!$A$2:$A$61,MATCH($AO243,Olimpiadas!$C$2:$C$61,0)),"#N/D"))</f>
        <v>#N/D</v>
      </c>
      <c r="L243" s="26" t="str">
        <f>IF($AQ243,"#N/D",IFERROR(INDEX(Minculturas!$A$2:$A$48,MATCH($AO243,Minculturas!$C$2:$C$48,0)),"#N/D"))</f>
        <v>#N/D</v>
      </c>
      <c r="M243" s="26" t="str">
        <f>IF($AQ243,"#N/D",IFERROR(INDEX(Minculturas!$B$2:$B$48,MATCH($AO243,Minculturas!$C$2:$C$48,0)),"#N/D"))</f>
        <v>#N/D</v>
      </c>
      <c r="N243" s="27">
        <v>1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1</v>
      </c>
      <c r="AC243" s="28">
        <v>0</v>
      </c>
      <c r="AD243" s="28">
        <v>0</v>
      </c>
      <c r="AE243" s="28">
        <v>0</v>
      </c>
      <c r="AF243" s="28">
        <v>0</v>
      </c>
      <c r="AG243" s="27">
        <f t="shared" si="54"/>
        <v>0</v>
      </c>
      <c r="AH243" s="28"/>
      <c r="AI243" s="28"/>
      <c r="AJ243" s="28">
        <v>53.6</v>
      </c>
      <c r="AK243" s="28"/>
      <c r="AL243" s="28"/>
      <c r="AM243" s="29" t="s">
        <v>114</v>
      </c>
      <c r="AO243" t="str">
        <f t="shared" si="55"/>
        <v>la sierra</v>
      </c>
      <c r="AP243" t="str">
        <f t="shared" si="56"/>
        <v>cauca</v>
      </c>
      <c r="AQ243" t="b">
        <f t="shared" si="57"/>
        <v>0</v>
      </c>
      <c r="AR243" t="str">
        <f t="shared" si="58"/>
        <v>la sierra</v>
      </c>
      <c r="AS243" s="30">
        <f t="shared" si="59"/>
        <v>0</v>
      </c>
      <c r="AT243" s="30">
        <f t="shared" si="60"/>
        <v>0</v>
      </c>
      <c r="AU243" s="30">
        <f t="shared" si="61"/>
        <v>0</v>
      </c>
      <c r="AV243" s="30">
        <f t="shared" si="62"/>
        <v>3</v>
      </c>
      <c r="AZ243" s="31">
        <f t="shared" si="63"/>
        <v>3</v>
      </c>
      <c r="BA243" s="31">
        <f t="shared" si="64"/>
        <v>3</v>
      </c>
      <c r="BB243" s="32">
        <f>IFERROR(INDEX('Análisis general'!$E$4:$E$28,MATCH($B243,'Análisis general'!$B$4:$B$28,0)),"")</f>
        <v>13</v>
      </c>
      <c r="BC243" s="31">
        <f t="shared" si="65"/>
        <v>3</v>
      </c>
      <c r="BD243" s="32">
        <f t="shared" si="66"/>
        <v>3.8571428571428568</v>
      </c>
      <c r="BE243" s="32">
        <f t="shared" si="67"/>
        <v>5.3999999999999995</v>
      </c>
    </row>
    <row r="244" spans="1:57" ht="25.5" customHeight="1" x14ac:dyDescent="0.25">
      <c r="A244" s="33" t="s">
        <v>684</v>
      </c>
      <c r="B244" s="11" t="s">
        <v>28</v>
      </c>
      <c r="C244" s="34" t="s">
        <v>112</v>
      </c>
      <c r="D244" s="24">
        <f t="shared" si="51"/>
        <v>3</v>
      </c>
      <c r="E244" s="59">
        <f t="shared" si="52"/>
        <v>3.8571428571428568</v>
      </c>
      <c r="F244" s="59">
        <f t="shared" si="53"/>
        <v>5.3999999999999995</v>
      </c>
      <c r="G244" s="11" t="s">
        <v>685</v>
      </c>
      <c r="H244" s="25" t="str">
        <f>IFERROR(IF($AQ244,INDEX(cpe!$C$2:$C$307,MATCH($AR244,cpe!$F$2:$F$307,0)),INDEX(cpe!$C$2:$C$307,MATCH($AR244,cpe!$D$2:$D$307,0))),"#N/D")</f>
        <v>#N/D</v>
      </c>
      <c r="I244" s="25" t="str">
        <f>IFERROR(IF($AQ244,INDEX(cpe!$B$2:$B$307,MATCH($AR244,cpe!$F$2:$F$307,0)),INDEX(cpe!$B$2:$B$307,MATCH($AR244,cpe!$D$2:$D$307,0))),"#N/D")</f>
        <v>#N/D</v>
      </c>
      <c r="J244" s="26" t="str">
        <f>IF($AQ244,"#N/D",IFERROR(INDEX(Olimpiadas!$B$2:$B$61,MATCH($AO244,Olimpiadas!$C$2:$C$61,0)),"#N/D"))</f>
        <v>#N/D</v>
      </c>
      <c r="K244" s="26" t="str">
        <f>IF($AQ244,"#N/D",IFERROR(INDEX(Olimpiadas!$A$2:$A$61,MATCH($AO244,Olimpiadas!$C$2:$C$61,0)),"#N/D"))</f>
        <v>#N/D</v>
      </c>
      <c r="L244" s="26" t="str">
        <f>IF($AQ244,"#N/D",IFERROR(INDEX(Minculturas!$A$2:$A$48,MATCH($AO244,Minculturas!$C$2:$C$48,0)),"#N/D"))</f>
        <v>#N/D</v>
      </c>
      <c r="M244" s="26" t="str">
        <f>IF($AQ244,"#N/D",IFERROR(INDEX(Minculturas!$B$2:$B$48,MATCH($AO244,Minculturas!$C$2:$C$48,0)),"#N/D"))</f>
        <v>#N/D</v>
      </c>
      <c r="N244" s="27">
        <v>1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1</v>
      </c>
      <c r="AC244" s="28">
        <v>0</v>
      </c>
      <c r="AD244" s="28">
        <v>0</v>
      </c>
      <c r="AE244" s="28">
        <v>0</v>
      </c>
      <c r="AF244" s="28">
        <v>0</v>
      </c>
      <c r="AG244" s="27">
        <f t="shared" si="54"/>
        <v>0</v>
      </c>
      <c r="AH244" s="28"/>
      <c r="AI244" s="28"/>
      <c r="AJ244" s="28">
        <v>56.7</v>
      </c>
      <c r="AK244" s="28"/>
      <c r="AL244" s="28"/>
      <c r="AM244" s="29" t="s">
        <v>114</v>
      </c>
      <c r="AO244" t="str">
        <f t="shared" si="55"/>
        <v>la vega</v>
      </c>
      <c r="AP244" t="str">
        <f t="shared" si="56"/>
        <v>cauca</v>
      </c>
      <c r="AQ244" t="b">
        <f t="shared" si="57"/>
        <v>0</v>
      </c>
      <c r="AR244" t="str">
        <f t="shared" si="58"/>
        <v>la vega</v>
      </c>
      <c r="AS244" s="30">
        <f t="shared" si="59"/>
        <v>0</v>
      </c>
      <c r="AT244" s="30">
        <f t="shared" si="60"/>
        <v>0</v>
      </c>
      <c r="AU244" s="30">
        <f t="shared" si="61"/>
        <v>0</v>
      </c>
      <c r="AV244" s="30">
        <f t="shared" si="62"/>
        <v>3</v>
      </c>
      <c r="AZ244" s="31">
        <f t="shared" si="63"/>
        <v>3</v>
      </c>
      <c r="BA244" s="31">
        <f t="shared" si="64"/>
        <v>3</v>
      </c>
      <c r="BB244" s="32">
        <f>IFERROR(INDEX('Análisis general'!$E$4:$E$28,MATCH($B244,'Análisis general'!$B$4:$B$28,0)),"")</f>
        <v>13</v>
      </c>
      <c r="BC244" s="31">
        <f t="shared" si="65"/>
        <v>3</v>
      </c>
      <c r="BD244" s="32">
        <f t="shared" si="66"/>
        <v>3.8571428571428568</v>
      </c>
      <c r="BE244" s="32">
        <f t="shared" si="67"/>
        <v>5.3999999999999995</v>
      </c>
    </row>
    <row r="245" spans="1:57" ht="25.5" customHeight="1" x14ac:dyDescent="0.25">
      <c r="A245" s="33" t="s">
        <v>686</v>
      </c>
      <c r="B245" s="11" t="s">
        <v>28</v>
      </c>
      <c r="C245" s="34" t="s">
        <v>112</v>
      </c>
      <c r="D245" s="24">
        <f t="shared" si="51"/>
        <v>3</v>
      </c>
      <c r="E245" s="59">
        <f t="shared" si="52"/>
        <v>3.8571428571428568</v>
      </c>
      <c r="F245" s="59">
        <f t="shared" si="53"/>
        <v>5.3999999999999995</v>
      </c>
      <c r="G245" s="11" t="s">
        <v>687</v>
      </c>
      <c r="H245" s="25" t="str">
        <f>IFERROR(IF($AQ245,INDEX(cpe!$C$2:$C$307,MATCH($AR245,cpe!$F$2:$F$307,0)),INDEX(cpe!$C$2:$C$307,MATCH($AR245,cpe!$D$2:$D$307,0))),"#N/D")</f>
        <v>#N/D</v>
      </c>
      <c r="I245" s="25" t="str">
        <f>IFERROR(IF($AQ245,INDEX(cpe!$B$2:$B$307,MATCH($AR245,cpe!$F$2:$F$307,0)),INDEX(cpe!$B$2:$B$307,MATCH($AR245,cpe!$D$2:$D$307,0))),"#N/D")</f>
        <v>#N/D</v>
      </c>
      <c r="J245" s="26" t="str">
        <f>IF($AQ245,"#N/D",IFERROR(INDEX(Olimpiadas!$B$2:$B$61,MATCH($AO245,Olimpiadas!$C$2:$C$61,0)),"#N/D"))</f>
        <v>#N/D</v>
      </c>
      <c r="K245" s="26" t="str">
        <f>IF($AQ245,"#N/D",IFERROR(INDEX(Olimpiadas!$A$2:$A$61,MATCH($AO245,Olimpiadas!$C$2:$C$61,0)),"#N/D"))</f>
        <v>#N/D</v>
      </c>
      <c r="L245" s="26" t="str">
        <f>IF($AQ245,"#N/D",IFERROR(INDEX(Minculturas!$A$2:$A$48,MATCH($AO245,Minculturas!$C$2:$C$48,0)),"#N/D"))</f>
        <v>#N/D</v>
      </c>
      <c r="M245" s="26" t="str">
        <f>IF($AQ245,"#N/D",IFERROR(INDEX(Minculturas!$B$2:$B$48,MATCH($AO245,Minculturas!$C$2:$C$48,0)),"#N/D"))</f>
        <v>#N/D</v>
      </c>
      <c r="N245" s="27">
        <v>1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1</v>
      </c>
      <c r="AC245" s="28">
        <v>0</v>
      </c>
      <c r="AD245" s="28">
        <v>0</v>
      </c>
      <c r="AE245" s="28">
        <v>0</v>
      </c>
      <c r="AF245" s="28">
        <v>0</v>
      </c>
      <c r="AG245" s="27">
        <f t="shared" si="54"/>
        <v>0</v>
      </c>
      <c r="AH245" s="28"/>
      <c r="AI245" s="28"/>
      <c r="AJ245" s="28">
        <v>81.2</v>
      </c>
      <c r="AK245" s="28"/>
      <c r="AL245" s="28"/>
      <c r="AM245" s="29" t="s">
        <v>114</v>
      </c>
      <c r="AO245" t="str">
        <f t="shared" si="55"/>
        <v>lopez de micay</v>
      </c>
      <c r="AP245" t="str">
        <f t="shared" si="56"/>
        <v>cauca</v>
      </c>
      <c r="AQ245" t="b">
        <f t="shared" si="57"/>
        <v>0</v>
      </c>
      <c r="AR245" t="str">
        <f t="shared" si="58"/>
        <v>lopez de micay</v>
      </c>
      <c r="AS245" s="30">
        <f t="shared" si="59"/>
        <v>0</v>
      </c>
      <c r="AT245" s="30">
        <f t="shared" si="60"/>
        <v>0</v>
      </c>
      <c r="AU245" s="30">
        <f t="shared" si="61"/>
        <v>0</v>
      </c>
      <c r="AV245" s="30">
        <f t="shared" si="62"/>
        <v>3</v>
      </c>
      <c r="AZ245" s="31">
        <f t="shared" si="63"/>
        <v>3</v>
      </c>
      <c r="BA245" s="31">
        <f t="shared" si="64"/>
        <v>3</v>
      </c>
      <c r="BB245" s="32">
        <f>IFERROR(INDEX('Análisis general'!$E$4:$E$28,MATCH($B245,'Análisis general'!$B$4:$B$28,0)),"")</f>
        <v>13</v>
      </c>
      <c r="BC245" s="31">
        <f t="shared" si="65"/>
        <v>3</v>
      </c>
      <c r="BD245" s="32">
        <f t="shared" si="66"/>
        <v>3.8571428571428568</v>
      </c>
      <c r="BE245" s="32">
        <f t="shared" si="67"/>
        <v>5.3999999999999995</v>
      </c>
    </row>
    <row r="246" spans="1:57" ht="25.5" customHeight="1" x14ac:dyDescent="0.25">
      <c r="A246" s="33" t="s">
        <v>688</v>
      </c>
      <c r="B246" s="11" t="s">
        <v>42</v>
      </c>
      <c r="C246" s="34" t="s">
        <v>112</v>
      </c>
      <c r="D246" s="24">
        <f t="shared" si="51"/>
        <v>3</v>
      </c>
      <c r="E246" s="59">
        <f t="shared" si="52"/>
        <v>3.8571428571428568</v>
      </c>
      <c r="F246" s="59">
        <f t="shared" si="53"/>
        <v>5.3999999999999995</v>
      </c>
      <c r="G246" s="11" t="s">
        <v>689</v>
      </c>
      <c r="H246" s="25" t="str">
        <f>IFERROR(IF($AQ246,INDEX(cpe!$C$2:$C$307,MATCH($AR246,cpe!$F$2:$F$307,0)),INDEX(cpe!$C$2:$C$307,MATCH($AR246,cpe!$D$2:$D$307,0))),"#N/D")</f>
        <v>#N/D</v>
      </c>
      <c r="I246" s="25" t="str">
        <f>IFERROR(IF($AQ246,INDEX(cpe!$B$2:$B$307,MATCH($AR246,cpe!$F$2:$F$307,0)),INDEX(cpe!$B$2:$B$307,MATCH($AR246,cpe!$D$2:$D$307,0))),"#N/D")</f>
        <v>#N/D</v>
      </c>
      <c r="J246" s="26" t="str">
        <f>IF($AQ246,"#N/D",IFERROR(INDEX(Olimpiadas!$B$2:$B$61,MATCH($AO246,Olimpiadas!$C$2:$C$61,0)),"#N/D"))</f>
        <v>#N/D</v>
      </c>
      <c r="K246" s="26" t="str">
        <f>IF($AQ246,"#N/D",IFERROR(INDEX(Olimpiadas!$A$2:$A$61,MATCH($AO246,Olimpiadas!$C$2:$C$61,0)),"#N/D"))</f>
        <v>#N/D</v>
      </c>
      <c r="L246" s="26" t="str">
        <f>IF($AQ246,"#N/D",IFERROR(INDEX(Minculturas!$A$2:$A$48,MATCH($AO246,Minculturas!$C$2:$C$48,0)),"#N/D"))</f>
        <v>#N/D</v>
      </c>
      <c r="M246" s="26" t="str">
        <f>IF($AQ246,"#N/D",IFERROR(INDEX(Minculturas!$B$2:$B$48,MATCH($AO246,Minculturas!$C$2:$C$48,0)),"#N/D"))</f>
        <v>#N/D</v>
      </c>
      <c r="N246" s="27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7">
        <f t="shared" si="54"/>
        <v>0</v>
      </c>
      <c r="AH246" s="28"/>
      <c r="AI246" s="28"/>
      <c r="AJ246" s="28">
        <v>21.4</v>
      </c>
      <c r="AK246" s="28"/>
      <c r="AL246" s="28"/>
      <c r="AM246" s="29" t="s">
        <v>246</v>
      </c>
      <c r="AO246" t="str">
        <f t="shared" si="55"/>
        <v>los patios</v>
      </c>
      <c r="AP246" t="str">
        <f t="shared" si="56"/>
        <v>norte de santander</v>
      </c>
      <c r="AQ246" t="b">
        <f t="shared" si="57"/>
        <v>0</v>
      </c>
      <c r="AR246" t="str">
        <f t="shared" si="58"/>
        <v>los patios</v>
      </c>
      <c r="AS246" s="30">
        <f t="shared" si="59"/>
        <v>0</v>
      </c>
      <c r="AT246" s="30">
        <f t="shared" si="60"/>
        <v>0</v>
      </c>
      <c r="AU246" s="30">
        <f t="shared" si="61"/>
        <v>0</v>
      </c>
      <c r="AV246" s="30">
        <f t="shared" si="62"/>
        <v>3</v>
      </c>
      <c r="AZ246" s="31">
        <f t="shared" si="63"/>
        <v>3</v>
      </c>
      <c r="BA246" s="31">
        <f t="shared" si="64"/>
        <v>3</v>
      </c>
      <c r="BB246" s="32">
        <f>IFERROR(INDEX('Análisis general'!$E$4:$E$28,MATCH($B246,'Análisis general'!$B$4:$B$28,0)),"")</f>
        <v>13.3</v>
      </c>
      <c r="BC246" s="31">
        <f t="shared" si="65"/>
        <v>3</v>
      </c>
      <c r="BD246" s="32">
        <f t="shared" si="66"/>
        <v>3.8571428571428568</v>
      </c>
      <c r="BE246" s="32">
        <f t="shared" si="67"/>
        <v>5.3999999999999995</v>
      </c>
    </row>
    <row r="247" spans="1:57" ht="25.5" customHeight="1" x14ac:dyDescent="0.25">
      <c r="A247" s="33" t="s">
        <v>690</v>
      </c>
      <c r="B247" s="11" t="s">
        <v>28</v>
      </c>
      <c r="C247" s="34" t="s">
        <v>112</v>
      </c>
      <c r="D247" s="24">
        <f t="shared" si="51"/>
        <v>3</v>
      </c>
      <c r="E247" s="59">
        <f t="shared" si="52"/>
        <v>3.8571428571428568</v>
      </c>
      <c r="F247" s="59">
        <f t="shared" si="53"/>
        <v>5.3999999999999995</v>
      </c>
      <c r="G247" s="11" t="s">
        <v>691</v>
      </c>
      <c r="H247" s="25" t="str">
        <f>IFERROR(IF($AQ247,INDEX(cpe!$C$2:$C$307,MATCH($AR247,cpe!$F$2:$F$307,0)),INDEX(cpe!$C$2:$C$307,MATCH($AR247,cpe!$D$2:$D$307,0))),"#N/D")</f>
        <v>#N/D</v>
      </c>
      <c r="I247" s="25" t="str">
        <f>IFERROR(IF($AQ247,INDEX(cpe!$B$2:$B$307,MATCH($AR247,cpe!$F$2:$F$307,0)),INDEX(cpe!$B$2:$B$307,MATCH($AR247,cpe!$D$2:$D$307,0))),"#N/D")</f>
        <v>#N/D</v>
      </c>
      <c r="J247" s="26" t="str">
        <f>IF($AQ247,"#N/D",IFERROR(INDEX(Olimpiadas!$B$2:$B$61,MATCH($AO247,Olimpiadas!$C$2:$C$61,0)),"#N/D"))</f>
        <v>#N/D</v>
      </c>
      <c r="K247" s="26" t="str">
        <f>IF($AQ247,"#N/D",IFERROR(INDEX(Olimpiadas!$A$2:$A$61,MATCH($AO247,Olimpiadas!$C$2:$C$61,0)),"#N/D"))</f>
        <v>#N/D</v>
      </c>
      <c r="L247" s="26" t="str">
        <f>IF($AQ247,"#N/D",IFERROR(INDEX(Minculturas!$A$2:$A$48,MATCH($AO247,Minculturas!$C$2:$C$48,0)),"#N/D"))</f>
        <v>#N/D</v>
      </c>
      <c r="M247" s="26" t="str">
        <f>IF($AQ247,"#N/D",IFERROR(INDEX(Minculturas!$B$2:$B$48,MATCH($AO247,Minculturas!$C$2:$C$48,0)),"#N/D"))</f>
        <v>#N/D</v>
      </c>
      <c r="N247" s="27">
        <v>1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1</v>
      </c>
      <c r="AC247" s="28">
        <v>0</v>
      </c>
      <c r="AD247" s="28">
        <v>0</v>
      </c>
      <c r="AE247" s="28">
        <v>0</v>
      </c>
      <c r="AF247" s="28">
        <v>0</v>
      </c>
      <c r="AG247" s="27">
        <f t="shared" si="54"/>
        <v>0</v>
      </c>
      <c r="AH247" s="28"/>
      <c r="AI247" s="28"/>
      <c r="AJ247" s="28">
        <v>46.6</v>
      </c>
      <c r="AK247" s="28"/>
      <c r="AL247" s="28"/>
      <c r="AM247" s="29" t="s">
        <v>114</v>
      </c>
      <c r="AO247" t="str">
        <f t="shared" si="55"/>
        <v>mercaderes</v>
      </c>
      <c r="AP247" t="str">
        <f t="shared" si="56"/>
        <v>cauca</v>
      </c>
      <c r="AQ247" t="b">
        <f t="shared" si="57"/>
        <v>0</v>
      </c>
      <c r="AR247" t="str">
        <f t="shared" si="58"/>
        <v>mercaderes</v>
      </c>
      <c r="AS247" s="30">
        <f t="shared" si="59"/>
        <v>0</v>
      </c>
      <c r="AT247" s="30">
        <f t="shared" si="60"/>
        <v>0</v>
      </c>
      <c r="AU247" s="30">
        <f t="shared" si="61"/>
        <v>0</v>
      </c>
      <c r="AV247" s="30">
        <f t="shared" si="62"/>
        <v>3</v>
      </c>
      <c r="AZ247" s="31">
        <f t="shared" si="63"/>
        <v>3</v>
      </c>
      <c r="BA247" s="31">
        <f t="shared" si="64"/>
        <v>3</v>
      </c>
      <c r="BB247" s="32">
        <f>IFERROR(INDEX('Análisis general'!$E$4:$E$28,MATCH($B247,'Análisis general'!$B$4:$B$28,0)),"")</f>
        <v>13</v>
      </c>
      <c r="BC247" s="31">
        <f t="shared" si="65"/>
        <v>3</v>
      </c>
      <c r="BD247" s="32">
        <f t="shared" si="66"/>
        <v>3.8571428571428568</v>
      </c>
      <c r="BE247" s="32">
        <f t="shared" si="67"/>
        <v>5.3999999999999995</v>
      </c>
    </row>
    <row r="248" spans="1:57" ht="25.5" customHeight="1" x14ac:dyDescent="0.25">
      <c r="A248" s="33" t="s">
        <v>692</v>
      </c>
      <c r="B248" s="11" t="s">
        <v>28</v>
      </c>
      <c r="C248" s="34" t="s">
        <v>112</v>
      </c>
      <c r="D248" s="24">
        <f t="shared" si="51"/>
        <v>3</v>
      </c>
      <c r="E248" s="59">
        <f t="shared" si="52"/>
        <v>3.8571428571428568</v>
      </c>
      <c r="F248" s="59">
        <f t="shared" si="53"/>
        <v>5.3999999999999995</v>
      </c>
      <c r="G248" s="11" t="s">
        <v>693</v>
      </c>
      <c r="H248" s="25" t="str">
        <f>IFERROR(IF($AQ248,INDEX(cpe!$C$2:$C$307,MATCH($AR248,cpe!$F$2:$F$307,0)),INDEX(cpe!$C$2:$C$307,MATCH($AR248,cpe!$D$2:$D$307,0))),"#N/D")</f>
        <v>#N/D</v>
      </c>
      <c r="I248" s="25" t="str">
        <f>IFERROR(IF($AQ248,INDEX(cpe!$B$2:$B$307,MATCH($AR248,cpe!$F$2:$F$307,0)),INDEX(cpe!$B$2:$B$307,MATCH($AR248,cpe!$D$2:$D$307,0))),"#N/D")</f>
        <v>#N/D</v>
      </c>
      <c r="J248" s="26" t="str">
        <f>IF($AQ248,"#N/D",IFERROR(INDEX(Olimpiadas!$B$2:$B$61,MATCH($AO248,Olimpiadas!$C$2:$C$61,0)),"#N/D"))</f>
        <v>#N/D</v>
      </c>
      <c r="K248" s="26" t="str">
        <f>IF($AQ248,"#N/D",IFERROR(INDEX(Olimpiadas!$A$2:$A$61,MATCH($AO248,Olimpiadas!$C$2:$C$61,0)),"#N/D"))</f>
        <v>#N/D</v>
      </c>
      <c r="L248" s="26" t="str">
        <f>IF($AQ248,"#N/D",IFERROR(INDEX(Minculturas!$A$2:$A$48,MATCH($AO248,Minculturas!$C$2:$C$48,0)),"#N/D"))</f>
        <v>#N/D</v>
      </c>
      <c r="M248" s="26" t="str">
        <f>IF($AQ248,"#N/D",IFERROR(INDEX(Minculturas!$B$2:$B$48,MATCH($AO248,Minculturas!$C$2:$C$48,0)),"#N/D"))</f>
        <v>#N/D</v>
      </c>
      <c r="N248" s="27">
        <v>1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1</v>
      </c>
      <c r="AC248" s="28">
        <v>0</v>
      </c>
      <c r="AD248" s="28">
        <v>0</v>
      </c>
      <c r="AE248" s="28">
        <v>0</v>
      </c>
      <c r="AF248" s="28">
        <v>0</v>
      </c>
      <c r="AG248" s="27">
        <f t="shared" si="54"/>
        <v>0</v>
      </c>
      <c r="AH248" s="28"/>
      <c r="AI248" s="28"/>
      <c r="AJ248" s="28">
        <v>21.6</v>
      </c>
      <c r="AK248" s="28"/>
      <c r="AL248" s="28"/>
      <c r="AM248" s="29" t="s">
        <v>114</v>
      </c>
      <c r="AO248" t="str">
        <f t="shared" si="55"/>
        <v>miranda</v>
      </c>
      <c r="AP248" t="str">
        <f t="shared" si="56"/>
        <v>cauca</v>
      </c>
      <c r="AQ248" t="b">
        <f t="shared" si="57"/>
        <v>0</v>
      </c>
      <c r="AR248" t="str">
        <f t="shared" si="58"/>
        <v>miranda</v>
      </c>
      <c r="AS248" s="30">
        <f t="shared" si="59"/>
        <v>0</v>
      </c>
      <c r="AT248" s="30">
        <f t="shared" si="60"/>
        <v>0</v>
      </c>
      <c r="AU248" s="30">
        <f t="shared" si="61"/>
        <v>0</v>
      </c>
      <c r="AV248" s="30">
        <f t="shared" si="62"/>
        <v>3</v>
      </c>
      <c r="AZ248" s="31">
        <f t="shared" si="63"/>
        <v>3</v>
      </c>
      <c r="BA248" s="31">
        <f t="shared" si="64"/>
        <v>3</v>
      </c>
      <c r="BB248" s="32">
        <f>IFERROR(INDEX('Análisis general'!$E$4:$E$28,MATCH($B248,'Análisis general'!$B$4:$B$28,0)),"")</f>
        <v>13</v>
      </c>
      <c r="BC248" s="31">
        <f t="shared" si="65"/>
        <v>3</v>
      </c>
      <c r="BD248" s="32">
        <f t="shared" si="66"/>
        <v>3.8571428571428568</v>
      </c>
      <c r="BE248" s="32">
        <f t="shared" si="67"/>
        <v>5.3999999999999995</v>
      </c>
    </row>
    <row r="249" spans="1:57" ht="25.5" customHeight="1" x14ac:dyDescent="0.25">
      <c r="A249" s="33" t="s">
        <v>694</v>
      </c>
      <c r="B249" s="11" t="s">
        <v>28</v>
      </c>
      <c r="C249" s="34" t="s">
        <v>112</v>
      </c>
      <c r="D249" s="24">
        <f t="shared" si="51"/>
        <v>3</v>
      </c>
      <c r="E249" s="59">
        <f t="shared" si="52"/>
        <v>3.8571428571428568</v>
      </c>
      <c r="F249" s="59">
        <f t="shared" si="53"/>
        <v>5.3999999999999995</v>
      </c>
      <c r="G249" s="11" t="s">
        <v>695</v>
      </c>
      <c r="H249" s="25" t="str">
        <f>IFERROR(IF($AQ249,INDEX(cpe!$C$2:$C$307,MATCH($AR249,cpe!$F$2:$F$307,0)),INDEX(cpe!$C$2:$C$307,MATCH($AR249,cpe!$D$2:$D$307,0))),"#N/D")</f>
        <v>#N/D</v>
      </c>
      <c r="I249" s="25" t="str">
        <f>IFERROR(IF($AQ249,INDEX(cpe!$B$2:$B$307,MATCH($AR249,cpe!$F$2:$F$307,0)),INDEX(cpe!$B$2:$B$307,MATCH($AR249,cpe!$D$2:$D$307,0))),"#N/D")</f>
        <v>#N/D</v>
      </c>
      <c r="J249" s="26" t="str">
        <f>IF($AQ249,"#N/D",IFERROR(INDEX(Olimpiadas!$B$2:$B$61,MATCH($AO249,Olimpiadas!$C$2:$C$61,0)),"#N/D"))</f>
        <v>#N/D</v>
      </c>
      <c r="K249" s="26" t="str">
        <f>IF($AQ249,"#N/D",IFERROR(INDEX(Olimpiadas!$A$2:$A$61,MATCH($AO249,Olimpiadas!$C$2:$C$61,0)),"#N/D"))</f>
        <v>#N/D</v>
      </c>
      <c r="L249" s="26" t="str">
        <f>IF($AQ249,"#N/D",IFERROR(INDEX(Minculturas!$A$2:$A$48,MATCH($AO249,Minculturas!$C$2:$C$48,0)),"#N/D"))</f>
        <v>#N/D</v>
      </c>
      <c r="M249" s="26" t="str">
        <f>IF($AQ249,"#N/D",IFERROR(INDEX(Minculturas!$B$2:$B$48,MATCH($AO249,Minculturas!$C$2:$C$48,0)),"#N/D"))</f>
        <v>#N/D</v>
      </c>
      <c r="N249" s="27">
        <v>1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1</v>
      </c>
      <c r="AC249" s="28">
        <v>0</v>
      </c>
      <c r="AD249" s="28">
        <v>0</v>
      </c>
      <c r="AE249" s="28">
        <v>0</v>
      </c>
      <c r="AF249" s="28">
        <v>0</v>
      </c>
      <c r="AG249" s="27">
        <f t="shared" si="54"/>
        <v>0</v>
      </c>
      <c r="AH249" s="28"/>
      <c r="AI249" s="28"/>
      <c r="AJ249" s="28">
        <v>22</v>
      </c>
      <c r="AK249" s="28"/>
      <c r="AL249" s="28"/>
      <c r="AM249" s="29" t="s">
        <v>114</v>
      </c>
      <c r="AO249" t="str">
        <f t="shared" si="55"/>
        <v>padilla</v>
      </c>
      <c r="AP249" t="str">
        <f t="shared" si="56"/>
        <v>cauca</v>
      </c>
      <c r="AQ249" t="b">
        <f t="shared" si="57"/>
        <v>0</v>
      </c>
      <c r="AR249" t="str">
        <f t="shared" si="58"/>
        <v>padilla</v>
      </c>
      <c r="AS249" s="30">
        <f t="shared" si="59"/>
        <v>0</v>
      </c>
      <c r="AT249" s="30">
        <f t="shared" si="60"/>
        <v>0</v>
      </c>
      <c r="AU249" s="30">
        <f t="shared" si="61"/>
        <v>0</v>
      </c>
      <c r="AV249" s="30">
        <f t="shared" si="62"/>
        <v>3</v>
      </c>
      <c r="AZ249" s="31">
        <f t="shared" si="63"/>
        <v>3</v>
      </c>
      <c r="BA249" s="31">
        <f t="shared" si="64"/>
        <v>3</v>
      </c>
      <c r="BB249" s="32">
        <f>IFERROR(INDEX('Análisis general'!$E$4:$E$28,MATCH($B249,'Análisis general'!$B$4:$B$28,0)),"")</f>
        <v>13</v>
      </c>
      <c r="BC249" s="31">
        <f t="shared" si="65"/>
        <v>3</v>
      </c>
      <c r="BD249" s="32">
        <f t="shared" si="66"/>
        <v>3.8571428571428568</v>
      </c>
      <c r="BE249" s="32">
        <f t="shared" si="67"/>
        <v>5.3999999999999995</v>
      </c>
    </row>
    <row r="250" spans="1:57" ht="25.5" customHeight="1" x14ac:dyDescent="0.25">
      <c r="A250" s="33" t="s">
        <v>696</v>
      </c>
      <c r="B250" s="11" t="s">
        <v>42</v>
      </c>
      <c r="C250" s="34" t="s">
        <v>112</v>
      </c>
      <c r="D250" s="24">
        <f t="shared" si="51"/>
        <v>3</v>
      </c>
      <c r="E250" s="59">
        <f t="shared" si="52"/>
        <v>3.8571428571428568</v>
      </c>
      <c r="F250" s="59">
        <f t="shared" si="53"/>
        <v>5.3999999999999995</v>
      </c>
      <c r="G250" s="11" t="s">
        <v>697</v>
      </c>
      <c r="H250" s="25" t="str">
        <f>IFERROR(IF($AQ250,INDEX(cpe!$C$2:$C$307,MATCH($AR250,cpe!$F$2:$F$307,0)),INDEX(cpe!$C$2:$C$307,MATCH($AR250,cpe!$D$2:$D$307,0))),"#N/D")</f>
        <v>#N/D</v>
      </c>
      <c r="I250" s="25" t="str">
        <f>IFERROR(IF($AQ250,INDEX(cpe!$B$2:$B$307,MATCH($AR250,cpe!$F$2:$F$307,0)),INDEX(cpe!$B$2:$B$307,MATCH($AR250,cpe!$D$2:$D$307,0))),"#N/D")</f>
        <v>#N/D</v>
      </c>
      <c r="J250" s="26" t="str">
        <f>IF($AQ250,"#N/D",IFERROR(INDEX(Olimpiadas!$B$2:$B$61,MATCH($AO250,Olimpiadas!$C$2:$C$61,0)),"#N/D"))</f>
        <v>#N/D</v>
      </c>
      <c r="K250" s="26" t="str">
        <f>IF($AQ250,"#N/D",IFERROR(INDEX(Olimpiadas!$A$2:$A$61,MATCH($AO250,Olimpiadas!$C$2:$C$61,0)),"#N/D"))</f>
        <v>#N/D</v>
      </c>
      <c r="L250" s="26" t="str">
        <f>IF($AQ250,"#N/D",IFERROR(INDEX(Minculturas!$A$2:$A$48,MATCH($AO250,Minculturas!$C$2:$C$48,0)),"#N/D"))</f>
        <v>#N/D</v>
      </c>
      <c r="M250" s="26" t="str">
        <f>IF($AQ250,"#N/D",IFERROR(INDEX(Minculturas!$B$2:$B$48,MATCH($AO250,Minculturas!$C$2:$C$48,0)),"#N/D"))</f>
        <v>#N/D</v>
      </c>
      <c r="N250" s="27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7">
        <f t="shared" si="54"/>
        <v>0</v>
      </c>
      <c r="AH250" s="28"/>
      <c r="AI250" s="28"/>
      <c r="AJ250" s="28">
        <v>20.5</v>
      </c>
      <c r="AK250" s="28"/>
      <c r="AL250" s="28"/>
      <c r="AM250" s="29" t="s">
        <v>246</v>
      </c>
      <c r="AO250" t="str">
        <f t="shared" si="55"/>
        <v>pamplona</v>
      </c>
      <c r="AP250" t="str">
        <f t="shared" si="56"/>
        <v>norte de santander</v>
      </c>
      <c r="AQ250" t="b">
        <f t="shared" si="57"/>
        <v>0</v>
      </c>
      <c r="AR250" t="str">
        <f t="shared" si="58"/>
        <v>pamplona</v>
      </c>
      <c r="AS250" s="30">
        <f t="shared" si="59"/>
        <v>0</v>
      </c>
      <c r="AT250" s="30">
        <f t="shared" si="60"/>
        <v>0</v>
      </c>
      <c r="AU250" s="30">
        <f t="shared" si="61"/>
        <v>0</v>
      </c>
      <c r="AV250" s="30">
        <f t="shared" si="62"/>
        <v>3</v>
      </c>
      <c r="AZ250" s="31">
        <f t="shared" si="63"/>
        <v>3</v>
      </c>
      <c r="BA250" s="31">
        <f t="shared" si="64"/>
        <v>3</v>
      </c>
      <c r="BB250" s="32">
        <f>IFERROR(INDEX('Análisis general'!$E$4:$E$28,MATCH($B250,'Análisis general'!$B$4:$B$28,0)),"")</f>
        <v>13.3</v>
      </c>
      <c r="BC250" s="31">
        <f t="shared" si="65"/>
        <v>3</v>
      </c>
      <c r="BD250" s="32">
        <f t="shared" si="66"/>
        <v>3.8571428571428568</v>
      </c>
      <c r="BE250" s="32">
        <f t="shared" si="67"/>
        <v>5.3999999999999995</v>
      </c>
    </row>
    <row r="251" spans="1:57" ht="25.5" customHeight="1" x14ac:dyDescent="0.25">
      <c r="A251" s="33" t="s">
        <v>698</v>
      </c>
      <c r="B251" s="11" t="s">
        <v>28</v>
      </c>
      <c r="C251" s="34" t="s">
        <v>112</v>
      </c>
      <c r="D251" s="24">
        <f t="shared" si="51"/>
        <v>3</v>
      </c>
      <c r="E251" s="59">
        <f t="shared" si="52"/>
        <v>3.8571428571428568</v>
      </c>
      <c r="F251" s="59">
        <f t="shared" si="53"/>
        <v>5.3999999999999995</v>
      </c>
      <c r="G251" s="11" t="s">
        <v>699</v>
      </c>
      <c r="H251" s="25" t="s">
        <v>106</v>
      </c>
      <c r="I251" s="25" t="s">
        <v>106</v>
      </c>
      <c r="J251" s="26" t="s">
        <v>106</v>
      </c>
      <c r="K251" s="26" t="str">
        <f>IF($AQ251,"#N/D",IFERROR(INDEX(Olimpiadas!$A$2:$A$61,MATCH($AO251,Olimpiadas!$C$2:$C$61,0)),"#N/D"))</f>
        <v>#N/D</v>
      </c>
      <c r="L251" s="26" t="str">
        <f>IF($AQ251,"#N/D",IFERROR(INDEX(Minculturas!$A$2:$A$48,MATCH($AO251,Minculturas!$C$2:$C$48,0)),"#N/D"))</f>
        <v>#N/D</v>
      </c>
      <c r="M251" s="26" t="str">
        <f>IF($AQ251,"#N/D",IFERROR(INDEX(Minculturas!$B$2:$B$48,MATCH($AO251,Minculturas!$C$2:$C$48,0)),"#N/D"))</f>
        <v>#N/D</v>
      </c>
      <c r="N251" s="27">
        <v>1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1</v>
      </c>
      <c r="AC251" s="28">
        <v>0</v>
      </c>
      <c r="AD251" s="28">
        <v>0</v>
      </c>
      <c r="AE251" s="28">
        <v>0</v>
      </c>
      <c r="AF251" s="28">
        <v>0</v>
      </c>
      <c r="AG251" s="27">
        <f t="shared" si="54"/>
        <v>0</v>
      </c>
      <c r="AH251" s="28"/>
      <c r="AI251" s="28"/>
      <c r="AJ251" s="28">
        <v>44.1</v>
      </c>
      <c r="AK251" s="28"/>
      <c r="AL251" s="28"/>
      <c r="AM251" s="29" t="s">
        <v>114</v>
      </c>
      <c r="AO251" t="str">
        <f t="shared" si="55"/>
        <v>patia</v>
      </c>
      <c r="AP251" t="str">
        <f t="shared" si="56"/>
        <v>cauca</v>
      </c>
      <c r="AQ251" t="b">
        <f t="shared" si="57"/>
        <v>0</v>
      </c>
      <c r="AR251" t="str">
        <f t="shared" si="58"/>
        <v>patia</v>
      </c>
      <c r="AS251" s="30">
        <f t="shared" si="59"/>
        <v>0</v>
      </c>
      <c r="AT251" s="30">
        <f t="shared" si="60"/>
        <v>0</v>
      </c>
      <c r="AU251" s="30">
        <f t="shared" si="61"/>
        <v>0</v>
      </c>
      <c r="AV251" s="30">
        <f t="shared" si="62"/>
        <v>3</v>
      </c>
      <c r="AZ251" s="31">
        <f t="shared" si="63"/>
        <v>3</v>
      </c>
      <c r="BA251" s="31">
        <f t="shared" si="64"/>
        <v>3</v>
      </c>
      <c r="BB251" s="32">
        <f>IFERROR(INDEX('Análisis general'!$E$4:$E$28,MATCH($B251,'Análisis general'!$B$4:$B$28,0)),"")</f>
        <v>13</v>
      </c>
      <c r="BC251" s="31">
        <f t="shared" si="65"/>
        <v>3</v>
      </c>
      <c r="BD251" s="32">
        <f t="shared" si="66"/>
        <v>3.8571428571428568</v>
      </c>
      <c r="BE251" s="32">
        <f t="shared" si="67"/>
        <v>5.3999999999999995</v>
      </c>
    </row>
    <row r="252" spans="1:57" ht="25.5" customHeight="1" x14ac:dyDescent="0.25">
      <c r="A252" s="33" t="s">
        <v>700</v>
      </c>
      <c r="B252" s="11" t="s">
        <v>28</v>
      </c>
      <c r="C252" s="34" t="s">
        <v>112</v>
      </c>
      <c r="D252" s="24">
        <f t="shared" si="51"/>
        <v>3</v>
      </c>
      <c r="E252" s="59">
        <f t="shared" si="52"/>
        <v>3.8571428571428568</v>
      </c>
      <c r="F252" s="59">
        <f t="shared" si="53"/>
        <v>5.3999999999999995</v>
      </c>
      <c r="G252" s="11" t="s">
        <v>701</v>
      </c>
      <c r="H252" s="25" t="s">
        <v>106</v>
      </c>
      <c r="I252" s="25" t="s">
        <v>106</v>
      </c>
      <c r="J252" s="26" t="s">
        <v>106</v>
      </c>
      <c r="K252" s="26" t="str">
        <f>IF($AQ252,"#N/D",IFERROR(INDEX(Olimpiadas!$A$2:$A$61,MATCH($AO252,Olimpiadas!$C$2:$C$61,0)),"#N/D"))</f>
        <v>#N/D</v>
      </c>
      <c r="L252" s="26" t="str">
        <f>IF($AQ252,"#N/D",IFERROR(INDEX(Minculturas!$A$2:$A$48,MATCH($AO252,Minculturas!$C$2:$C$48,0)),"#N/D"))</f>
        <v>#N/D</v>
      </c>
      <c r="M252" s="26" t="str">
        <f>IF($AQ252,"#N/D",IFERROR(INDEX(Minculturas!$B$2:$B$48,MATCH($AO252,Minculturas!$C$2:$C$48,0)),"#N/D"))</f>
        <v>#N/D</v>
      </c>
      <c r="N252" s="27">
        <v>3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3</v>
      </c>
      <c r="AC252" s="28">
        <v>0</v>
      </c>
      <c r="AD252" s="28">
        <v>0</v>
      </c>
      <c r="AE252" s="28">
        <v>0</v>
      </c>
      <c r="AF252" s="28">
        <v>0</v>
      </c>
      <c r="AG252" s="27">
        <f t="shared" si="54"/>
        <v>0</v>
      </c>
      <c r="AH252" s="28"/>
      <c r="AI252" s="28"/>
      <c r="AJ252" s="28">
        <v>16.600000000000001</v>
      </c>
      <c r="AK252" s="28"/>
      <c r="AL252" s="28"/>
      <c r="AM252" s="29" t="s">
        <v>114</v>
      </c>
      <c r="AO252" t="str">
        <f t="shared" si="55"/>
        <v>puerto tejada</v>
      </c>
      <c r="AP252" t="str">
        <f t="shared" si="56"/>
        <v>cauca</v>
      </c>
      <c r="AQ252" t="b">
        <f t="shared" si="57"/>
        <v>0</v>
      </c>
      <c r="AR252" t="str">
        <f t="shared" si="58"/>
        <v>puerto tejada</v>
      </c>
      <c r="AS252" s="30">
        <f t="shared" si="59"/>
        <v>0</v>
      </c>
      <c r="AT252" s="30">
        <f t="shared" si="60"/>
        <v>0</v>
      </c>
      <c r="AU252" s="30">
        <f t="shared" si="61"/>
        <v>0</v>
      </c>
      <c r="AV252" s="30">
        <f t="shared" si="62"/>
        <v>3</v>
      </c>
      <c r="AZ252" s="31">
        <f t="shared" si="63"/>
        <v>3</v>
      </c>
      <c r="BA252" s="31">
        <f t="shared" si="64"/>
        <v>3</v>
      </c>
      <c r="BB252" s="32">
        <f>IFERROR(INDEX('Análisis general'!$E$4:$E$28,MATCH($B252,'Análisis general'!$B$4:$B$28,0)),"")</f>
        <v>13</v>
      </c>
      <c r="BC252" s="31">
        <f t="shared" si="65"/>
        <v>3</v>
      </c>
      <c r="BD252" s="32">
        <f t="shared" si="66"/>
        <v>3.8571428571428568</v>
      </c>
      <c r="BE252" s="32">
        <f t="shared" si="67"/>
        <v>5.3999999999999995</v>
      </c>
    </row>
    <row r="253" spans="1:57" ht="25.5" customHeight="1" x14ac:dyDescent="0.25">
      <c r="A253" s="33" t="s">
        <v>702</v>
      </c>
      <c r="B253" s="11" t="s">
        <v>31</v>
      </c>
      <c r="C253" s="34" t="s">
        <v>112</v>
      </c>
      <c r="D253" s="24">
        <f t="shared" si="51"/>
        <v>3</v>
      </c>
      <c r="E253" s="59">
        <f t="shared" si="52"/>
        <v>3.8571428571428568</v>
      </c>
      <c r="F253" s="59">
        <f t="shared" si="53"/>
        <v>5.3999999999999995</v>
      </c>
      <c r="G253" s="11" t="s">
        <v>703</v>
      </c>
      <c r="H253" s="25" t="s">
        <v>106</v>
      </c>
      <c r="I253" s="25" t="s">
        <v>106</v>
      </c>
      <c r="J253" s="26" t="s">
        <v>106</v>
      </c>
      <c r="K253" s="26" t="str">
        <f>IF($AQ253,"#N/D",IFERROR(INDEX(Olimpiadas!$A$2:$A$61,MATCH($AO253,Olimpiadas!$C$2:$C$61,0)),"#N/D"))</f>
        <v>#N/D</v>
      </c>
      <c r="L253" s="26" t="str">
        <f>IF($AQ253,"#N/D",IFERROR(INDEX(Minculturas!$A$2:$A$48,MATCH($AO253,Minculturas!$C$2:$C$48,0)),"#N/D"))</f>
        <v>#N/D</v>
      </c>
      <c r="M253" s="26" t="str">
        <f>IF($AQ253,"#N/D",IFERROR(INDEX(Minculturas!$B$2:$B$48,MATCH($AO253,Minculturas!$C$2:$C$48,0)),"#N/D"))</f>
        <v>#N/D</v>
      </c>
      <c r="N253" s="27">
        <v>1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1</v>
      </c>
      <c r="AC253" s="28">
        <v>0</v>
      </c>
      <c r="AD253" s="28">
        <v>0</v>
      </c>
      <c r="AE253" s="28">
        <v>0</v>
      </c>
      <c r="AF253" s="28">
        <v>0</v>
      </c>
      <c r="AG253" s="27">
        <f t="shared" si="54"/>
        <v>0</v>
      </c>
      <c r="AH253" s="28" t="s">
        <v>638</v>
      </c>
      <c r="AI253" s="28" t="s">
        <v>704</v>
      </c>
      <c r="AJ253" s="28">
        <v>66.8</v>
      </c>
      <c r="AK253" s="28"/>
      <c r="AL253" s="28"/>
      <c r="AM253" s="29" t="s">
        <v>114</v>
      </c>
      <c r="AO253" t="str">
        <f t="shared" si="55"/>
        <v>rio quito</v>
      </c>
      <c r="AP253" t="str">
        <f t="shared" si="56"/>
        <v>choco</v>
      </c>
      <c r="AQ253" t="b">
        <f t="shared" si="57"/>
        <v>0</v>
      </c>
      <c r="AR253" t="str">
        <f t="shared" si="58"/>
        <v>rio quito</v>
      </c>
      <c r="AS253" s="30">
        <f t="shared" si="59"/>
        <v>0</v>
      </c>
      <c r="AT253" s="30">
        <f t="shared" si="60"/>
        <v>0</v>
      </c>
      <c r="AU253" s="30">
        <f t="shared" si="61"/>
        <v>0</v>
      </c>
      <c r="AV253" s="30">
        <f t="shared" si="62"/>
        <v>3</v>
      </c>
      <c r="AZ253" s="31">
        <f t="shared" si="63"/>
        <v>3</v>
      </c>
      <c r="BA253" s="31">
        <f t="shared" si="64"/>
        <v>3</v>
      </c>
      <c r="BB253" s="32">
        <f>IFERROR(INDEX('Análisis general'!$E$4:$E$28,MATCH($B253,'Análisis general'!$B$4:$B$28,0)),"")</f>
        <v>30.8</v>
      </c>
      <c r="BC253" s="31">
        <f t="shared" si="65"/>
        <v>3</v>
      </c>
      <c r="BD253" s="32">
        <f t="shared" si="66"/>
        <v>3.8571428571428568</v>
      </c>
      <c r="BE253" s="32">
        <f t="shared" si="67"/>
        <v>5.3999999999999995</v>
      </c>
    </row>
    <row r="254" spans="1:57" ht="25.5" customHeight="1" x14ac:dyDescent="0.25">
      <c r="A254" s="33" t="s">
        <v>709</v>
      </c>
      <c r="B254" s="11" t="s">
        <v>19</v>
      </c>
      <c r="C254" s="34" t="s">
        <v>112</v>
      </c>
      <c r="D254" s="24">
        <f t="shared" si="51"/>
        <v>3</v>
      </c>
      <c r="E254" s="59">
        <f t="shared" si="52"/>
        <v>3.8571428571428568</v>
      </c>
      <c r="F254" s="59">
        <f t="shared" si="53"/>
        <v>5.3999999999999995</v>
      </c>
      <c r="G254" s="11" t="s">
        <v>710</v>
      </c>
      <c r="H254" s="25" t="s">
        <v>106</v>
      </c>
      <c r="I254" s="25" t="s">
        <v>106</v>
      </c>
      <c r="J254" s="26" t="s">
        <v>106</v>
      </c>
      <c r="K254" s="26" t="str">
        <f>IF($AQ254,"#N/D",IFERROR(INDEX(Olimpiadas!$A$2:$A$61,MATCH($AO254,Olimpiadas!$C$2:$C$61,0)),"#N/D"))</f>
        <v>#N/D</v>
      </c>
      <c r="L254" s="26" t="str">
        <f>IF($AQ254,"#N/D",IFERROR(INDEX(Minculturas!$A$2:$A$48,MATCH($AO254,Minculturas!$C$2:$C$48,0)),"#N/D"))</f>
        <v>#N/D</v>
      </c>
      <c r="M254" s="26" t="str">
        <f>IF($AQ254,"#N/D",IFERROR(INDEX(Minculturas!$B$2:$B$48,MATCH($AO254,Minculturas!$C$2:$C$48,0)),"#N/D"))</f>
        <v>#N/D</v>
      </c>
      <c r="N254" s="27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7">
        <f t="shared" si="54"/>
        <v>0</v>
      </c>
      <c r="AH254" s="28"/>
      <c r="AI254" s="28"/>
      <c r="AJ254" s="28">
        <v>54</v>
      </c>
      <c r="AK254" s="28"/>
      <c r="AL254" s="28"/>
      <c r="AM254" s="29" t="s">
        <v>246</v>
      </c>
      <c r="AO254" t="str">
        <f t="shared" si="55"/>
        <v>san pablo</v>
      </c>
      <c r="AP254" t="str">
        <f t="shared" si="56"/>
        <v>bolivar</v>
      </c>
      <c r="AQ254" t="b">
        <f t="shared" si="57"/>
        <v>0</v>
      </c>
      <c r="AR254" t="str">
        <f t="shared" si="58"/>
        <v>san pablo</v>
      </c>
      <c r="AS254" s="30">
        <f t="shared" si="59"/>
        <v>0</v>
      </c>
      <c r="AT254" s="30">
        <f t="shared" si="60"/>
        <v>0</v>
      </c>
      <c r="AU254" s="30">
        <f t="shared" si="61"/>
        <v>0</v>
      </c>
      <c r="AV254" s="30">
        <f t="shared" si="62"/>
        <v>3</v>
      </c>
      <c r="AZ254" s="31">
        <f t="shared" si="63"/>
        <v>3</v>
      </c>
      <c r="BA254" s="31">
        <f t="shared" si="64"/>
        <v>3</v>
      </c>
      <c r="BB254" s="32">
        <f>IFERROR(INDEX('Análisis general'!$E$4:$E$28,MATCH($B254,'Análisis general'!$B$4:$B$28,0)),"")</f>
        <v>17</v>
      </c>
      <c r="BC254" s="31">
        <f t="shared" si="65"/>
        <v>3</v>
      </c>
      <c r="BD254" s="32">
        <f t="shared" si="66"/>
        <v>3.8571428571428568</v>
      </c>
      <c r="BE254" s="32">
        <f t="shared" si="67"/>
        <v>5.3999999999999995</v>
      </c>
    </row>
    <row r="255" spans="1:57" ht="25.5" customHeight="1" x14ac:dyDescent="0.25">
      <c r="A255" s="33" t="s">
        <v>711</v>
      </c>
      <c r="B255" s="11" t="s">
        <v>28</v>
      </c>
      <c r="C255" s="34" t="s">
        <v>112</v>
      </c>
      <c r="D255" s="24">
        <f t="shared" si="51"/>
        <v>3</v>
      </c>
      <c r="E255" s="59">
        <f t="shared" si="52"/>
        <v>3.8571428571428568</v>
      </c>
      <c r="F255" s="59">
        <f t="shared" si="53"/>
        <v>5.3999999999999995</v>
      </c>
      <c r="G255" s="11" t="s">
        <v>712</v>
      </c>
      <c r="H255" s="25" t="s">
        <v>106</v>
      </c>
      <c r="I255" s="25" t="s">
        <v>106</v>
      </c>
      <c r="J255" s="26" t="s">
        <v>106</v>
      </c>
      <c r="K255" s="26" t="str">
        <f>IF($AQ255,"#N/D",IFERROR(INDEX(Olimpiadas!$A$2:$A$61,MATCH($AO255,Olimpiadas!$C$2:$C$61,0)),"#N/D"))</f>
        <v>#N/D</v>
      </c>
      <c r="L255" s="26" t="str">
        <f>IF($AQ255,"#N/D",IFERROR(INDEX(Minculturas!$A$2:$A$48,MATCH($AO255,Minculturas!$C$2:$C$48,0)),"#N/D"))</f>
        <v>#N/D</v>
      </c>
      <c r="M255" s="26" t="str">
        <f>IF($AQ255,"#N/D",IFERROR(INDEX(Minculturas!$B$2:$B$48,MATCH($AO255,Minculturas!$C$2:$C$48,0)),"#N/D"))</f>
        <v>#N/D</v>
      </c>
      <c r="N255" s="27">
        <v>1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1</v>
      </c>
      <c r="AC255" s="28">
        <v>0</v>
      </c>
      <c r="AD255" s="28">
        <v>0</v>
      </c>
      <c r="AE255" s="28">
        <v>0</v>
      </c>
      <c r="AF255" s="28">
        <v>0</v>
      </c>
      <c r="AG255" s="27">
        <f t="shared" si="54"/>
        <v>0</v>
      </c>
      <c r="AH255" s="28"/>
      <c r="AI255" s="28"/>
      <c r="AJ255" s="28">
        <v>46.4</v>
      </c>
      <c r="AK255" s="28"/>
      <c r="AL255" s="28"/>
      <c r="AM255" s="29" t="s">
        <v>114</v>
      </c>
      <c r="AO255" t="str">
        <f t="shared" si="55"/>
        <v>san sebastian</v>
      </c>
      <c r="AP255" t="str">
        <f t="shared" si="56"/>
        <v>cauca</v>
      </c>
      <c r="AQ255" t="b">
        <f t="shared" si="57"/>
        <v>0</v>
      </c>
      <c r="AR255" t="str">
        <f t="shared" si="58"/>
        <v>san sebastian</v>
      </c>
      <c r="AS255" s="30">
        <f t="shared" si="59"/>
        <v>0</v>
      </c>
      <c r="AT255" s="30">
        <f t="shared" si="60"/>
        <v>0</v>
      </c>
      <c r="AU255" s="30">
        <f t="shared" si="61"/>
        <v>0</v>
      </c>
      <c r="AV255" s="30">
        <f t="shared" si="62"/>
        <v>3</v>
      </c>
      <c r="AZ255" s="31">
        <f t="shared" si="63"/>
        <v>3</v>
      </c>
      <c r="BA255" s="31">
        <f t="shared" si="64"/>
        <v>3</v>
      </c>
      <c r="BB255" s="32">
        <f>IFERROR(INDEX('Análisis general'!$E$4:$E$28,MATCH($B255,'Análisis general'!$B$4:$B$28,0)),"")</f>
        <v>13</v>
      </c>
      <c r="BC255" s="31">
        <f t="shared" si="65"/>
        <v>3</v>
      </c>
      <c r="BD255" s="32">
        <f t="shared" si="66"/>
        <v>3.8571428571428568</v>
      </c>
      <c r="BE255" s="32">
        <f t="shared" si="67"/>
        <v>5.3999999999999995</v>
      </c>
    </row>
    <row r="256" spans="1:57" ht="25.5" customHeight="1" x14ac:dyDescent="0.25">
      <c r="A256" s="33" t="s">
        <v>713</v>
      </c>
      <c r="B256" s="11" t="s">
        <v>41</v>
      </c>
      <c r="C256" s="34" t="s">
        <v>112</v>
      </c>
      <c r="D256" s="24">
        <f t="shared" si="51"/>
        <v>3</v>
      </c>
      <c r="E256" s="59">
        <f t="shared" si="52"/>
        <v>3.8571428571428568</v>
      </c>
      <c r="F256" s="59">
        <f t="shared" si="53"/>
        <v>5.3999999999999995</v>
      </c>
      <c r="G256" s="11" t="s">
        <v>714</v>
      </c>
      <c r="H256" s="25" t="s">
        <v>106</v>
      </c>
      <c r="I256" s="25" t="s">
        <v>106</v>
      </c>
      <c r="J256" s="26" t="s">
        <v>106</v>
      </c>
      <c r="K256" s="26" t="str">
        <f>IF($AQ256,"#N/D",IFERROR(INDEX(Olimpiadas!$A$2:$A$61,MATCH($AO256,Olimpiadas!$C$2:$C$61,0)),"#N/D"))</f>
        <v>#N/D</v>
      </c>
      <c r="L256" s="26" t="str">
        <f>IF($AQ256,"#N/D",IFERROR(INDEX(Minculturas!$A$2:$A$48,MATCH($AO256,Minculturas!$C$2:$C$48,0)),"#N/D"))</f>
        <v>#N/D</v>
      </c>
      <c r="M256" s="26" t="str">
        <f>IF($AQ256,"#N/D",IFERROR(INDEX(Minculturas!$B$2:$B$48,MATCH($AO256,Minculturas!$C$2:$C$48,0)),"#N/D"))</f>
        <v>#N/D</v>
      </c>
      <c r="N256" s="27">
        <v>1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1</v>
      </c>
      <c r="AC256" s="28">
        <v>0</v>
      </c>
      <c r="AD256" s="28">
        <v>0</v>
      </c>
      <c r="AE256" s="28">
        <v>0</v>
      </c>
      <c r="AF256" s="28">
        <v>0</v>
      </c>
      <c r="AG256" s="27">
        <f t="shared" si="54"/>
        <v>0</v>
      </c>
      <c r="AH256" s="28"/>
      <c r="AI256" s="28"/>
      <c r="AJ256" s="28">
        <v>28.9</v>
      </c>
      <c r="AK256" s="28"/>
      <c r="AL256" s="28"/>
      <c r="AM256" s="29" t="s">
        <v>230</v>
      </c>
      <c r="AO256" t="str">
        <f t="shared" si="55"/>
        <v>sandona</v>
      </c>
      <c r="AP256" t="str">
        <f t="shared" si="56"/>
        <v>narino</v>
      </c>
      <c r="AQ256" t="b">
        <f t="shared" si="57"/>
        <v>0</v>
      </c>
      <c r="AR256" t="str">
        <f t="shared" si="58"/>
        <v>sandona</v>
      </c>
      <c r="AS256" s="30">
        <f t="shared" si="59"/>
        <v>0</v>
      </c>
      <c r="AT256" s="30">
        <f t="shared" si="60"/>
        <v>0</v>
      </c>
      <c r="AU256" s="30">
        <f t="shared" si="61"/>
        <v>0</v>
      </c>
      <c r="AV256" s="30">
        <f t="shared" si="62"/>
        <v>3</v>
      </c>
      <c r="AZ256" s="31">
        <f t="shared" si="63"/>
        <v>3</v>
      </c>
      <c r="BA256" s="31">
        <f t="shared" si="64"/>
        <v>3</v>
      </c>
      <c r="BB256" s="32">
        <f>IFERROR(INDEX('Análisis general'!$E$4:$E$28,MATCH($B256,'Análisis general'!$B$4:$B$28,0)),"")</f>
        <v>13.2</v>
      </c>
      <c r="BC256" s="31">
        <f t="shared" si="65"/>
        <v>3</v>
      </c>
      <c r="BD256" s="32">
        <f t="shared" si="66"/>
        <v>3.8571428571428568</v>
      </c>
      <c r="BE256" s="32">
        <f t="shared" si="67"/>
        <v>5.3999999999999995</v>
      </c>
    </row>
    <row r="257" spans="1:57" ht="25.5" customHeight="1" x14ac:dyDescent="0.25">
      <c r="A257" s="33" t="s">
        <v>715</v>
      </c>
      <c r="B257" s="11" t="s">
        <v>28</v>
      </c>
      <c r="C257" s="34" t="s">
        <v>112</v>
      </c>
      <c r="D257" s="24">
        <f t="shared" si="51"/>
        <v>3</v>
      </c>
      <c r="E257" s="59">
        <f t="shared" si="52"/>
        <v>3.8571428571428568</v>
      </c>
      <c r="F257" s="59">
        <f t="shared" si="53"/>
        <v>5.3999999999999995</v>
      </c>
      <c r="G257" s="11" t="s">
        <v>716</v>
      </c>
      <c r="H257" s="25" t="s">
        <v>106</v>
      </c>
      <c r="I257" s="25" t="s">
        <v>106</v>
      </c>
      <c r="J257" s="26" t="s">
        <v>106</v>
      </c>
      <c r="K257" s="26" t="str">
        <f>IF($AQ257,"#N/D",IFERROR(INDEX(Olimpiadas!$A$2:$A$61,MATCH($AO257,Olimpiadas!$C$2:$C$61,0)),"#N/D"))</f>
        <v>#N/D</v>
      </c>
      <c r="L257" s="26" t="str">
        <f>IF($AQ257,"#N/D",IFERROR(INDEX(Minculturas!$A$2:$A$48,MATCH($AO257,Minculturas!$C$2:$C$48,0)),"#N/D"))</f>
        <v>#N/D</v>
      </c>
      <c r="M257" s="26" t="str">
        <f>IF($AQ257,"#N/D",IFERROR(INDEX(Minculturas!$B$2:$B$48,MATCH($AO257,Minculturas!$C$2:$C$48,0)),"#N/D"))</f>
        <v>#N/D</v>
      </c>
      <c r="N257" s="27">
        <v>1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1</v>
      </c>
      <c r="AC257" s="28">
        <v>0</v>
      </c>
      <c r="AD257" s="28">
        <v>0</v>
      </c>
      <c r="AE257" s="28">
        <v>0</v>
      </c>
      <c r="AF257" s="28">
        <v>0</v>
      </c>
      <c r="AG257" s="27">
        <f t="shared" si="54"/>
        <v>0</v>
      </c>
      <c r="AH257" s="28"/>
      <c r="AI257" s="28"/>
      <c r="AJ257" s="28">
        <v>66.099999999999994</v>
      </c>
      <c r="AK257" s="28"/>
      <c r="AL257" s="28"/>
      <c r="AM257" s="29" t="s">
        <v>114</v>
      </c>
      <c r="AO257" t="str">
        <f t="shared" si="55"/>
        <v>santa rosa</v>
      </c>
      <c r="AP257" t="str">
        <f t="shared" si="56"/>
        <v>cauca</v>
      </c>
      <c r="AQ257" t="b">
        <f t="shared" si="57"/>
        <v>0</v>
      </c>
      <c r="AR257" t="str">
        <f t="shared" si="58"/>
        <v>santa rosa</v>
      </c>
      <c r="AS257" s="30">
        <f t="shared" si="59"/>
        <v>0</v>
      </c>
      <c r="AT257" s="30">
        <f t="shared" si="60"/>
        <v>0</v>
      </c>
      <c r="AU257" s="30">
        <f t="shared" si="61"/>
        <v>0</v>
      </c>
      <c r="AV257" s="30">
        <f t="shared" si="62"/>
        <v>3</v>
      </c>
      <c r="AZ257" s="31">
        <f t="shared" si="63"/>
        <v>3</v>
      </c>
      <c r="BA257" s="31">
        <f t="shared" si="64"/>
        <v>3</v>
      </c>
      <c r="BB257" s="32">
        <f>IFERROR(INDEX('Análisis general'!$E$4:$E$28,MATCH($B257,'Análisis general'!$B$4:$B$28,0)),"")</f>
        <v>13</v>
      </c>
      <c r="BC257" s="31">
        <f t="shared" si="65"/>
        <v>3</v>
      </c>
      <c r="BD257" s="32">
        <f t="shared" si="66"/>
        <v>3.8571428571428568</v>
      </c>
      <c r="BE257" s="32">
        <f t="shared" si="67"/>
        <v>5.3999999999999995</v>
      </c>
    </row>
    <row r="258" spans="1:57" ht="25.5" customHeight="1" x14ac:dyDescent="0.25">
      <c r="A258" s="33" t="s">
        <v>719</v>
      </c>
      <c r="B258" s="11" t="s">
        <v>28</v>
      </c>
      <c r="C258" s="34" t="s">
        <v>112</v>
      </c>
      <c r="D258" s="24">
        <f t="shared" ref="D258:D321" si="68">AS258+AU258+AV258</f>
        <v>3</v>
      </c>
      <c r="E258" s="59">
        <f t="shared" ref="E258:E321" si="69">BD258</f>
        <v>3.8571428571428568</v>
      </c>
      <c r="F258" s="59">
        <f t="shared" ref="F258:F321" si="70">BE258</f>
        <v>5.3999999999999995</v>
      </c>
      <c r="G258" s="11" t="s">
        <v>720</v>
      </c>
      <c r="H258" s="25" t="s">
        <v>106</v>
      </c>
      <c r="I258" s="25" t="s">
        <v>106</v>
      </c>
      <c r="J258" s="26" t="s">
        <v>106</v>
      </c>
      <c r="K258" s="26" t="str">
        <f>IF($AQ258,"#N/D",IFERROR(INDEX(Olimpiadas!$A$2:$A$61,MATCH($AO258,Olimpiadas!$C$2:$C$61,0)),"#N/D"))</f>
        <v>#N/D</v>
      </c>
      <c r="L258" s="26" t="str">
        <f>IF($AQ258,"#N/D",IFERROR(INDEX(Minculturas!$A$2:$A$48,MATCH($AO258,Minculturas!$C$2:$C$48,0)),"#N/D"))</f>
        <v>#N/D</v>
      </c>
      <c r="M258" s="26" t="str">
        <f>IF($AQ258,"#N/D",IFERROR(INDEX(Minculturas!$B$2:$B$48,MATCH($AO258,Minculturas!$C$2:$C$48,0)),"#N/D"))</f>
        <v>#N/D</v>
      </c>
      <c r="N258" s="27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8">
        <v>0</v>
      </c>
      <c r="AG258" s="27">
        <f t="shared" ref="AG258:AG321" si="71">SUM(O258:X258)</f>
        <v>0</v>
      </c>
      <c r="AH258" s="28"/>
      <c r="AI258" s="28"/>
      <c r="AJ258" s="28">
        <v>32.299999999999997</v>
      </c>
      <c r="AK258" s="28"/>
      <c r="AL258" s="28"/>
      <c r="AM258" s="29" t="s">
        <v>246</v>
      </c>
      <c r="AO258" t="str">
        <f t="shared" ref="AO258:AO321" si="72">TRIM(SUBSTITUTE(SUBSTITUTE(SUBSTITUTE(SUBSTITUTE(SUBSTITUTE(SUBSTITUTE(SUBSTITUTE(SUBSTITUTE(SUBSTITUTE(LOWER(G258),"á","a"),"é","e"),"í","i"),"ó","o"),"ú","u"),"ñ","n"),"-"," "),","," "),"."," "))</f>
        <v>sotara</v>
      </c>
      <c r="AP258" t="str">
        <f t="shared" ref="AP258:AP321" si="73">TRIM(SUBSTITUTE(SUBSTITUTE(SUBSTITUTE(SUBSTITUTE(SUBSTITUTE(SUBSTITUTE(SUBSTITUTE(SUBSTITUTE(SUBSTITUTE(LOWER(B258),"á","a"),"é","e"),"í","i"),"ó","o"),"ú","u"),"ñ","n"),"-"," "),","," "),"."," "))</f>
        <v>cauca</v>
      </c>
      <c r="AQ258" t="b">
        <f t="shared" ref="AQ258:AQ321" si="74">COUNTIF($AO$2:$AO$433,AO258)&gt;COUNTIFS($AO$2:$AO$433,AO258,$AP$2:$AP$433,AP258)</f>
        <v>0</v>
      </c>
      <c r="AR258" t="str">
        <f t="shared" ref="AR258:AR321" si="75">IF(AQ258,AO258&amp;"|"&amp;AP258,AO258)</f>
        <v>sotara</v>
      </c>
      <c r="AS258" s="30">
        <f t="shared" ref="AS258:AS321" si="76">(I258&lt;&gt;"#N/D")+(J258&lt;&gt;"#N/D")+(L258&lt;&gt;"#N/D")</f>
        <v>0</v>
      </c>
      <c r="AT258" s="30">
        <f t="shared" ref="AT258:AT321" si="77">SUM(O258:X258)</f>
        <v>0</v>
      </c>
      <c r="AU258" s="30">
        <f t="shared" ref="AU258:AU321" si="78">IF(AT258&lt;=$AY$2,0,IF(AT258&lt;=$AY$3,1,IF(AT258&lt;=$AY$4,2,3)))</f>
        <v>0</v>
      </c>
      <c r="AV258" s="30">
        <f t="shared" ref="AV258:AV321" si="79">IF(Y258&lt;=$AY$7,3,IF(Y258&lt;=$AY$8,2,IF(Y258&lt;=$AY$9,1,0)))</f>
        <v>3</v>
      </c>
      <c r="AZ258" s="31">
        <f t="shared" ref="AZ258:AZ321" si="80">IF(Y258=0,3,0)</f>
        <v>3</v>
      </c>
      <c r="BA258" s="31">
        <f t="shared" ref="BA258:BA321" si="81">AS258+AU258+AZ258</f>
        <v>3</v>
      </c>
      <c r="BB258" s="32">
        <f>IFERROR(INDEX('Análisis general'!$E$4:$E$28,MATCH($B258,'Análisis general'!$B$4:$B$28,0)),"")</f>
        <v>13</v>
      </c>
      <c r="BC258" s="31">
        <f t="shared" ref="BC258:BC321" si="82">IF(BB258="","",IF(BB258&lt;=$BG$2,0,IF(BB258&lt;=$BG$3,1,IF(BB258&lt;=$BG$4,2,3))))</f>
        <v>3</v>
      </c>
      <c r="BD258" s="32">
        <f t="shared" ref="BD258:BD321" si="83">(AS258+AU258+AZ258+(BC258/2))*(9/10.5)</f>
        <v>3.8571428571428568</v>
      </c>
      <c r="BE258" s="32">
        <f t="shared" ref="BE258:BE321" si="84">(AU258+AZ258+(BC258/2))*(9/7.5)</f>
        <v>5.3999999999999995</v>
      </c>
    </row>
    <row r="259" spans="1:57" ht="25.5" customHeight="1" x14ac:dyDescent="0.25">
      <c r="A259" s="33" t="s">
        <v>721</v>
      </c>
      <c r="B259" s="11" t="s">
        <v>28</v>
      </c>
      <c r="C259" s="34" t="s">
        <v>112</v>
      </c>
      <c r="D259" s="24">
        <f t="shared" si="68"/>
        <v>3</v>
      </c>
      <c r="E259" s="59">
        <f t="shared" si="69"/>
        <v>3.8571428571428568</v>
      </c>
      <c r="F259" s="59">
        <f t="shared" si="70"/>
        <v>5.3999999999999995</v>
      </c>
      <c r="G259" s="11" t="s">
        <v>47</v>
      </c>
      <c r="H259" s="25" t="s">
        <v>106</v>
      </c>
      <c r="I259" s="25" t="s">
        <v>106</v>
      </c>
      <c r="J259" s="26" t="s">
        <v>106</v>
      </c>
      <c r="K259" s="26" t="str">
        <f>IF($AQ259,"#N/D",IFERROR(INDEX(Olimpiadas!$A$2:$A$61,MATCH($AO259,Olimpiadas!$C$2:$C$61,0)),"#N/D"))</f>
        <v>#N/D</v>
      </c>
      <c r="L259" s="26" t="str">
        <f>IF($AQ259,"#N/D",IFERROR(INDEX(Minculturas!$A$2:$A$48,MATCH($AO259,Minculturas!$C$2:$C$48,0)),"#N/D"))</f>
        <v>#N/D</v>
      </c>
      <c r="M259" s="26" t="str">
        <f>IF($AQ259,"#N/D",IFERROR(INDEX(Minculturas!$B$2:$B$48,MATCH($AO259,Minculturas!$C$2:$C$48,0)),"#N/D"))</f>
        <v>#N/D</v>
      </c>
      <c r="N259" s="27">
        <v>1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1</v>
      </c>
      <c r="AC259" s="28">
        <v>0</v>
      </c>
      <c r="AD259" s="28">
        <v>0</v>
      </c>
      <c r="AE259" s="28">
        <v>0</v>
      </c>
      <c r="AF259" s="28">
        <v>0</v>
      </c>
      <c r="AG259" s="27">
        <f t="shared" si="71"/>
        <v>0</v>
      </c>
      <c r="AH259" s="28"/>
      <c r="AI259" s="28"/>
      <c r="AJ259" s="28">
        <v>75.5</v>
      </c>
      <c r="AK259" s="28"/>
      <c r="AL259" s="28"/>
      <c r="AM259" s="29" t="s">
        <v>114</v>
      </c>
      <c r="AO259" t="str">
        <f t="shared" si="72"/>
        <v>sucre</v>
      </c>
      <c r="AP259" t="str">
        <f t="shared" si="73"/>
        <v>cauca</v>
      </c>
      <c r="AQ259" t="b">
        <f t="shared" si="74"/>
        <v>0</v>
      </c>
      <c r="AR259" t="str">
        <f t="shared" si="75"/>
        <v>sucre</v>
      </c>
      <c r="AS259" s="30">
        <f t="shared" si="76"/>
        <v>0</v>
      </c>
      <c r="AT259" s="30">
        <f t="shared" si="77"/>
        <v>0</v>
      </c>
      <c r="AU259" s="30">
        <f t="shared" si="78"/>
        <v>0</v>
      </c>
      <c r="AV259" s="30">
        <f t="shared" si="79"/>
        <v>3</v>
      </c>
      <c r="AZ259" s="31">
        <f t="shared" si="80"/>
        <v>3</v>
      </c>
      <c r="BA259" s="31">
        <f t="shared" si="81"/>
        <v>3</v>
      </c>
      <c r="BB259" s="32">
        <f>IFERROR(INDEX('Análisis general'!$E$4:$E$28,MATCH($B259,'Análisis general'!$B$4:$B$28,0)),"")</f>
        <v>13</v>
      </c>
      <c r="BC259" s="31">
        <f t="shared" si="82"/>
        <v>3</v>
      </c>
      <c r="BD259" s="32">
        <f t="shared" si="83"/>
        <v>3.8571428571428568</v>
      </c>
      <c r="BE259" s="32">
        <f t="shared" si="84"/>
        <v>5.3999999999999995</v>
      </c>
    </row>
    <row r="260" spans="1:57" ht="25.5" customHeight="1" x14ac:dyDescent="0.25">
      <c r="A260" s="33" t="s">
        <v>725</v>
      </c>
      <c r="B260" s="11" t="s">
        <v>28</v>
      </c>
      <c r="C260" s="34" t="s">
        <v>112</v>
      </c>
      <c r="D260" s="24">
        <f t="shared" si="68"/>
        <v>3</v>
      </c>
      <c r="E260" s="59">
        <f t="shared" si="69"/>
        <v>3.8571428571428568</v>
      </c>
      <c r="F260" s="59">
        <f t="shared" si="70"/>
        <v>5.3999999999999995</v>
      </c>
      <c r="G260" s="11" t="s">
        <v>726</v>
      </c>
      <c r="H260" s="25" t="s">
        <v>106</v>
      </c>
      <c r="I260" s="25" t="s">
        <v>106</v>
      </c>
      <c r="J260" s="26" t="s">
        <v>106</v>
      </c>
      <c r="K260" s="26" t="str">
        <f>IF($AQ260,"#N/D",IFERROR(INDEX(Olimpiadas!$A$2:$A$61,MATCH($AO260,Olimpiadas!$C$2:$C$61,0)),"#N/D"))</f>
        <v>#N/D</v>
      </c>
      <c r="L260" s="26" t="str">
        <f>IF($AQ260,"#N/D",IFERROR(INDEX(Minculturas!$A$2:$A$48,MATCH($AO260,Minculturas!$C$2:$C$48,0)),"#N/D"))</f>
        <v>#N/D</v>
      </c>
      <c r="M260" s="26" t="str">
        <f>IF($AQ260,"#N/D",IFERROR(INDEX(Minculturas!$B$2:$B$48,MATCH($AO260,Minculturas!$C$2:$C$48,0)),"#N/D"))</f>
        <v>#N/D</v>
      </c>
      <c r="N260" s="27">
        <v>1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1</v>
      </c>
      <c r="AC260" s="28">
        <v>0</v>
      </c>
      <c r="AD260" s="28">
        <v>0</v>
      </c>
      <c r="AE260" s="28">
        <v>0</v>
      </c>
      <c r="AF260" s="28">
        <v>0</v>
      </c>
      <c r="AG260" s="27">
        <f t="shared" si="71"/>
        <v>0</v>
      </c>
      <c r="AH260" s="28"/>
      <c r="AI260" s="28"/>
      <c r="AJ260" s="28">
        <v>35.700000000000003</v>
      </c>
      <c r="AK260" s="28"/>
      <c r="AL260" s="28"/>
      <c r="AM260" s="29" t="s">
        <v>114</v>
      </c>
      <c r="AO260" t="str">
        <f t="shared" si="72"/>
        <v>timbio</v>
      </c>
      <c r="AP260" t="str">
        <f t="shared" si="73"/>
        <v>cauca</v>
      </c>
      <c r="AQ260" t="b">
        <f t="shared" si="74"/>
        <v>0</v>
      </c>
      <c r="AR260" t="str">
        <f t="shared" si="75"/>
        <v>timbio</v>
      </c>
      <c r="AS260" s="30">
        <f t="shared" si="76"/>
        <v>0</v>
      </c>
      <c r="AT260" s="30">
        <f t="shared" si="77"/>
        <v>0</v>
      </c>
      <c r="AU260" s="30">
        <f t="shared" si="78"/>
        <v>0</v>
      </c>
      <c r="AV260" s="30">
        <f t="shared" si="79"/>
        <v>3</v>
      </c>
      <c r="AZ260" s="31">
        <f t="shared" si="80"/>
        <v>3</v>
      </c>
      <c r="BA260" s="31">
        <f t="shared" si="81"/>
        <v>3</v>
      </c>
      <c r="BB260" s="32">
        <f>IFERROR(INDEX('Análisis general'!$E$4:$E$28,MATCH($B260,'Análisis general'!$B$4:$B$28,0)),"")</f>
        <v>13</v>
      </c>
      <c r="BC260" s="31">
        <f t="shared" si="82"/>
        <v>3</v>
      </c>
      <c r="BD260" s="32">
        <f t="shared" si="83"/>
        <v>3.8571428571428568</v>
      </c>
      <c r="BE260" s="32">
        <f t="shared" si="84"/>
        <v>5.3999999999999995</v>
      </c>
    </row>
    <row r="261" spans="1:57" ht="25.5" customHeight="1" x14ac:dyDescent="0.25">
      <c r="A261" s="33" t="s">
        <v>727</v>
      </c>
      <c r="B261" s="11" t="s">
        <v>28</v>
      </c>
      <c r="C261" s="34" t="s">
        <v>112</v>
      </c>
      <c r="D261" s="24">
        <f t="shared" si="68"/>
        <v>3</v>
      </c>
      <c r="E261" s="59">
        <f t="shared" si="69"/>
        <v>3.8571428571428568</v>
      </c>
      <c r="F261" s="59">
        <f t="shared" si="70"/>
        <v>5.3999999999999995</v>
      </c>
      <c r="G261" s="11" t="s">
        <v>728</v>
      </c>
      <c r="H261" s="25" t="s">
        <v>106</v>
      </c>
      <c r="I261" s="25" t="s">
        <v>106</v>
      </c>
      <c r="J261" s="26" t="s">
        <v>106</v>
      </c>
      <c r="K261" s="26" t="str">
        <f>IF($AQ261,"#N/D",IFERROR(INDEX(Olimpiadas!$A$2:$A$61,MATCH($AO261,Olimpiadas!$C$2:$C$61,0)),"#N/D"))</f>
        <v>#N/D</v>
      </c>
      <c r="L261" s="26" t="str">
        <f>IF($AQ261,"#N/D",IFERROR(INDEX(Minculturas!$A$2:$A$48,MATCH($AO261,Minculturas!$C$2:$C$48,0)),"#N/D"))</f>
        <v>#N/D</v>
      </c>
      <c r="M261" s="26" t="str">
        <f>IF($AQ261,"#N/D",IFERROR(INDEX(Minculturas!$B$2:$B$48,MATCH($AO261,Minculturas!$C$2:$C$48,0)),"#N/D"))</f>
        <v>#N/D</v>
      </c>
      <c r="N261" s="27">
        <v>1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1</v>
      </c>
      <c r="AC261" s="28">
        <v>0</v>
      </c>
      <c r="AD261" s="28">
        <v>0</v>
      </c>
      <c r="AE261" s="28">
        <v>0</v>
      </c>
      <c r="AF261" s="28">
        <v>0</v>
      </c>
      <c r="AG261" s="27">
        <f t="shared" si="71"/>
        <v>0</v>
      </c>
      <c r="AH261" s="28"/>
      <c r="AI261" s="28"/>
      <c r="AJ261" s="28">
        <v>72.400000000000006</v>
      </c>
      <c r="AK261" s="28"/>
      <c r="AL261" s="28"/>
      <c r="AM261" s="29" t="s">
        <v>114</v>
      </c>
      <c r="AO261" t="str">
        <f t="shared" si="72"/>
        <v>timbiqui</v>
      </c>
      <c r="AP261" t="str">
        <f t="shared" si="73"/>
        <v>cauca</v>
      </c>
      <c r="AQ261" t="b">
        <f t="shared" si="74"/>
        <v>0</v>
      </c>
      <c r="AR261" t="str">
        <f t="shared" si="75"/>
        <v>timbiqui</v>
      </c>
      <c r="AS261" s="30">
        <f t="shared" si="76"/>
        <v>0</v>
      </c>
      <c r="AT261" s="30">
        <f t="shared" si="77"/>
        <v>0</v>
      </c>
      <c r="AU261" s="30">
        <f t="shared" si="78"/>
        <v>0</v>
      </c>
      <c r="AV261" s="30">
        <f t="shared" si="79"/>
        <v>3</v>
      </c>
      <c r="AZ261" s="31">
        <f t="shared" si="80"/>
        <v>3</v>
      </c>
      <c r="BA261" s="31">
        <f t="shared" si="81"/>
        <v>3</v>
      </c>
      <c r="BB261" s="32">
        <f>IFERROR(INDEX('Análisis general'!$E$4:$E$28,MATCH($B261,'Análisis general'!$B$4:$B$28,0)),"")</f>
        <v>13</v>
      </c>
      <c r="BC261" s="31">
        <f t="shared" si="82"/>
        <v>3</v>
      </c>
      <c r="BD261" s="32">
        <f t="shared" si="83"/>
        <v>3.8571428571428568</v>
      </c>
      <c r="BE261" s="32">
        <f t="shared" si="84"/>
        <v>5.3999999999999995</v>
      </c>
    </row>
    <row r="262" spans="1:57" ht="25.5" customHeight="1" x14ac:dyDescent="0.25">
      <c r="A262" s="33" t="s">
        <v>729</v>
      </c>
      <c r="B262" s="11" t="s">
        <v>37</v>
      </c>
      <c r="C262" s="34" t="s">
        <v>112</v>
      </c>
      <c r="D262" s="24">
        <f t="shared" si="68"/>
        <v>5</v>
      </c>
      <c r="E262" s="59">
        <f t="shared" si="69"/>
        <v>5.5714285714285712</v>
      </c>
      <c r="F262" s="59">
        <f t="shared" si="70"/>
        <v>5.3999999999999995</v>
      </c>
      <c r="G262" s="11" t="s">
        <v>730</v>
      </c>
      <c r="H262" s="25" t="str">
        <f>IFERROR(IF($AQ262,INDEX(cpe!$C$2:$C$307,MATCH($AR262,cpe!$F$2:$F$307,0)),INDEX(cpe!$C$2:$C$307,MATCH($AR262,cpe!$D$2:$D$307,0))),"#N/D")</f>
        <v>Institucion Educativa Jose Celestino Mutis</v>
      </c>
      <c r="I262" s="25" t="str">
        <f>IFERROR(IF($AQ262,INDEX(cpe!$B$2:$B$307,MATCH($AR262,cpe!$F$2:$F$307,0)),INDEX(cpe!$B$2:$B$307,MATCH($AR262,cpe!$D$2:$D$307,0))),"#N/D")</f>
        <v>Neiva</v>
      </c>
      <c r="J262" s="26" t="str">
        <f>IF($AQ262,"#N/D",IFERROR(INDEX(Olimpiadas!$B$2:$B$61,MATCH($AO262,Olimpiadas!$C$2:$C$61,0)),"#N/D"))</f>
        <v>Neiva</v>
      </c>
      <c r="K262" s="26" t="str">
        <f>IF($AQ262,"#N/D",IFERROR(INDEX(Olimpiadas!$A$2:$A$61,MATCH($AO262,Olimpiadas!$C$2:$C$61,0)),"#N/D"))</f>
        <v>INSTITUCIÓN EDUCATIVA SAN ANTONIO DE ANACONIA</v>
      </c>
      <c r="L262" s="26" t="str">
        <f>IF($AQ262,"#N/D",IFERROR(INDEX(Minculturas!$A$2:$A$48,MATCH($AO262,Minculturas!$C$2:$C$48,0)),"#N/D"))</f>
        <v>#N/D</v>
      </c>
      <c r="M262" s="26" t="str">
        <f>IF($AQ262,"#N/D",IFERROR(INDEX(Minculturas!$B$2:$B$48,MATCH($AO262,Minculturas!$C$2:$C$48,0)),"#N/D"))</f>
        <v>#N/D</v>
      </c>
      <c r="N262" s="27">
        <v>12</v>
      </c>
      <c r="O262" s="28">
        <v>0</v>
      </c>
      <c r="P262" s="28">
        <v>1</v>
      </c>
      <c r="Q262" s="28">
        <v>1</v>
      </c>
      <c r="R262" s="28">
        <v>0</v>
      </c>
      <c r="S262" s="28">
        <v>3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2</v>
      </c>
      <c r="Z262" s="28">
        <v>0</v>
      </c>
      <c r="AA262" s="28">
        <v>1</v>
      </c>
      <c r="AB262" s="28">
        <v>4</v>
      </c>
      <c r="AC262" s="28">
        <v>0</v>
      </c>
      <c r="AD262" s="28">
        <v>0</v>
      </c>
      <c r="AE262" s="28">
        <v>0</v>
      </c>
      <c r="AF262" s="28">
        <v>0</v>
      </c>
      <c r="AG262" s="27">
        <f t="shared" si="71"/>
        <v>5</v>
      </c>
      <c r="AH262" s="28"/>
      <c r="AI262" s="28"/>
      <c r="AJ262" s="28">
        <v>17.600000000000001</v>
      </c>
      <c r="AK262" s="28"/>
      <c r="AL262" s="28"/>
      <c r="AM262" s="29" t="s">
        <v>114</v>
      </c>
      <c r="AO262" t="str">
        <f t="shared" si="72"/>
        <v>neiva</v>
      </c>
      <c r="AP262" t="str">
        <f t="shared" si="73"/>
        <v>huila</v>
      </c>
      <c r="AQ262" t="b">
        <f t="shared" si="74"/>
        <v>0</v>
      </c>
      <c r="AR262" t="str">
        <f t="shared" si="75"/>
        <v>neiva</v>
      </c>
      <c r="AS262" s="30">
        <f t="shared" si="76"/>
        <v>2</v>
      </c>
      <c r="AT262" s="30">
        <f t="shared" si="77"/>
        <v>5</v>
      </c>
      <c r="AU262" s="30">
        <f t="shared" si="78"/>
        <v>3</v>
      </c>
      <c r="AV262" s="30">
        <f t="shared" si="79"/>
        <v>0</v>
      </c>
      <c r="AZ262" s="31">
        <f t="shared" si="80"/>
        <v>0</v>
      </c>
      <c r="BA262" s="31">
        <f t="shared" si="81"/>
        <v>5</v>
      </c>
      <c r="BB262" s="32">
        <f>IFERROR(INDEX('Análisis general'!$E$4:$E$28,MATCH($B262,'Análisis general'!$B$4:$B$28,0)),"")</f>
        <v>9.6999999999999993</v>
      </c>
      <c r="BC262" s="31">
        <f t="shared" si="82"/>
        <v>3</v>
      </c>
      <c r="BD262" s="32">
        <f t="shared" si="83"/>
        <v>5.5714285714285712</v>
      </c>
      <c r="BE262" s="32">
        <f t="shared" si="84"/>
        <v>5.3999999999999995</v>
      </c>
    </row>
    <row r="263" spans="1:57" ht="25.5" customHeight="1" x14ac:dyDescent="0.25">
      <c r="A263" s="33" t="s">
        <v>731</v>
      </c>
      <c r="B263" s="11" t="s">
        <v>37</v>
      </c>
      <c r="C263" s="34" t="s">
        <v>112</v>
      </c>
      <c r="D263" s="24">
        <f t="shared" si="68"/>
        <v>5</v>
      </c>
      <c r="E263" s="59">
        <f t="shared" si="69"/>
        <v>5.5714285714285712</v>
      </c>
      <c r="F263" s="59">
        <f t="shared" si="70"/>
        <v>5.3999999999999995</v>
      </c>
      <c r="G263" s="11" t="s">
        <v>732</v>
      </c>
      <c r="H263" s="25" t="s">
        <v>733</v>
      </c>
      <c r="I263" s="25" t="s">
        <v>732</v>
      </c>
      <c r="J263" s="26" t="s">
        <v>732</v>
      </c>
      <c r="K263" s="26" t="str">
        <f>IF($AQ263,"#N/D",IFERROR(INDEX(Olimpiadas!$A$2:$A$61,MATCH($AO263,Olimpiadas!$C$2:$C$61,0)),"#N/D"))</f>
        <v>INSTITUCIÓN EDUCATIVA MUNICIPAL LICEO SUR ANDINO</v>
      </c>
      <c r="L263" s="26" t="str">
        <f>IF($AQ263,"#N/D",IFERROR(INDEX(Minculturas!$A$2:$A$48,MATCH($AO263,Minculturas!$C$2:$C$48,0)),"#N/D"))</f>
        <v>#N/D</v>
      </c>
      <c r="M263" s="26" t="str">
        <f>IF($AQ263,"#N/D",IFERROR(INDEX(Minculturas!$B$2:$B$48,MATCH($AO263,Minculturas!$C$2:$C$48,0)),"#N/D"))</f>
        <v>#N/D</v>
      </c>
      <c r="N263" s="27">
        <v>1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1</v>
      </c>
      <c r="AC263" s="28">
        <v>0</v>
      </c>
      <c r="AD263" s="28">
        <v>0</v>
      </c>
      <c r="AE263" s="28">
        <v>0</v>
      </c>
      <c r="AF263" s="28">
        <v>0</v>
      </c>
      <c r="AG263" s="27">
        <f t="shared" si="71"/>
        <v>0</v>
      </c>
      <c r="AH263" s="28"/>
      <c r="AI263" s="28"/>
      <c r="AJ263" s="28">
        <v>33.700000000000003</v>
      </c>
      <c r="AK263" s="28"/>
      <c r="AL263" s="28"/>
      <c r="AM263" s="29" t="s">
        <v>246</v>
      </c>
      <c r="AO263" t="str">
        <f t="shared" si="72"/>
        <v>pitalito</v>
      </c>
      <c r="AP263" t="str">
        <f t="shared" si="73"/>
        <v>huila</v>
      </c>
      <c r="AQ263" t="b">
        <f t="shared" si="74"/>
        <v>0</v>
      </c>
      <c r="AR263" t="str">
        <f t="shared" si="75"/>
        <v>pitalito</v>
      </c>
      <c r="AS263" s="30">
        <f t="shared" si="76"/>
        <v>2</v>
      </c>
      <c r="AT263" s="30">
        <f t="shared" si="77"/>
        <v>0</v>
      </c>
      <c r="AU263" s="30">
        <f t="shared" si="78"/>
        <v>0</v>
      </c>
      <c r="AV263" s="30">
        <f t="shared" si="79"/>
        <v>3</v>
      </c>
      <c r="AZ263" s="31">
        <f t="shared" si="80"/>
        <v>3</v>
      </c>
      <c r="BA263" s="31">
        <f t="shared" si="81"/>
        <v>5</v>
      </c>
      <c r="BB263" s="32">
        <f>IFERROR(INDEX('Análisis general'!$E$4:$E$28,MATCH($B263,'Análisis general'!$B$4:$B$28,0)),"")</f>
        <v>9.6999999999999993</v>
      </c>
      <c r="BC263" s="31">
        <f t="shared" si="82"/>
        <v>3</v>
      </c>
      <c r="BD263" s="32">
        <f t="shared" si="83"/>
        <v>5.5714285714285712</v>
      </c>
      <c r="BE263" s="32">
        <f t="shared" si="84"/>
        <v>5.3999999999999995</v>
      </c>
    </row>
    <row r="264" spans="1:57" ht="25.5" customHeight="1" x14ac:dyDescent="0.25">
      <c r="A264" s="33" t="s">
        <v>743</v>
      </c>
      <c r="B264" s="11" t="s">
        <v>48</v>
      </c>
      <c r="C264" s="34" t="s">
        <v>112</v>
      </c>
      <c r="D264" s="24">
        <f t="shared" si="68"/>
        <v>4</v>
      </c>
      <c r="E264" s="59">
        <f t="shared" si="69"/>
        <v>4.7142857142857144</v>
      </c>
      <c r="F264" s="59">
        <f t="shared" si="70"/>
        <v>5.3999999999999995</v>
      </c>
      <c r="G264" s="11" t="s">
        <v>744</v>
      </c>
      <c r="H264" s="25" t="str">
        <f>IFERROR(IF($AQ264,INDEX(cpe!$C$2:$C$307,MATCH($AR264,cpe!$F$2:$F$307,0)),INDEX(cpe!$C$2:$C$307,MATCH($AR264,cpe!$D$2:$D$307,0))),"#N/D")</f>
        <v>Institucion Educativa San Francisco de Asis</v>
      </c>
      <c r="I264" s="25" t="str">
        <f>IFERROR(IF($AQ264,INDEX(cpe!$B$2:$B$307,MATCH($AR264,cpe!$F$2:$F$307,0)),INDEX(cpe!$B$2:$B$307,MATCH($AR264,cpe!$D$2:$D$307,0))),"#N/D")</f>
        <v>Ibagué</v>
      </c>
      <c r="J264" s="26" t="str">
        <f>IF($AQ264,"#N/D",IFERROR(INDEX(Olimpiadas!$B$2:$B$61,MATCH($AO264,Olimpiadas!$C$2:$C$61,0)),"#N/D"))</f>
        <v>#N/D</v>
      </c>
      <c r="K264" s="26" t="str">
        <f>IF($AQ264,"#N/D",IFERROR(INDEX(Olimpiadas!$A$2:$A$61,MATCH($AO264,Olimpiadas!$C$2:$C$61,0)),"#N/D"))</f>
        <v>#N/D</v>
      </c>
      <c r="L264" s="26" t="str">
        <f>IF($AQ264,"#N/D",IFERROR(INDEX(Minculturas!$A$2:$A$48,MATCH($AO264,Minculturas!$C$2:$C$48,0)),"#N/D"))</f>
        <v>#N/D</v>
      </c>
      <c r="M264" s="26" t="str">
        <f>IF($AQ264,"#N/D",IFERROR(INDEX(Minculturas!$B$2:$B$48,MATCH($AO264,Minculturas!$C$2:$C$48,0)),"#N/D"))</f>
        <v>#N/D</v>
      </c>
      <c r="N264" s="27">
        <v>44</v>
      </c>
      <c r="O264" s="28">
        <v>0</v>
      </c>
      <c r="P264" s="28">
        <v>11</v>
      </c>
      <c r="Q264" s="28">
        <v>2</v>
      </c>
      <c r="R264" s="28">
        <v>2</v>
      </c>
      <c r="S264" s="28">
        <v>6</v>
      </c>
      <c r="T264" s="28">
        <v>1</v>
      </c>
      <c r="U264" s="28">
        <v>5</v>
      </c>
      <c r="V264" s="28">
        <v>1</v>
      </c>
      <c r="W264" s="28">
        <v>1</v>
      </c>
      <c r="X264" s="28">
        <v>0</v>
      </c>
      <c r="Y264" s="28">
        <v>12</v>
      </c>
      <c r="Z264" s="28">
        <v>0</v>
      </c>
      <c r="AA264" s="28">
        <v>2</v>
      </c>
      <c r="AB264" s="28">
        <v>1</v>
      </c>
      <c r="AC264" s="28">
        <v>0</v>
      </c>
      <c r="AD264" s="28">
        <v>0</v>
      </c>
      <c r="AE264" s="28">
        <v>0</v>
      </c>
      <c r="AF264" s="28">
        <v>0</v>
      </c>
      <c r="AG264" s="27">
        <f t="shared" si="71"/>
        <v>29</v>
      </c>
      <c r="AH264" s="28"/>
      <c r="AI264" s="28"/>
      <c r="AJ264" s="28">
        <v>14.8</v>
      </c>
      <c r="AK264" s="28"/>
      <c r="AL264" s="28"/>
      <c r="AM264" s="29" t="s">
        <v>114</v>
      </c>
      <c r="AO264" t="str">
        <f t="shared" si="72"/>
        <v>ibague</v>
      </c>
      <c r="AP264" t="str">
        <f t="shared" si="73"/>
        <v>tolima</v>
      </c>
      <c r="AQ264" t="b">
        <f t="shared" si="74"/>
        <v>0</v>
      </c>
      <c r="AR264" t="str">
        <f t="shared" si="75"/>
        <v>ibague</v>
      </c>
      <c r="AS264" s="30">
        <f t="shared" si="76"/>
        <v>1</v>
      </c>
      <c r="AT264" s="30">
        <f t="shared" si="77"/>
        <v>29</v>
      </c>
      <c r="AU264" s="30">
        <f t="shared" si="78"/>
        <v>3</v>
      </c>
      <c r="AV264" s="30">
        <f t="shared" si="79"/>
        <v>0</v>
      </c>
      <c r="AZ264" s="31">
        <f t="shared" si="80"/>
        <v>0</v>
      </c>
      <c r="BA264" s="31">
        <f t="shared" si="81"/>
        <v>4</v>
      </c>
      <c r="BB264" s="32">
        <f>IFERROR(INDEX('Análisis general'!$E$4:$E$28,MATCH($B264,'Análisis general'!$B$4:$B$28,0)),"")</f>
        <v>12.2</v>
      </c>
      <c r="BC264" s="31">
        <f t="shared" si="82"/>
        <v>3</v>
      </c>
      <c r="BD264" s="32">
        <f t="shared" si="83"/>
        <v>4.7142857142857144</v>
      </c>
      <c r="BE264" s="32">
        <f t="shared" si="84"/>
        <v>5.3999999999999995</v>
      </c>
    </row>
    <row r="265" spans="1:57" ht="25.5" customHeight="1" x14ac:dyDescent="0.25">
      <c r="A265" s="33" t="s">
        <v>741</v>
      </c>
      <c r="B265" s="11" t="s">
        <v>48</v>
      </c>
      <c r="C265" s="34" t="s">
        <v>112</v>
      </c>
      <c r="D265" s="24">
        <f t="shared" si="68"/>
        <v>4</v>
      </c>
      <c r="E265" s="59">
        <f t="shared" si="69"/>
        <v>4.7142857142857144</v>
      </c>
      <c r="F265" s="59">
        <f t="shared" si="70"/>
        <v>5.3999999999999995</v>
      </c>
      <c r="G265" s="11" t="s">
        <v>742</v>
      </c>
      <c r="H265" s="25" t="str">
        <f>IFERROR(IF($AQ265,INDEX(cpe!$C$2:$C$307,MATCH($AR265,cpe!$F$2:$F$307,0)),INDEX(cpe!$C$2:$C$307,MATCH($AR265,cpe!$D$2:$D$307,0))),"#N/D")</f>
        <v>Institucion Educativa Antonio Narino</v>
      </c>
      <c r="I265" s="25" t="str">
        <f>IFERROR(IF($AQ265,INDEX(cpe!$B$2:$B$307,MATCH($AR265,cpe!$F$2:$F$307,0)),INDEX(cpe!$B$2:$B$307,MATCH($AR265,cpe!$D$2:$D$307,0))),"#N/D")</f>
        <v>Flandes</v>
      </c>
      <c r="J265" s="26" t="str">
        <f>IF($AQ265,"#N/D",IFERROR(INDEX(Olimpiadas!$B$2:$B$61,MATCH($AO265,Olimpiadas!$C$2:$C$61,0)),"#N/D"))</f>
        <v>#N/D</v>
      </c>
      <c r="K265" s="26" t="str">
        <f>IF($AQ265,"#N/D",IFERROR(INDEX(Olimpiadas!$A$2:$A$61,MATCH($AO265,Olimpiadas!$C$2:$C$61,0)),"#N/D"))</f>
        <v>#N/D</v>
      </c>
      <c r="L265" s="26" t="str">
        <f>IF($AQ265,"#N/D",IFERROR(INDEX(Minculturas!$A$2:$A$48,MATCH($AO265,Minculturas!$C$2:$C$48,0)),"#N/D"))</f>
        <v>#N/D</v>
      </c>
      <c r="M265" s="26" t="str">
        <f>IF($AQ265,"#N/D",IFERROR(INDEX(Minculturas!$B$2:$B$48,MATCH($AO265,Minculturas!$C$2:$C$48,0)),"#N/D"))</f>
        <v>#N/D</v>
      </c>
      <c r="N265" s="27">
        <v>1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1</v>
      </c>
      <c r="AD265" s="28">
        <v>0</v>
      </c>
      <c r="AE265" s="28">
        <v>0</v>
      </c>
      <c r="AF265" s="28">
        <v>0</v>
      </c>
      <c r="AG265" s="27">
        <f t="shared" si="71"/>
        <v>0</v>
      </c>
      <c r="AH265" s="28"/>
      <c r="AI265" s="28"/>
      <c r="AJ265" s="28">
        <v>17.399999999999999</v>
      </c>
      <c r="AK265" s="28"/>
      <c r="AL265" s="28"/>
      <c r="AM265" s="29" t="s">
        <v>114</v>
      </c>
      <c r="AO265" t="str">
        <f t="shared" si="72"/>
        <v>flandes</v>
      </c>
      <c r="AP265" t="str">
        <f t="shared" si="73"/>
        <v>tolima</v>
      </c>
      <c r="AQ265" t="b">
        <f t="shared" si="74"/>
        <v>0</v>
      </c>
      <c r="AR265" t="str">
        <f t="shared" si="75"/>
        <v>flandes</v>
      </c>
      <c r="AS265" s="30">
        <f t="shared" si="76"/>
        <v>1</v>
      </c>
      <c r="AT265" s="30">
        <f t="shared" si="77"/>
        <v>0</v>
      </c>
      <c r="AU265" s="30">
        <f t="shared" si="78"/>
        <v>0</v>
      </c>
      <c r="AV265" s="30">
        <f t="shared" si="79"/>
        <v>3</v>
      </c>
      <c r="AZ265" s="31">
        <f t="shared" si="80"/>
        <v>3</v>
      </c>
      <c r="BA265" s="31">
        <f t="shared" si="81"/>
        <v>4</v>
      </c>
      <c r="BB265" s="32">
        <f>IFERROR(INDEX('Análisis general'!$E$4:$E$28,MATCH($B265,'Análisis general'!$B$4:$B$28,0)),"")</f>
        <v>12.2</v>
      </c>
      <c r="BC265" s="31">
        <f t="shared" si="82"/>
        <v>3</v>
      </c>
      <c r="BD265" s="32">
        <f t="shared" si="83"/>
        <v>4.7142857142857144</v>
      </c>
      <c r="BE265" s="32">
        <f t="shared" si="84"/>
        <v>5.3999999999999995</v>
      </c>
    </row>
    <row r="266" spans="1:57" ht="25.5" customHeight="1" x14ac:dyDescent="0.25">
      <c r="A266" s="33" t="s">
        <v>745</v>
      </c>
      <c r="B266" s="11" t="s">
        <v>48</v>
      </c>
      <c r="C266" s="34" t="s">
        <v>112</v>
      </c>
      <c r="D266" s="24">
        <f t="shared" si="68"/>
        <v>4</v>
      </c>
      <c r="E266" s="59">
        <f t="shared" si="69"/>
        <v>4.7142857142857144</v>
      </c>
      <c r="F266" s="59">
        <f t="shared" si="70"/>
        <v>5.3999999999999995</v>
      </c>
      <c r="G266" s="11" t="s">
        <v>746</v>
      </c>
      <c r="H266" s="25" t="s">
        <v>747</v>
      </c>
      <c r="I266" s="25" t="s">
        <v>746</v>
      </c>
      <c r="J266" s="26" t="s">
        <v>106</v>
      </c>
      <c r="K266" s="26" t="str">
        <f>IF($AQ266,"#N/D",IFERROR(INDEX(Olimpiadas!$A$2:$A$61,MATCH($AO266,Olimpiadas!$C$2:$C$61,0)),"#N/D"))</f>
        <v>#N/D</v>
      </c>
      <c r="L266" s="26" t="str">
        <f>IF($AQ266,"#N/D",IFERROR(INDEX(Minculturas!$A$2:$A$48,MATCH($AO266,Minculturas!$C$2:$C$48,0)),"#N/D"))</f>
        <v>#N/D</v>
      </c>
      <c r="M266" s="26" t="str">
        <f>IF($AQ266,"#N/D",IFERROR(INDEX(Minculturas!$B$2:$B$48,MATCH($AO266,Minculturas!$C$2:$C$48,0)),"#N/D"))</f>
        <v>#N/D</v>
      </c>
      <c r="N266" s="27">
        <v>1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1</v>
      </c>
      <c r="AC266" s="28">
        <v>0</v>
      </c>
      <c r="AD266" s="28">
        <v>0</v>
      </c>
      <c r="AE266" s="28">
        <v>0</v>
      </c>
      <c r="AF266" s="28">
        <v>0</v>
      </c>
      <c r="AG266" s="27">
        <f t="shared" si="71"/>
        <v>0</v>
      </c>
      <c r="AH266" s="28"/>
      <c r="AI266" s="28"/>
      <c r="AJ266" s="28">
        <v>36.6</v>
      </c>
      <c r="AK266" s="28"/>
      <c r="AL266" s="28"/>
      <c r="AM266" s="29" t="s">
        <v>114</v>
      </c>
      <c r="AO266" t="str">
        <f t="shared" si="72"/>
        <v>prado</v>
      </c>
      <c r="AP266" t="str">
        <f t="shared" si="73"/>
        <v>tolima</v>
      </c>
      <c r="AQ266" t="b">
        <f t="shared" si="74"/>
        <v>0</v>
      </c>
      <c r="AR266" t="str">
        <f t="shared" si="75"/>
        <v>prado</v>
      </c>
      <c r="AS266" s="30">
        <f t="shared" si="76"/>
        <v>1</v>
      </c>
      <c r="AT266" s="30">
        <f t="shared" si="77"/>
        <v>0</v>
      </c>
      <c r="AU266" s="30">
        <f t="shared" si="78"/>
        <v>0</v>
      </c>
      <c r="AV266" s="30">
        <f t="shared" si="79"/>
        <v>3</v>
      </c>
      <c r="AZ266" s="31">
        <f t="shared" si="80"/>
        <v>3</v>
      </c>
      <c r="BA266" s="31">
        <f t="shared" si="81"/>
        <v>4</v>
      </c>
      <c r="BB266" s="32">
        <f>IFERROR(INDEX('Análisis general'!$E$4:$E$28,MATCH($B266,'Análisis general'!$B$4:$B$28,0)),"")</f>
        <v>12.2</v>
      </c>
      <c r="BC266" s="31">
        <f t="shared" si="82"/>
        <v>3</v>
      </c>
      <c r="BD266" s="32">
        <f t="shared" si="83"/>
        <v>4.7142857142857144</v>
      </c>
      <c r="BE266" s="32">
        <f t="shared" si="84"/>
        <v>5.3999999999999995</v>
      </c>
    </row>
    <row r="267" spans="1:57" ht="25.5" customHeight="1" x14ac:dyDescent="0.25">
      <c r="A267" s="33" t="s">
        <v>748</v>
      </c>
      <c r="B267" s="11" t="s">
        <v>37</v>
      </c>
      <c r="C267" s="34" t="s">
        <v>112</v>
      </c>
      <c r="D267" s="24">
        <f t="shared" si="68"/>
        <v>4</v>
      </c>
      <c r="E267" s="59">
        <f t="shared" si="69"/>
        <v>4.7142857142857144</v>
      </c>
      <c r="F267" s="59">
        <f t="shared" si="70"/>
        <v>5.3999999999999995</v>
      </c>
      <c r="G267" s="11" t="s">
        <v>749</v>
      </c>
      <c r="H267" s="25" t="s">
        <v>750</v>
      </c>
      <c r="I267" s="25" t="s">
        <v>749</v>
      </c>
      <c r="J267" s="26" t="s">
        <v>106</v>
      </c>
      <c r="K267" s="26" t="str">
        <f>IF($AQ267,"#N/D",IFERROR(INDEX(Olimpiadas!$A$2:$A$61,MATCH($AO267,Olimpiadas!$C$2:$C$61,0)),"#N/D"))</f>
        <v>#N/D</v>
      </c>
      <c r="L267" s="26" t="str">
        <f>IF($AQ267,"#N/D",IFERROR(INDEX(Minculturas!$A$2:$A$48,MATCH($AO267,Minculturas!$C$2:$C$48,0)),"#N/D"))</f>
        <v>#N/D</v>
      </c>
      <c r="M267" s="26" t="str">
        <f>IF($AQ267,"#N/D",IFERROR(INDEX(Minculturas!$B$2:$B$48,MATCH($AO267,Minculturas!$C$2:$C$48,0)),"#N/D"))</f>
        <v>#N/D</v>
      </c>
      <c r="N267" s="27">
        <v>1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1</v>
      </c>
      <c r="AC267" s="28">
        <v>0</v>
      </c>
      <c r="AD267" s="28">
        <v>0</v>
      </c>
      <c r="AE267" s="28">
        <v>0</v>
      </c>
      <c r="AF267" s="28">
        <v>0</v>
      </c>
      <c r="AG267" s="27">
        <f t="shared" si="71"/>
        <v>0</v>
      </c>
      <c r="AH267" s="28"/>
      <c r="AI267" s="28"/>
      <c r="AJ267" s="28">
        <v>39.9</v>
      </c>
      <c r="AK267" s="28"/>
      <c r="AL267" s="28"/>
      <c r="AM267" s="29" t="s">
        <v>246</v>
      </c>
      <c r="AO267" t="str">
        <f t="shared" si="72"/>
        <v>teruel</v>
      </c>
      <c r="AP267" t="str">
        <f t="shared" si="73"/>
        <v>huila</v>
      </c>
      <c r="AQ267" t="b">
        <f t="shared" si="74"/>
        <v>0</v>
      </c>
      <c r="AR267" t="str">
        <f t="shared" si="75"/>
        <v>teruel</v>
      </c>
      <c r="AS267" s="30">
        <f t="shared" si="76"/>
        <v>1</v>
      </c>
      <c r="AT267" s="30">
        <f t="shared" si="77"/>
        <v>0</v>
      </c>
      <c r="AU267" s="30">
        <f t="shared" si="78"/>
        <v>0</v>
      </c>
      <c r="AV267" s="30">
        <f t="shared" si="79"/>
        <v>3</v>
      </c>
      <c r="AZ267" s="31">
        <f t="shared" si="80"/>
        <v>3</v>
      </c>
      <c r="BA267" s="31">
        <f t="shared" si="81"/>
        <v>4</v>
      </c>
      <c r="BB267" s="32">
        <f>IFERROR(INDEX('Análisis general'!$E$4:$E$28,MATCH($B267,'Análisis general'!$B$4:$B$28,0)),"")</f>
        <v>9.6999999999999993</v>
      </c>
      <c r="BC267" s="31">
        <f t="shared" si="82"/>
        <v>3</v>
      </c>
      <c r="BD267" s="32">
        <f t="shared" si="83"/>
        <v>4.7142857142857144</v>
      </c>
      <c r="BE267" s="32">
        <f t="shared" si="84"/>
        <v>5.3999999999999995</v>
      </c>
    </row>
    <row r="268" spans="1:57" ht="25.5" customHeight="1" x14ac:dyDescent="0.25">
      <c r="A268" s="33" t="s">
        <v>818</v>
      </c>
      <c r="B268" s="11" t="s">
        <v>48</v>
      </c>
      <c r="C268" s="34" t="s">
        <v>112</v>
      </c>
      <c r="D268" s="24">
        <f t="shared" si="68"/>
        <v>4</v>
      </c>
      <c r="E268" s="59">
        <f t="shared" si="69"/>
        <v>3.8571428571428568</v>
      </c>
      <c r="F268" s="59">
        <f t="shared" si="70"/>
        <v>5.3999999999999995</v>
      </c>
      <c r="G268" s="11" t="s">
        <v>819</v>
      </c>
      <c r="H268" s="25" t="s">
        <v>106</v>
      </c>
      <c r="I268" s="25" t="s">
        <v>106</v>
      </c>
      <c r="J268" s="26" t="s">
        <v>106</v>
      </c>
      <c r="K268" s="26" t="str">
        <f>IF($AQ268,"#N/D",IFERROR(INDEX(Olimpiadas!$A$2:$A$61,MATCH($AO268,Olimpiadas!$C$2:$C$61,0)),"#N/D"))</f>
        <v>#N/D</v>
      </c>
      <c r="L268" s="26" t="str">
        <f>IF($AQ268,"#N/D",IFERROR(INDEX(Minculturas!$A$2:$A$48,MATCH($AO268,Minculturas!$C$2:$C$48,0)),"#N/D"))</f>
        <v>#N/D</v>
      </c>
      <c r="M268" s="26" t="str">
        <f>IF($AQ268,"#N/D",IFERROR(INDEX(Minculturas!$B$2:$B$48,MATCH($AO268,Minculturas!$C$2:$C$48,0)),"#N/D"))</f>
        <v>#N/D</v>
      </c>
      <c r="N268" s="27">
        <v>15</v>
      </c>
      <c r="O268" s="28">
        <v>0</v>
      </c>
      <c r="P268" s="28">
        <v>2</v>
      </c>
      <c r="Q268" s="28">
        <v>3</v>
      </c>
      <c r="R268" s="28">
        <v>1</v>
      </c>
      <c r="S268" s="28">
        <v>2</v>
      </c>
      <c r="T268" s="28">
        <v>2</v>
      </c>
      <c r="U268" s="28">
        <v>1</v>
      </c>
      <c r="V268" s="28">
        <v>3</v>
      </c>
      <c r="W268" s="28">
        <v>0</v>
      </c>
      <c r="X268" s="28">
        <v>0</v>
      </c>
      <c r="Y268" s="28">
        <v>1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7">
        <f t="shared" si="71"/>
        <v>14</v>
      </c>
      <c r="AH268" s="28"/>
      <c r="AI268" s="28"/>
      <c r="AJ268" s="28">
        <v>42</v>
      </c>
      <c r="AK268" s="28"/>
      <c r="AL268" s="28"/>
      <c r="AM268" s="29" t="s">
        <v>114</v>
      </c>
      <c r="AO268" t="str">
        <f t="shared" si="72"/>
        <v>roncesvalles</v>
      </c>
      <c r="AP268" t="str">
        <f t="shared" si="73"/>
        <v>tolima</v>
      </c>
      <c r="AQ268" t="b">
        <f t="shared" si="74"/>
        <v>0</v>
      </c>
      <c r="AR268" t="str">
        <f t="shared" si="75"/>
        <v>roncesvalles</v>
      </c>
      <c r="AS268" s="30">
        <f t="shared" si="76"/>
        <v>0</v>
      </c>
      <c r="AT268" s="30">
        <f t="shared" si="77"/>
        <v>14</v>
      </c>
      <c r="AU268" s="30">
        <f t="shared" si="78"/>
        <v>3</v>
      </c>
      <c r="AV268" s="30">
        <f t="shared" si="79"/>
        <v>1</v>
      </c>
      <c r="AZ268" s="31">
        <f t="shared" si="80"/>
        <v>0</v>
      </c>
      <c r="BA268" s="31">
        <f t="shared" si="81"/>
        <v>3</v>
      </c>
      <c r="BB268" s="32">
        <f>IFERROR(INDEX('Análisis general'!$E$4:$E$28,MATCH($B268,'Análisis general'!$B$4:$B$28,0)),"")</f>
        <v>12.2</v>
      </c>
      <c r="BC268" s="31">
        <f t="shared" si="82"/>
        <v>3</v>
      </c>
      <c r="BD268" s="32">
        <f t="shared" si="83"/>
        <v>3.8571428571428568</v>
      </c>
      <c r="BE268" s="32">
        <f t="shared" si="84"/>
        <v>5.3999999999999995</v>
      </c>
    </row>
    <row r="269" spans="1:57" ht="25.5" customHeight="1" x14ac:dyDescent="0.25">
      <c r="A269" s="33" t="s">
        <v>810</v>
      </c>
      <c r="B269" s="11" t="s">
        <v>48</v>
      </c>
      <c r="C269" s="34" t="s">
        <v>112</v>
      </c>
      <c r="D269" s="24">
        <f t="shared" si="68"/>
        <v>3</v>
      </c>
      <c r="E269" s="59">
        <f t="shared" si="69"/>
        <v>3.8571428571428568</v>
      </c>
      <c r="F269" s="59">
        <f t="shared" si="70"/>
        <v>5.3999999999999995</v>
      </c>
      <c r="G269" s="11" t="s">
        <v>811</v>
      </c>
      <c r="H269" s="25" t="str">
        <f>IFERROR(IF($AQ269,INDEX(cpe!$C$2:$C$307,MATCH($AR269,cpe!$F$2:$F$307,0)),INDEX(cpe!$C$2:$C$307,MATCH($AR269,cpe!$D$2:$D$307,0))),"#N/D")</f>
        <v>#N/D</v>
      </c>
      <c r="I269" s="25" t="str">
        <f>IFERROR(IF($AQ269,INDEX(cpe!$B$2:$B$307,MATCH($AR269,cpe!$F$2:$F$307,0)),INDEX(cpe!$B$2:$B$307,MATCH($AR269,cpe!$D$2:$D$307,0))),"#N/D")</f>
        <v>#N/D</v>
      </c>
      <c r="J269" s="26" t="str">
        <f>IF($AQ269,"#N/D",IFERROR(INDEX(Olimpiadas!$B$2:$B$61,MATCH($AO269,Olimpiadas!$C$2:$C$61,0)),"#N/D"))</f>
        <v>#N/D</v>
      </c>
      <c r="K269" s="26" t="str">
        <f>IF($AQ269,"#N/D",IFERROR(INDEX(Olimpiadas!$A$2:$A$61,MATCH($AO269,Olimpiadas!$C$2:$C$61,0)),"#N/D"))</f>
        <v>#N/D</v>
      </c>
      <c r="L269" s="26" t="str">
        <f>IF($AQ269,"#N/D",IFERROR(INDEX(Minculturas!$A$2:$A$48,MATCH($AO269,Minculturas!$C$2:$C$48,0)),"#N/D"))</f>
        <v>#N/D</v>
      </c>
      <c r="M269" s="26" t="str">
        <f>IF($AQ269,"#N/D",IFERROR(INDEX(Minculturas!$B$2:$B$48,MATCH($AO269,Minculturas!$C$2:$C$48,0)),"#N/D"))</f>
        <v>#N/D</v>
      </c>
      <c r="N269" s="27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7">
        <f t="shared" si="71"/>
        <v>0</v>
      </c>
      <c r="AH269" s="28"/>
      <c r="AI269" s="28"/>
      <c r="AJ269" s="28">
        <v>30.9</v>
      </c>
      <c r="AK269" s="28"/>
      <c r="AL269" s="28"/>
      <c r="AM269" s="29" t="s">
        <v>246</v>
      </c>
      <c r="AO269" t="str">
        <f t="shared" si="72"/>
        <v>alpujarra</v>
      </c>
      <c r="AP269" t="str">
        <f t="shared" si="73"/>
        <v>tolima</v>
      </c>
      <c r="AQ269" t="b">
        <f t="shared" si="74"/>
        <v>0</v>
      </c>
      <c r="AR269" t="str">
        <f t="shared" si="75"/>
        <v>alpujarra</v>
      </c>
      <c r="AS269" s="30">
        <f t="shared" si="76"/>
        <v>0</v>
      </c>
      <c r="AT269" s="30">
        <f t="shared" si="77"/>
        <v>0</v>
      </c>
      <c r="AU269" s="30">
        <f t="shared" si="78"/>
        <v>0</v>
      </c>
      <c r="AV269" s="30">
        <f t="shared" si="79"/>
        <v>3</v>
      </c>
      <c r="AZ269" s="31">
        <f t="shared" si="80"/>
        <v>3</v>
      </c>
      <c r="BA269" s="31">
        <f t="shared" si="81"/>
        <v>3</v>
      </c>
      <c r="BB269" s="32">
        <f>IFERROR(INDEX('Análisis general'!$E$4:$E$28,MATCH($B269,'Análisis general'!$B$4:$B$28,0)),"")</f>
        <v>12.2</v>
      </c>
      <c r="BC269" s="31">
        <f t="shared" si="82"/>
        <v>3</v>
      </c>
      <c r="BD269" s="32">
        <f t="shared" si="83"/>
        <v>3.8571428571428568</v>
      </c>
      <c r="BE269" s="32">
        <f t="shared" si="84"/>
        <v>5.3999999999999995</v>
      </c>
    </row>
    <row r="270" spans="1:57" ht="25.5" customHeight="1" x14ac:dyDescent="0.25">
      <c r="A270" s="33" t="s">
        <v>812</v>
      </c>
      <c r="B270" s="11" t="s">
        <v>48</v>
      </c>
      <c r="C270" s="34" t="s">
        <v>112</v>
      </c>
      <c r="D270" s="24">
        <f t="shared" si="68"/>
        <v>3</v>
      </c>
      <c r="E270" s="59">
        <f t="shared" si="69"/>
        <v>3.8571428571428568</v>
      </c>
      <c r="F270" s="59">
        <f t="shared" si="70"/>
        <v>5.3999999999999995</v>
      </c>
      <c r="G270" s="11" t="s">
        <v>813</v>
      </c>
      <c r="H270" s="25" t="str">
        <f>IFERROR(IF($AQ270,INDEX(cpe!$C$2:$C$307,MATCH($AR270,cpe!$F$2:$F$307,0)),INDEX(cpe!$C$2:$C$307,MATCH($AR270,cpe!$D$2:$D$307,0))),"#N/D")</f>
        <v>#N/D</v>
      </c>
      <c r="I270" s="25" t="str">
        <f>IFERROR(IF($AQ270,INDEX(cpe!$B$2:$B$307,MATCH($AR270,cpe!$F$2:$F$307,0)),INDEX(cpe!$B$2:$B$307,MATCH($AR270,cpe!$D$2:$D$307,0))),"#N/D")</f>
        <v>#N/D</v>
      </c>
      <c r="J270" s="26" t="str">
        <f>IF($AQ270,"#N/D",IFERROR(INDEX(Olimpiadas!$B$2:$B$61,MATCH($AO270,Olimpiadas!$C$2:$C$61,0)),"#N/D"))</f>
        <v>#N/D</v>
      </c>
      <c r="K270" s="26" t="str">
        <f>IF($AQ270,"#N/D",IFERROR(INDEX(Olimpiadas!$A$2:$A$61,MATCH($AO270,Olimpiadas!$C$2:$C$61,0)),"#N/D"))</f>
        <v>#N/D</v>
      </c>
      <c r="L270" s="26" t="str">
        <f>IF($AQ270,"#N/D",IFERROR(INDEX(Minculturas!$A$2:$A$48,MATCH($AO270,Minculturas!$C$2:$C$48,0)),"#N/D"))</f>
        <v>#N/D</v>
      </c>
      <c r="M270" s="26" t="str">
        <f>IF($AQ270,"#N/D",IFERROR(INDEX(Minculturas!$B$2:$B$48,MATCH($AO270,Minculturas!$C$2:$C$48,0)),"#N/D"))</f>
        <v>#N/D</v>
      </c>
      <c r="N270" s="27">
        <v>1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1</v>
      </c>
      <c r="AC270" s="28">
        <v>0</v>
      </c>
      <c r="AD270" s="28">
        <v>0</v>
      </c>
      <c r="AE270" s="28">
        <v>0</v>
      </c>
      <c r="AF270" s="28">
        <v>0</v>
      </c>
      <c r="AG270" s="27">
        <f t="shared" si="71"/>
        <v>0</v>
      </c>
      <c r="AH270" s="28"/>
      <c r="AI270" s="28"/>
      <c r="AJ270" s="28">
        <v>38.799999999999997</v>
      </c>
      <c r="AK270" s="28"/>
      <c r="AL270" s="28"/>
      <c r="AM270" s="29" t="s">
        <v>114</v>
      </c>
      <c r="AO270" t="str">
        <f t="shared" si="72"/>
        <v>alvarado</v>
      </c>
      <c r="AP270" t="str">
        <f t="shared" si="73"/>
        <v>tolima</v>
      </c>
      <c r="AQ270" t="b">
        <f t="shared" si="74"/>
        <v>0</v>
      </c>
      <c r="AR270" t="str">
        <f t="shared" si="75"/>
        <v>alvarado</v>
      </c>
      <c r="AS270" s="30">
        <f t="shared" si="76"/>
        <v>0</v>
      </c>
      <c r="AT270" s="30">
        <f t="shared" si="77"/>
        <v>0</v>
      </c>
      <c r="AU270" s="30">
        <f t="shared" si="78"/>
        <v>0</v>
      </c>
      <c r="AV270" s="30">
        <f t="shared" si="79"/>
        <v>3</v>
      </c>
      <c r="AZ270" s="31">
        <f t="shared" si="80"/>
        <v>3</v>
      </c>
      <c r="BA270" s="31">
        <f t="shared" si="81"/>
        <v>3</v>
      </c>
      <c r="BB270" s="32">
        <f>IFERROR(INDEX('Análisis general'!$E$4:$E$28,MATCH($B270,'Análisis general'!$B$4:$B$28,0)),"")</f>
        <v>12.2</v>
      </c>
      <c r="BC270" s="31">
        <f t="shared" si="82"/>
        <v>3</v>
      </c>
      <c r="BD270" s="32">
        <f t="shared" si="83"/>
        <v>3.8571428571428568</v>
      </c>
      <c r="BE270" s="32">
        <f t="shared" si="84"/>
        <v>5.3999999999999995</v>
      </c>
    </row>
    <row r="271" spans="1:57" ht="25.5" customHeight="1" x14ac:dyDescent="0.25">
      <c r="A271" s="33" t="s">
        <v>814</v>
      </c>
      <c r="B271" s="11" t="s">
        <v>48</v>
      </c>
      <c r="C271" s="34" t="s">
        <v>112</v>
      </c>
      <c r="D271" s="24">
        <f t="shared" si="68"/>
        <v>3</v>
      </c>
      <c r="E271" s="59">
        <f t="shared" si="69"/>
        <v>3.8571428571428568</v>
      </c>
      <c r="F271" s="59">
        <f t="shared" si="70"/>
        <v>5.3999999999999995</v>
      </c>
      <c r="G271" s="11" t="s">
        <v>815</v>
      </c>
      <c r="H271" s="25" t="str">
        <f>IFERROR(IF($AQ271,INDEX(cpe!$C$2:$C$307,MATCH($AR271,cpe!$F$2:$F$307,0)),INDEX(cpe!$C$2:$C$307,MATCH($AR271,cpe!$D$2:$D$307,0))),"#N/D")</f>
        <v>#N/D</v>
      </c>
      <c r="I271" s="25" t="str">
        <f>IFERROR(IF($AQ271,INDEX(cpe!$B$2:$B$307,MATCH($AR271,cpe!$F$2:$F$307,0)),INDEX(cpe!$B$2:$B$307,MATCH($AR271,cpe!$D$2:$D$307,0))),"#N/D")</f>
        <v>#N/D</v>
      </c>
      <c r="J271" s="26" t="str">
        <f>IF($AQ271,"#N/D",IFERROR(INDEX(Olimpiadas!$B$2:$B$61,MATCH($AO271,Olimpiadas!$C$2:$C$61,0)),"#N/D"))</f>
        <v>#N/D</v>
      </c>
      <c r="K271" s="26" t="str">
        <f>IF($AQ271,"#N/D",IFERROR(INDEX(Olimpiadas!$A$2:$A$61,MATCH($AO271,Olimpiadas!$C$2:$C$61,0)),"#N/D"))</f>
        <v>#N/D</v>
      </c>
      <c r="L271" s="26" t="str">
        <f>IF($AQ271,"#N/D",IFERROR(INDEX(Minculturas!$A$2:$A$48,MATCH($AO271,Minculturas!$C$2:$C$48,0)),"#N/D"))</f>
        <v>#N/D</v>
      </c>
      <c r="M271" s="26" t="str">
        <f>IF($AQ271,"#N/D",IFERROR(INDEX(Minculturas!$B$2:$B$48,MATCH($AO271,Minculturas!$C$2:$C$48,0)),"#N/D"))</f>
        <v>#N/D</v>
      </c>
      <c r="N271" s="27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7">
        <f t="shared" si="71"/>
        <v>0</v>
      </c>
      <c r="AH271" s="28"/>
      <c r="AI271" s="28"/>
      <c r="AJ271" s="28">
        <v>55.8</v>
      </c>
      <c r="AK271" s="28"/>
      <c r="AL271" s="28"/>
      <c r="AM271" s="29" t="s">
        <v>246</v>
      </c>
      <c r="AO271" t="str">
        <f t="shared" si="72"/>
        <v>anzoategui</v>
      </c>
      <c r="AP271" t="str">
        <f t="shared" si="73"/>
        <v>tolima</v>
      </c>
      <c r="AQ271" t="b">
        <f t="shared" si="74"/>
        <v>0</v>
      </c>
      <c r="AR271" t="str">
        <f t="shared" si="75"/>
        <v>anzoategui</v>
      </c>
      <c r="AS271" s="30">
        <f t="shared" si="76"/>
        <v>0</v>
      </c>
      <c r="AT271" s="30">
        <f t="shared" si="77"/>
        <v>0</v>
      </c>
      <c r="AU271" s="30">
        <f t="shared" si="78"/>
        <v>0</v>
      </c>
      <c r="AV271" s="30">
        <f t="shared" si="79"/>
        <v>3</v>
      </c>
      <c r="AZ271" s="31">
        <f t="shared" si="80"/>
        <v>3</v>
      </c>
      <c r="BA271" s="31">
        <f t="shared" si="81"/>
        <v>3</v>
      </c>
      <c r="BB271" s="32">
        <f>IFERROR(INDEX('Análisis general'!$E$4:$E$28,MATCH($B271,'Análisis general'!$B$4:$B$28,0)),"")</f>
        <v>12.2</v>
      </c>
      <c r="BC271" s="31">
        <f t="shared" si="82"/>
        <v>3</v>
      </c>
      <c r="BD271" s="32">
        <f t="shared" si="83"/>
        <v>3.8571428571428568</v>
      </c>
      <c r="BE271" s="32">
        <f t="shared" si="84"/>
        <v>5.3999999999999995</v>
      </c>
    </row>
    <row r="272" spans="1:57" ht="25.5" customHeight="1" x14ac:dyDescent="0.25">
      <c r="A272" s="33" t="s">
        <v>816</v>
      </c>
      <c r="B272" s="11" t="s">
        <v>48</v>
      </c>
      <c r="C272" s="34" t="s">
        <v>112</v>
      </c>
      <c r="D272" s="24">
        <f t="shared" si="68"/>
        <v>3</v>
      </c>
      <c r="E272" s="59">
        <f t="shared" si="69"/>
        <v>3.8571428571428568</v>
      </c>
      <c r="F272" s="59">
        <f t="shared" si="70"/>
        <v>5.3999999999999995</v>
      </c>
      <c r="G272" s="11" t="s">
        <v>817</v>
      </c>
      <c r="H272" s="25" t="str">
        <f>IFERROR(IF($AQ272,INDEX(cpe!$C$2:$C$307,MATCH($AR272,cpe!$F$2:$F$307,0)),INDEX(cpe!$C$2:$C$307,MATCH($AR272,cpe!$D$2:$D$307,0))),"#N/D")</f>
        <v>#N/D</v>
      </c>
      <c r="I272" s="25" t="str">
        <f>IFERROR(IF($AQ272,INDEX(cpe!$B$2:$B$307,MATCH($AR272,cpe!$F$2:$F$307,0)),INDEX(cpe!$B$2:$B$307,MATCH($AR272,cpe!$D$2:$D$307,0))),"#N/D")</f>
        <v>#N/D</v>
      </c>
      <c r="J272" s="26" t="str">
        <f>IF($AQ272,"#N/D",IFERROR(INDEX(Olimpiadas!$B$2:$B$61,MATCH($AO272,Olimpiadas!$C$2:$C$61,0)),"#N/D"))</f>
        <v>#N/D</v>
      </c>
      <c r="K272" s="26" t="str">
        <f>IF($AQ272,"#N/D",IFERROR(INDEX(Olimpiadas!$A$2:$A$61,MATCH($AO272,Olimpiadas!$C$2:$C$61,0)),"#N/D"))</f>
        <v>#N/D</v>
      </c>
      <c r="L272" s="26" t="str">
        <f>IF($AQ272,"#N/D",IFERROR(INDEX(Minculturas!$A$2:$A$48,MATCH($AO272,Minculturas!$C$2:$C$48,0)),"#N/D"))</f>
        <v>#N/D</v>
      </c>
      <c r="M272" s="26" t="str">
        <f>IF($AQ272,"#N/D",IFERROR(INDEX(Minculturas!$B$2:$B$48,MATCH($AO272,Minculturas!$C$2:$C$48,0)),"#N/D"))</f>
        <v>#N/D</v>
      </c>
      <c r="N272" s="27">
        <v>1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1</v>
      </c>
      <c r="AC272" s="28">
        <v>0</v>
      </c>
      <c r="AD272" s="28">
        <v>0</v>
      </c>
      <c r="AE272" s="28">
        <v>0</v>
      </c>
      <c r="AF272" s="28">
        <v>0</v>
      </c>
      <c r="AG272" s="27">
        <f t="shared" si="71"/>
        <v>0</v>
      </c>
      <c r="AH272" s="28"/>
      <c r="AI272" s="28"/>
      <c r="AJ272" s="28">
        <v>40.799999999999997</v>
      </c>
      <c r="AK272" s="28"/>
      <c r="AL272" s="28"/>
      <c r="AM272" s="29" t="s">
        <v>114</v>
      </c>
      <c r="AO272" t="str">
        <f t="shared" si="72"/>
        <v>cunday</v>
      </c>
      <c r="AP272" t="str">
        <f t="shared" si="73"/>
        <v>tolima</v>
      </c>
      <c r="AQ272" t="b">
        <f t="shared" si="74"/>
        <v>0</v>
      </c>
      <c r="AR272" t="str">
        <f t="shared" si="75"/>
        <v>cunday</v>
      </c>
      <c r="AS272" s="30">
        <f t="shared" si="76"/>
        <v>0</v>
      </c>
      <c r="AT272" s="30">
        <f t="shared" si="77"/>
        <v>0</v>
      </c>
      <c r="AU272" s="30">
        <f t="shared" si="78"/>
        <v>0</v>
      </c>
      <c r="AV272" s="30">
        <f t="shared" si="79"/>
        <v>3</v>
      </c>
      <c r="AZ272" s="31">
        <f t="shared" si="80"/>
        <v>3</v>
      </c>
      <c r="BA272" s="31">
        <f t="shared" si="81"/>
        <v>3</v>
      </c>
      <c r="BB272" s="32">
        <f>IFERROR(INDEX('Análisis general'!$E$4:$E$28,MATCH($B272,'Análisis general'!$B$4:$B$28,0)),"")</f>
        <v>12.2</v>
      </c>
      <c r="BC272" s="31">
        <f t="shared" si="82"/>
        <v>3</v>
      </c>
      <c r="BD272" s="32">
        <f t="shared" si="83"/>
        <v>3.8571428571428568</v>
      </c>
      <c r="BE272" s="32">
        <f t="shared" si="84"/>
        <v>5.3999999999999995</v>
      </c>
    </row>
    <row r="273" spans="1:57" ht="25.5" customHeight="1" x14ac:dyDescent="0.25">
      <c r="A273" s="33" t="s">
        <v>820</v>
      </c>
      <c r="B273" s="11" t="s">
        <v>48</v>
      </c>
      <c r="C273" s="34" t="s">
        <v>112</v>
      </c>
      <c r="D273" s="24">
        <f t="shared" si="68"/>
        <v>3</v>
      </c>
      <c r="E273" s="59">
        <f t="shared" si="69"/>
        <v>3.8571428571428568</v>
      </c>
      <c r="F273" s="59">
        <f t="shared" si="70"/>
        <v>5.3999999999999995</v>
      </c>
      <c r="G273" s="11" t="s">
        <v>821</v>
      </c>
      <c r="H273" s="25" t="s">
        <v>106</v>
      </c>
      <c r="I273" s="25" t="s">
        <v>106</v>
      </c>
      <c r="J273" s="26" t="s">
        <v>106</v>
      </c>
      <c r="K273" s="26" t="str">
        <f>IF($AQ273,"#N/D",IFERROR(INDEX(Olimpiadas!$A$2:$A$61,MATCH($AO273,Olimpiadas!$C$2:$C$61,0)),"#N/D"))</f>
        <v>#N/D</v>
      </c>
      <c r="L273" s="26" t="str">
        <f>IF($AQ273,"#N/D",IFERROR(INDEX(Minculturas!$A$2:$A$48,MATCH($AO273,Minculturas!$C$2:$C$48,0)),"#N/D"))</f>
        <v>#N/D</v>
      </c>
      <c r="M273" s="26" t="str">
        <f>IF($AQ273,"#N/D",IFERROR(INDEX(Minculturas!$B$2:$B$48,MATCH($AO273,Minculturas!$C$2:$C$48,0)),"#N/D"))</f>
        <v>#N/D</v>
      </c>
      <c r="N273" s="27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7">
        <f t="shared" si="71"/>
        <v>0</v>
      </c>
      <c r="AH273" s="28"/>
      <c r="AI273" s="28"/>
      <c r="AJ273" s="28">
        <v>36.299999999999997</v>
      </c>
      <c r="AK273" s="28"/>
      <c r="AL273" s="28"/>
      <c r="AM273" s="29" t="s">
        <v>246</v>
      </c>
      <c r="AO273" t="str">
        <f t="shared" si="72"/>
        <v>saldana</v>
      </c>
      <c r="AP273" t="str">
        <f t="shared" si="73"/>
        <v>tolima</v>
      </c>
      <c r="AQ273" t="b">
        <f t="shared" si="74"/>
        <v>0</v>
      </c>
      <c r="AR273" t="str">
        <f t="shared" si="75"/>
        <v>saldana</v>
      </c>
      <c r="AS273" s="30">
        <f t="shared" si="76"/>
        <v>0</v>
      </c>
      <c r="AT273" s="30">
        <f t="shared" si="77"/>
        <v>0</v>
      </c>
      <c r="AU273" s="30">
        <f t="shared" si="78"/>
        <v>0</v>
      </c>
      <c r="AV273" s="30">
        <f t="shared" si="79"/>
        <v>3</v>
      </c>
      <c r="AZ273" s="31">
        <f t="shared" si="80"/>
        <v>3</v>
      </c>
      <c r="BA273" s="31">
        <f t="shared" si="81"/>
        <v>3</v>
      </c>
      <c r="BB273" s="32">
        <f>IFERROR(INDEX('Análisis general'!$E$4:$E$28,MATCH($B273,'Análisis general'!$B$4:$B$28,0)),"")</f>
        <v>12.2</v>
      </c>
      <c r="BC273" s="31">
        <f t="shared" si="82"/>
        <v>3</v>
      </c>
      <c r="BD273" s="32">
        <f t="shared" si="83"/>
        <v>3.8571428571428568</v>
      </c>
      <c r="BE273" s="32">
        <f t="shared" si="84"/>
        <v>5.3999999999999995</v>
      </c>
    </row>
    <row r="274" spans="1:57" ht="25.5" customHeight="1" x14ac:dyDescent="0.25">
      <c r="A274" s="33" t="s">
        <v>822</v>
      </c>
      <c r="B274" s="11" t="s">
        <v>14</v>
      </c>
      <c r="C274" s="34" t="s">
        <v>112</v>
      </c>
      <c r="D274" s="24">
        <f t="shared" si="68"/>
        <v>5</v>
      </c>
      <c r="E274" s="59">
        <f t="shared" si="69"/>
        <v>5.5714285714285712</v>
      </c>
      <c r="F274" s="59">
        <f t="shared" si="70"/>
        <v>5.3999999999999995</v>
      </c>
      <c r="G274" s="11" t="s">
        <v>823</v>
      </c>
      <c r="H274" s="25" t="str">
        <f>IFERROR(IF($AQ274,INDEX(cpe!$C$2:$C$307,MATCH($AR274,cpe!$F$2:$F$307,0)),INDEX(cpe!$C$2:$C$307,MATCH($AR274,cpe!$D$2:$D$307,0))),"#N/D")</f>
        <v>Institucion Educativa Escuela Normal Superior la Inmaculada</v>
      </c>
      <c r="I274" s="25" t="str">
        <f>IFERROR(IF($AQ274,INDEX(cpe!$B$2:$B$307,MATCH($AR274,cpe!$F$2:$F$307,0)),INDEX(cpe!$B$2:$B$307,MATCH($AR274,cpe!$D$2:$D$307,0))),"#N/D")</f>
        <v>Barranquilla</v>
      </c>
      <c r="J274" s="26" t="str">
        <f>IF($AQ274,"#N/D",IFERROR(INDEX(Olimpiadas!$B$2:$B$61,MATCH($AO274,Olimpiadas!$C$2:$C$61,0)),"#N/D"))</f>
        <v>Barranquilla</v>
      </c>
      <c r="K274" s="26" t="str">
        <f>IF($AQ274,"#N/D",IFERROR(INDEX(Olimpiadas!$A$2:$A$61,MATCH($AO274,Olimpiadas!$C$2:$C$61,0)),"#N/D"))</f>
        <v>INSTITUCIÓN EDUCATIVA DISTRITAL TÉCNICA EVELYN ABUCHAIBE DE DAES</v>
      </c>
      <c r="L274" s="26" t="str">
        <f>IF($AQ274,"#N/D",IFERROR(INDEX(Minculturas!$A$2:$A$48,MATCH($AO274,Minculturas!$C$2:$C$48,0)),"#N/D"))</f>
        <v>#N/D</v>
      </c>
      <c r="M274" s="26" t="str">
        <f>IF($AQ274,"#N/D",IFERROR(INDEX(Minculturas!$B$2:$B$48,MATCH($AO274,Minculturas!$C$2:$C$48,0)),"#N/D"))</f>
        <v>#N/D</v>
      </c>
      <c r="N274" s="27">
        <v>22</v>
      </c>
      <c r="O274" s="28">
        <v>0</v>
      </c>
      <c r="P274" s="28">
        <v>6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15</v>
      </c>
      <c r="Z274" s="28">
        <v>1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7">
        <f t="shared" si="71"/>
        <v>6</v>
      </c>
      <c r="AH274" s="28"/>
      <c r="AI274" s="28"/>
      <c r="AJ274" s="28">
        <v>17.399999999999999</v>
      </c>
      <c r="AK274" s="28"/>
      <c r="AL274" s="28"/>
      <c r="AM274" s="29" t="s">
        <v>114</v>
      </c>
      <c r="AO274" t="str">
        <f t="shared" si="72"/>
        <v>barranquilla</v>
      </c>
      <c r="AP274" t="str">
        <f t="shared" si="73"/>
        <v>atlantico</v>
      </c>
      <c r="AQ274" t="b">
        <f t="shared" si="74"/>
        <v>0</v>
      </c>
      <c r="AR274" t="str">
        <f t="shared" si="75"/>
        <v>barranquilla</v>
      </c>
      <c r="AS274" s="30">
        <f t="shared" si="76"/>
        <v>2</v>
      </c>
      <c r="AT274" s="30">
        <f t="shared" si="77"/>
        <v>6</v>
      </c>
      <c r="AU274" s="30">
        <f t="shared" si="78"/>
        <v>3</v>
      </c>
      <c r="AV274" s="30">
        <f t="shared" si="79"/>
        <v>0</v>
      </c>
      <c r="AZ274" s="31">
        <f t="shared" si="80"/>
        <v>0</v>
      </c>
      <c r="BA274" s="31">
        <f t="shared" si="81"/>
        <v>5</v>
      </c>
      <c r="BB274" s="32">
        <f>IFERROR(INDEX('Análisis general'!$E$4:$E$28,MATCH($B274,'Análisis general'!$B$4:$B$28,0)),"")</f>
        <v>8.1999999999999993</v>
      </c>
      <c r="BC274" s="31">
        <f t="shared" si="82"/>
        <v>3</v>
      </c>
      <c r="BD274" s="32">
        <f t="shared" si="83"/>
        <v>5.5714285714285712</v>
      </c>
      <c r="BE274" s="32">
        <f t="shared" si="84"/>
        <v>5.3999999999999995</v>
      </c>
    </row>
    <row r="275" spans="1:57" ht="25.5" customHeight="1" x14ac:dyDescent="0.25">
      <c r="A275" s="33" t="s">
        <v>824</v>
      </c>
      <c r="B275" s="11" t="s">
        <v>24</v>
      </c>
      <c r="C275" s="62" t="s">
        <v>1216</v>
      </c>
      <c r="D275" s="24">
        <f t="shared" si="68"/>
        <v>4</v>
      </c>
      <c r="E275" s="59">
        <f t="shared" si="69"/>
        <v>4.7142857142857144</v>
      </c>
      <c r="F275" s="59">
        <f t="shared" si="70"/>
        <v>5.3999999999999995</v>
      </c>
      <c r="G275" s="11" t="s">
        <v>825</v>
      </c>
      <c r="H275" s="25" t="str">
        <f>IFERROR(IF($AQ275,INDEX(cpe!$C$2:$C$307,MATCH($AR275,cpe!$F$2:$F$307,0)),INDEX(cpe!$C$2:$C$307,MATCH($AR275,cpe!$D$2:$D$307,0))),"#N/D")</f>
        <v>#N/D</v>
      </c>
      <c r="I275" s="25" t="str">
        <f>IFERROR(IF($AQ275,INDEX(cpe!$B$2:$B$307,MATCH($AR275,cpe!$F$2:$F$307,0)),INDEX(cpe!$B$2:$B$307,MATCH($AR275,cpe!$D$2:$D$307,0))),"#N/D")</f>
        <v>#N/D</v>
      </c>
      <c r="J275" s="26" t="str">
        <f>IF($AQ275,"#N/D",IFERROR(INDEX(Olimpiadas!$B$2:$B$61,MATCH($AO275,Olimpiadas!$C$2:$C$61,0)),"#N/D"))</f>
        <v>Manizales</v>
      </c>
      <c r="K275" s="42" t="str">
        <f>IF($AQ275,"#N/D",IFERROR(INDEX(Olimpiadas!$A$2:$A$61,MATCH($AO275,Olimpiadas!$C$2:$C$61,0)),"#N/D"))</f>
        <v>INSTITUCIÓN EDUCATIVA INSTITUTO UNIVERSITARIO DE CALDAS</v>
      </c>
      <c r="L275" s="42" t="str">
        <f>IF($AQ275,"#N/D",IFERROR(INDEX(Minculturas!$A$2:$A$48,MATCH($AO275,Minculturas!$C$2:$C$48,0)),"#N/D"))</f>
        <v>#N/D</v>
      </c>
      <c r="M275" s="42" t="str">
        <f>IF($AQ275,"#N/D",IFERROR(INDEX(Minculturas!$B$2:$B$48,MATCH($AO275,Minculturas!$C$2:$C$48,0)),"#N/D"))</f>
        <v>#N/D</v>
      </c>
      <c r="N275" s="27">
        <v>429</v>
      </c>
      <c r="O275" s="28">
        <v>13</v>
      </c>
      <c r="P275" s="28">
        <v>111</v>
      </c>
      <c r="Q275" s="28">
        <v>12</v>
      </c>
      <c r="R275" s="28">
        <v>19</v>
      </c>
      <c r="S275" s="28">
        <v>111</v>
      </c>
      <c r="T275" s="28">
        <v>14</v>
      </c>
      <c r="U275" s="28">
        <v>31</v>
      </c>
      <c r="V275" s="28">
        <v>5</v>
      </c>
      <c r="W275" s="28">
        <v>0</v>
      </c>
      <c r="X275" s="28">
        <v>7</v>
      </c>
      <c r="Y275" s="28">
        <v>33</v>
      </c>
      <c r="Z275" s="28">
        <v>1</v>
      </c>
      <c r="AA275" s="28">
        <v>49</v>
      </c>
      <c r="AB275" s="28">
        <v>23</v>
      </c>
      <c r="AC275" s="28">
        <v>0</v>
      </c>
      <c r="AD275" s="28">
        <v>0</v>
      </c>
      <c r="AE275" s="28">
        <v>0</v>
      </c>
      <c r="AF275" s="28">
        <v>0</v>
      </c>
      <c r="AG275" s="27">
        <f t="shared" si="71"/>
        <v>323</v>
      </c>
      <c r="AH275" s="26" t="s">
        <v>826</v>
      </c>
      <c r="AI275" s="26" t="s">
        <v>827</v>
      </c>
      <c r="AJ275" s="28">
        <v>13.9</v>
      </c>
      <c r="AK275" s="28"/>
      <c r="AL275" s="28"/>
      <c r="AM275" s="29" t="s">
        <v>828</v>
      </c>
      <c r="AO275" t="str">
        <f t="shared" si="72"/>
        <v>manizales</v>
      </c>
      <c r="AP275" t="str">
        <f t="shared" si="73"/>
        <v>caldas</v>
      </c>
      <c r="AQ275" t="b">
        <f t="shared" si="74"/>
        <v>0</v>
      </c>
      <c r="AR275" t="str">
        <f t="shared" si="75"/>
        <v>manizales</v>
      </c>
      <c r="AS275" s="30">
        <f t="shared" si="76"/>
        <v>1</v>
      </c>
      <c r="AT275" s="30">
        <f t="shared" si="77"/>
        <v>323</v>
      </c>
      <c r="AU275" s="30">
        <f t="shared" si="78"/>
        <v>3</v>
      </c>
      <c r="AV275" s="30">
        <f t="shared" si="79"/>
        <v>0</v>
      </c>
      <c r="AZ275" s="31">
        <f t="shared" si="80"/>
        <v>0</v>
      </c>
      <c r="BA275" s="31">
        <f t="shared" si="81"/>
        <v>4</v>
      </c>
      <c r="BB275" s="32">
        <f>IFERROR(INDEX('Análisis general'!$E$4:$E$28,MATCH($B275,'Análisis general'!$B$4:$B$28,0)),"")</f>
        <v>7.9</v>
      </c>
      <c r="BC275" s="31">
        <f t="shared" si="82"/>
        <v>3</v>
      </c>
      <c r="BD275" s="32">
        <f t="shared" si="83"/>
        <v>4.7142857142857144</v>
      </c>
      <c r="BE275" s="32">
        <f t="shared" si="84"/>
        <v>5.3999999999999995</v>
      </c>
    </row>
    <row r="276" spans="1:57" ht="25.5" customHeight="1" x14ac:dyDescent="0.25">
      <c r="A276" s="33" t="s">
        <v>829</v>
      </c>
      <c r="B276" s="11" t="s">
        <v>44</v>
      </c>
      <c r="C276" s="60" t="s">
        <v>1214</v>
      </c>
      <c r="D276" s="24">
        <f t="shared" si="68"/>
        <v>4</v>
      </c>
      <c r="E276" s="59">
        <f t="shared" si="69"/>
        <v>4.7142857142857144</v>
      </c>
      <c r="F276" s="59">
        <f t="shared" si="70"/>
        <v>5.3999999999999995</v>
      </c>
      <c r="G276" s="11" t="s">
        <v>830</v>
      </c>
      <c r="H276" s="25" t="str">
        <f>IFERROR(IF($AQ276,INDEX(cpe!$C$2:$C$307,MATCH($AR276,cpe!$F$2:$F$307,0)),INDEX(cpe!$C$2:$C$307,MATCH($AR276,cpe!$D$2:$D$307,0))),"#N/D")</f>
        <v>#N/D</v>
      </c>
      <c r="I276" s="25" t="str">
        <f>IFERROR(IF($AQ276,INDEX(cpe!$B$2:$B$307,MATCH($AR276,cpe!$F$2:$F$307,0)),INDEX(cpe!$B$2:$B$307,MATCH($AR276,cpe!$D$2:$D$307,0))),"#N/D")</f>
        <v>#N/D</v>
      </c>
      <c r="J276" s="11" t="s">
        <v>830</v>
      </c>
      <c r="K276" s="52" t="s">
        <v>831</v>
      </c>
      <c r="L276" s="52" t="str">
        <f>IF($AQ276,"#N/D",IFERROR(INDEX(Minculturas!$A$2:$A$48,MATCH($AO276,Minculturas!$C$2:$C$48,0)),"#N/D"))</f>
        <v>#N/D</v>
      </c>
      <c r="M276" s="52" t="str">
        <f>IF($AQ276,"#N/D",IFERROR(INDEX(Minculturas!$B$2:$B$48,MATCH($AO276,Minculturas!$C$2:$C$48,0)),"#N/D"))</f>
        <v>#N/D</v>
      </c>
      <c r="N276" s="27">
        <v>169</v>
      </c>
      <c r="O276" s="28">
        <v>3</v>
      </c>
      <c r="P276" s="28">
        <v>47</v>
      </c>
      <c r="Q276" s="28">
        <v>12</v>
      </c>
      <c r="R276" s="28">
        <v>8</v>
      </c>
      <c r="S276" s="28">
        <v>51</v>
      </c>
      <c r="T276" s="28">
        <v>7</v>
      </c>
      <c r="U276" s="28">
        <v>6</v>
      </c>
      <c r="V276" s="28">
        <v>3</v>
      </c>
      <c r="W276" s="28">
        <v>1</v>
      </c>
      <c r="X276" s="28">
        <v>2</v>
      </c>
      <c r="Y276" s="28">
        <v>8</v>
      </c>
      <c r="Z276" s="28">
        <v>4</v>
      </c>
      <c r="AA276" s="28">
        <v>3</v>
      </c>
      <c r="AB276" s="28">
        <v>12</v>
      </c>
      <c r="AC276" s="28">
        <v>0</v>
      </c>
      <c r="AD276" s="28">
        <v>0</v>
      </c>
      <c r="AE276" s="28">
        <v>1</v>
      </c>
      <c r="AF276" s="28">
        <v>1</v>
      </c>
      <c r="AG276" s="27">
        <f t="shared" si="71"/>
        <v>140</v>
      </c>
      <c r="AH276" s="28" t="s">
        <v>832</v>
      </c>
      <c r="AI276" s="28" t="s">
        <v>833</v>
      </c>
      <c r="AJ276" s="28">
        <v>14.4</v>
      </c>
      <c r="AK276" s="28"/>
      <c r="AL276" s="28"/>
      <c r="AM276" s="29" t="s">
        <v>834</v>
      </c>
      <c r="AO276" t="str">
        <f t="shared" si="72"/>
        <v>armenia</v>
      </c>
      <c r="AP276" t="str">
        <f t="shared" si="73"/>
        <v>quindio</v>
      </c>
      <c r="AQ276" t="b">
        <f t="shared" si="74"/>
        <v>1</v>
      </c>
      <c r="AR276" t="str">
        <f t="shared" si="75"/>
        <v>armenia|quindio</v>
      </c>
      <c r="AS276" s="30">
        <f t="shared" si="76"/>
        <v>1</v>
      </c>
      <c r="AT276" s="30">
        <f t="shared" si="77"/>
        <v>140</v>
      </c>
      <c r="AU276" s="30">
        <f t="shared" si="78"/>
        <v>3</v>
      </c>
      <c r="AV276" s="30">
        <f t="shared" si="79"/>
        <v>0</v>
      </c>
      <c r="AZ276" s="31">
        <f t="shared" si="80"/>
        <v>0</v>
      </c>
      <c r="BA276" s="31">
        <f t="shared" si="81"/>
        <v>4</v>
      </c>
      <c r="BB276" s="32">
        <f>IFERROR(INDEX('Análisis general'!$E$4:$E$28,MATCH($B276,'Análisis general'!$B$4:$B$28,0)),"")</f>
        <v>6.7</v>
      </c>
      <c r="BC276" s="31">
        <f t="shared" si="82"/>
        <v>3</v>
      </c>
      <c r="BD276" s="32">
        <f t="shared" si="83"/>
        <v>4.7142857142857144</v>
      </c>
      <c r="BE276" s="32">
        <f t="shared" si="84"/>
        <v>5.3999999999999995</v>
      </c>
    </row>
    <row r="277" spans="1:57" ht="25.5" customHeight="1" x14ac:dyDescent="0.25">
      <c r="A277" s="33" t="s">
        <v>839</v>
      </c>
      <c r="B277" s="11" t="s">
        <v>44</v>
      </c>
      <c r="C277" s="34" t="s">
        <v>112</v>
      </c>
      <c r="D277" s="24">
        <f t="shared" si="68"/>
        <v>5</v>
      </c>
      <c r="E277" s="59">
        <f t="shared" si="69"/>
        <v>4.7142857142857144</v>
      </c>
      <c r="F277" s="59">
        <f t="shared" si="70"/>
        <v>5.3999999999999995</v>
      </c>
      <c r="G277" s="11" t="s">
        <v>840</v>
      </c>
      <c r="H277" s="25" t="str">
        <f>IFERROR(IF($AQ277,INDEX(cpe!$C$2:$C$307,MATCH($AR277,cpe!$F$2:$F$307,0)),INDEX(cpe!$C$2:$C$307,MATCH($AR277,cpe!$D$2:$D$307,0))),"#N/D")</f>
        <v>Institucion Educativa Departamental Mariano Santamaria</v>
      </c>
      <c r="I277" s="25" t="str">
        <f>IFERROR(IF($AQ277,INDEX(cpe!$B$2:$B$307,MATCH($AR277,cpe!$F$2:$F$307,0)),INDEX(cpe!$B$2:$B$307,MATCH($AR277,cpe!$D$2:$D$307,0))),"#N/D")</f>
        <v>Montenegro</v>
      </c>
      <c r="J277" s="26" t="str">
        <f>IF($AQ277,"#N/D",IFERROR(INDEX(Olimpiadas!$B$2:$B$61,MATCH($AO277,Olimpiadas!$C$2:$C$61,0)),"#N/D"))</f>
        <v>#N/D</v>
      </c>
      <c r="K277" s="26" t="str">
        <f>IF($AQ277,"#N/D",IFERROR(INDEX(Olimpiadas!$A$2:$A$61,MATCH($AO277,Olimpiadas!$C$2:$C$61,0)),"#N/D"))</f>
        <v>#N/D</v>
      </c>
      <c r="L277" s="26" t="str">
        <f>IF($AQ277,"#N/D",IFERROR(INDEX(Minculturas!$A$2:$A$48,MATCH($AO277,Minculturas!$C$2:$C$48,0)),"#N/D"))</f>
        <v>#N/D</v>
      </c>
      <c r="M277" s="26" t="str">
        <f>IF($AQ277,"#N/D",IFERROR(INDEX(Minculturas!$B$2:$B$48,MATCH($AO277,Minculturas!$C$2:$C$48,0)),"#N/D"))</f>
        <v>#N/D</v>
      </c>
      <c r="N277" s="27">
        <v>56</v>
      </c>
      <c r="O277" s="28">
        <v>0</v>
      </c>
      <c r="P277" s="28">
        <v>17</v>
      </c>
      <c r="Q277" s="28">
        <v>13</v>
      </c>
      <c r="R277" s="28">
        <v>1</v>
      </c>
      <c r="S277" s="28">
        <v>8</v>
      </c>
      <c r="T277" s="28">
        <v>4</v>
      </c>
      <c r="U277" s="28">
        <v>3</v>
      </c>
      <c r="V277" s="28">
        <v>0</v>
      </c>
      <c r="W277" s="28">
        <v>4</v>
      </c>
      <c r="X277" s="28">
        <v>0</v>
      </c>
      <c r="Y277" s="28">
        <v>1</v>
      </c>
      <c r="Z277" s="28">
        <v>0</v>
      </c>
      <c r="AA277" s="28">
        <v>1</v>
      </c>
      <c r="AB277" s="28">
        <v>4</v>
      </c>
      <c r="AC277" s="28">
        <v>0</v>
      </c>
      <c r="AD277" s="28">
        <v>0</v>
      </c>
      <c r="AE277" s="28">
        <v>0</v>
      </c>
      <c r="AF277" s="28">
        <v>0</v>
      </c>
      <c r="AG277" s="27">
        <f t="shared" si="71"/>
        <v>50</v>
      </c>
      <c r="AH277" s="28" t="s">
        <v>175</v>
      </c>
      <c r="AI277" s="28" t="s">
        <v>408</v>
      </c>
      <c r="AJ277" s="28">
        <v>25.8</v>
      </c>
      <c r="AK277" s="28"/>
      <c r="AL277" s="28"/>
      <c r="AM277" s="29" t="s">
        <v>114</v>
      </c>
      <c r="AO277" t="str">
        <f t="shared" si="72"/>
        <v>montenegro</v>
      </c>
      <c r="AP277" t="str">
        <f t="shared" si="73"/>
        <v>quindio</v>
      </c>
      <c r="AQ277" t="b">
        <f t="shared" si="74"/>
        <v>0</v>
      </c>
      <c r="AR277" t="str">
        <f t="shared" si="75"/>
        <v>montenegro</v>
      </c>
      <c r="AS277" s="30">
        <f t="shared" si="76"/>
        <v>1</v>
      </c>
      <c r="AT277" s="30">
        <f t="shared" si="77"/>
        <v>50</v>
      </c>
      <c r="AU277" s="30">
        <f t="shared" si="78"/>
        <v>3</v>
      </c>
      <c r="AV277" s="30">
        <f t="shared" si="79"/>
        <v>1</v>
      </c>
      <c r="AZ277" s="31">
        <f t="shared" si="80"/>
        <v>0</v>
      </c>
      <c r="BA277" s="31">
        <f t="shared" si="81"/>
        <v>4</v>
      </c>
      <c r="BB277" s="32">
        <f>IFERROR(INDEX('Análisis general'!$E$4:$E$28,MATCH($B277,'Análisis general'!$B$4:$B$28,0)),"")</f>
        <v>6.7</v>
      </c>
      <c r="BC277" s="31">
        <f t="shared" si="82"/>
        <v>3</v>
      </c>
      <c r="BD277" s="32">
        <f t="shared" si="83"/>
        <v>4.7142857142857144</v>
      </c>
      <c r="BE277" s="32">
        <f t="shared" si="84"/>
        <v>5.3999999999999995</v>
      </c>
    </row>
    <row r="278" spans="1:57" ht="25.5" customHeight="1" x14ac:dyDescent="0.25">
      <c r="A278" s="33" t="s">
        <v>837</v>
      </c>
      <c r="B278" s="11" t="s">
        <v>10</v>
      </c>
      <c r="C278" s="34" t="s">
        <v>112</v>
      </c>
      <c r="D278" s="24">
        <f t="shared" si="68"/>
        <v>4</v>
      </c>
      <c r="E278" s="59">
        <f t="shared" si="69"/>
        <v>4.7142857142857144</v>
      </c>
      <c r="F278" s="59">
        <f t="shared" si="70"/>
        <v>5.3999999999999995</v>
      </c>
      <c r="G278" s="11" t="s">
        <v>838</v>
      </c>
      <c r="H278" s="25" t="str">
        <f>IFERROR(IF($AQ278,INDEX(cpe!$C$2:$C$307,MATCH($AR278,cpe!$F$2:$F$307,0)),INDEX(cpe!$C$2:$C$307,MATCH($AR278,cpe!$D$2:$D$307,0))),"#N/D")</f>
        <v>#N/D</v>
      </c>
      <c r="I278" s="25" t="str">
        <f>IFERROR(IF($AQ278,INDEX(cpe!$B$2:$B$307,MATCH($AR278,cpe!$F$2:$F$307,0)),INDEX(cpe!$B$2:$B$307,MATCH($AR278,cpe!$D$2:$D$307,0))),"#N/D")</f>
        <v>#N/D</v>
      </c>
      <c r="J278" s="26" t="str">
        <f>IF($AQ278,"#N/D",IFERROR(INDEX(Olimpiadas!$B$2:$B$61,MATCH($AO278,Olimpiadas!$C$2:$C$61,0)),"#N/D"))</f>
        <v>Medellín</v>
      </c>
      <c r="K278" s="26" t="str">
        <f>IF($AQ278,"#N/D",IFERROR(INDEX(Olimpiadas!$A$2:$A$61,MATCH($AO278,Olimpiadas!$C$2:$C$61,0)),"#N/D"))</f>
        <v>INSTITUCIÓN EDUCATIVA RAFAEL URIBE URIBE</v>
      </c>
      <c r="L278" s="26" t="str">
        <f>IF($AQ278,"#N/D",IFERROR(INDEX(Minculturas!$A$2:$A$48,MATCH($AO278,Minculturas!$C$2:$C$48,0)),"#N/D"))</f>
        <v>#N/D</v>
      </c>
      <c r="M278" s="26" t="str">
        <f>IF($AQ278,"#N/D",IFERROR(INDEX(Minculturas!$B$2:$B$48,MATCH($AO278,Minculturas!$C$2:$C$48,0)),"#N/D"))</f>
        <v>#N/D</v>
      </c>
      <c r="N278" s="27">
        <v>60</v>
      </c>
      <c r="O278" s="28">
        <v>1</v>
      </c>
      <c r="P278" s="28">
        <v>12</v>
      </c>
      <c r="Q278" s="28">
        <v>0</v>
      </c>
      <c r="R278" s="28">
        <v>3</v>
      </c>
      <c r="S278" s="28">
        <v>6</v>
      </c>
      <c r="T278" s="28">
        <v>0</v>
      </c>
      <c r="U278" s="28">
        <v>5</v>
      </c>
      <c r="V278" s="28">
        <v>0</v>
      </c>
      <c r="W278" s="28">
        <v>0</v>
      </c>
      <c r="X278" s="28">
        <v>1</v>
      </c>
      <c r="Y278" s="28">
        <v>29</v>
      </c>
      <c r="Z278" s="28">
        <v>2</v>
      </c>
      <c r="AA278" s="28">
        <v>0</v>
      </c>
      <c r="AB278" s="28">
        <v>0</v>
      </c>
      <c r="AC278" s="28">
        <v>1</v>
      </c>
      <c r="AD278" s="28">
        <v>0</v>
      </c>
      <c r="AE278" s="28">
        <v>0</v>
      </c>
      <c r="AF278" s="28">
        <v>0</v>
      </c>
      <c r="AG278" s="27">
        <f t="shared" si="71"/>
        <v>28</v>
      </c>
      <c r="AH278" s="28"/>
      <c r="AI278" s="28"/>
      <c r="AJ278" s="28">
        <v>11.41</v>
      </c>
      <c r="AK278" s="28"/>
      <c r="AL278" s="28"/>
      <c r="AM278" s="29" t="s">
        <v>114</v>
      </c>
      <c r="AO278" t="str">
        <f t="shared" si="72"/>
        <v>medellin</v>
      </c>
      <c r="AP278" t="str">
        <f t="shared" si="73"/>
        <v>antioquia</v>
      </c>
      <c r="AQ278" t="b">
        <f t="shared" si="74"/>
        <v>0</v>
      </c>
      <c r="AR278" t="str">
        <f t="shared" si="75"/>
        <v>medellin</v>
      </c>
      <c r="AS278" s="30">
        <f t="shared" si="76"/>
        <v>1</v>
      </c>
      <c r="AT278" s="30">
        <f t="shared" si="77"/>
        <v>28</v>
      </c>
      <c r="AU278" s="30">
        <f t="shared" si="78"/>
        <v>3</v>
      </c>
      <c r="AV278" s="30">
        <f t="shared" si="79"/>
        <v>0</v>
      </c>
      <c r="AZ278" s="31">
        <f t="shared" si="80"/>
        <v>0</v>
      </c>
      <c r="BA278" s="31">
        <f t="shared" si="81"/>
        <v>4</v>
      </c>
      <c r="BB278" s="32">
        <f>IFERROR(INDEX('Análisis general'!$E$4:$E$28,MATCH($B278,'Análisis general'!$B$4:$B$28,0)),"")</f>
        <v>9.5</v>
      </c>
      <c r="BC278" s="31">
        <f t="shared" si="82"/>
        <v>3</v>
      </c>
      <c r="BD278" s="32">
        <f t="shared" si="83"/>
        <v>4.7142857142857144</v>
      </c>
      <c r="BE278" s="32">
        <f t="shared" si="84"/>
        <v>5.3999999999999995</v>
      </c>
    </row>
    <row r="279" spans="1:57" ht="25.5" customHeight="1" x14ac:dyDescent="0.25">
      <c r="A279" s="33" t="s">
        <v>841</v>
      </c>
      <c r="B279" s="11" t="s">
        <v>24</v>
      </c>
      <c r="C279" s="34" t="s">
        <v>112</v>
      </c>
      <c r="D279" s="24">
        <f t="shared" si="68"/>
        <v>5</v>
      </c>
      <c r="E279" s="59">
        <f t="shared" si="69"/>
        <v>4.7142857142857144</v>
      </c>
      <c r="F279" s="59">
        <f t="shared" si="70"/>
        <v>5.3999999999999995</v>
      </c>
      <c r="G279" s="11" t="s">
        <v>842</v>
      </c>
      <c r="H279" s="25" t="str">
        <f>IFERROR(IF($AQ279,INDEX(cpe!$C$2:$C$307,MATCH($AR279,cpe!$F$2:$F$307,0)),INDEX(cpe!$C$2:$C$307,MATCH($AR279,cpe!$D$2:$D$307,0))),"#N/D")</f>
        <v>#N/D</v>
      </c>
      <c r="I279" s="25" t="str">
        <f>IFERROR(IF($AQ279,INDEX(cpe!$B$2:$B$307,MATCH($AR279,cpe!$F$2:$F$307,0)),INDEX(cpe!$B$2:$B$307,MATCH($AR279,cpe!$D$2:$D$307,0))),"#N/D")</f>
        <v>#N/D</v>
      </c>
      <c r="J279" s="26" t="str">
        <f>IF($AQ279,"#N/D",IFERROR(INDEX(Olimpiadas!$B$2:$B$61,MATCH($AO279,Olimpiadas!$C$2:$C$61,0)),"#N/D"))</f>
        <v>Pácora</v>
      </c>
      <c r="K279" s="42" t="str">
        <f>IF($AQ279,"#N/D",IFERROR(INDEX(Olimpiadas!$A$2:$A$61,MATCH($AO279,Olimpiadas!$C$2:$C$61,0)),"#N/D"))</f>
        <v>INSTITUCIÓN EDUCATIVA LA MILAGROSA</v>
      </c>
      <c r="L279" s="42" t="str">
        <f>IF($AQ279,"#N/D",IFERROR(INDEX(Minculturas!$A$2:$A$48,MATCH($AO279,Minculturas!$C$2:$C$48,0)),"#N/D"))</f>
        <v>#N/D</v>
      </c>
      <c r="M279" s="42" t="str">
        <f>IF($AQ279,"#N/D",IFERROR(INDEX(Minculturas!$B$2:$B$48,MATCH($AO279,Minculturas!$C$2:$C$48,0)),"#N/D"))</f>
        <v>#N/D</v>
      </c>
      <c r="N279" s="27">
        <v>15</v>
      </c>
      <c r="O279" s="28">
        <v>0</v>
      </c>
      <c r="P279" s="28">
        <v>0</v>
      </c>
      <c r="Q279" s="28">
        <v>1</v>
      </c>
      <c r="R279" s="28">
        <v>4</v>
      </c>
      <c r="S279" s="28">
        <v>6</v>
      </c>
      <c r="T279" s="28">
        <v>2</v>
      </c>
      <c r="U279" s="28">
        <v>1</v>
      </c>
      <c r="V279" s="28">
        <v>0</v>
      </c>
      <c r="W279" s="28">
        <v>0</v>
      </c>
      <c r="X279" s="28">
        <v>0</v>
      </c>
      <c r="Y279" s="28">
        <v>1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7">
        <f t="shared" si="71"/>
        <v>14</v>
      </c>
      <c r="AH279" s="28"/>
      <c r="AI279" s="28"/>
      <c r="AJ279" s="28">
        <v>33.299999999999997</v>
      </c>
      <c r="AK279" s="28"/>
      <c r="AL279" s="28"/>
      <c r="AM279" s="29" t="s">
        <v>114</v>
      </c>
      <c r="AO279" t="str">
        <f t="shared" si="72"/>
        <v>pacora</v>
      </c>
      <c r="AP279" t="str">
        <f t="shared" si="73"/>
        <v>caldas</v>
      </c>
      <c r="AQ279" t="b">
        <f t="shared" si="74"/>
        <v>0</v>
      </c>
      <c r="AR279" t="str">
        <f t="shared" si="75"/>
        <v>pacora</v>
      </c>
      <c r="AS279" s="30">
        <f t="shared" si="76"/>
        <v>1</v>
      </c>
      <c r="AT279" s="30">
        <f t="shared" si="77"/>
        <v>14</v>
      </c>
      <c r="AU279" s="30">
        <f t="shared" si="78"/>
        <v>3</v>
      </c>
      <c r="AV279" s="30">
        <f t="shared" si="79"/>
        <v>1</v>
      </c>
      <c r="AZ279" s="31">
        <f t="shared" si="80"/>
        <v>0</v>
      </c>
      <c r="BA279" s="31">
        <f t="shared" si="81"/>
        <v>4</v>
      </c>
      <c r="BB279" s="32">
        <f>IFERROR(INDEX('Análisis general'!$E$4:$E$28,MATCH($B279,'Análisis general'!$B$4:$B$28,0)),"")</f>
        <v>7.9</v>
      </c>
      <c r="BC279" s="31">
        <f t="shared" si="82"/>
        <v>3</v>
      </c>
      <c r="BD279" s="32">
        <f t="shared" si="83"/>
        <v>4.7142857142857144</v>
      </c>
      <c r="BE279" s="32">
        <f t="shared" si="84"/>
        <v>5.3999999999999995</v>
      </c>
    </row>
    <row r="280" spans="1:57" ht="25.5" customHeight="1" x14ac:dyDescent="0.25">
      <c r="A280" s="33" t="s">
        <v>835</v>
      </c>
      <c r="B280" s="11" t="s">
        <v>10</v>
      </c>
      <c r="C280" s="34" t="s">
        <v>112</v>
      </c>
      <c r="D280" s="24">
        <f t="shared" si="68"/>
        <v>4</v>
      </c>
      <c r="E280" s="59">
        <f t="shared" si="69"/>
        <v>4.7142857142857144</v>
      </c>
      <c r="F280" s="59">
        <f t="shared" si="70"/>
        <v>5.3999999999999995</v>
      </c>
      <c r="G280" s="11" t="s">
        <v>836</v>
      </c>
      <c r="H280" s="25" t="str">
        <f>IFERROR(IF($AQ280,INDEX(cpe!$C$2:$C$307,MATCH($AR280,cpe!$F$2:$F$307,0)),INDEX(cpe!$C$2:$C$307,MATCH($AR280,cpe!$D$2:$D$307,0))),"#N/D")</f>
        <v>#N/D</v>
      </c>
      <c r="I280" s="25" t="str">
        <f>IFERROR(IF($AQ280,INDEX(cpe!$B$2:$B$307,MATCH($AR280,cpe!$F$2:$F$307,0)),INDEX(cpe!$B$2:$B$307,MATCH($AR280,cpe!$D$2:$D$307,0))),"#N/D")</f>
        <v>#N/D</v>
      </c>
      <c r="J280" s="26" t="str">
        <f>IF($AQ280,"#N/D",IFERROR(INDEX(Olimpiadas!$B$2:$B$61,MATCH($AO280,Olimpiadas!$C$2:$C$61,0)),"#N/D"))</f>
        <v>La Estrella</v>
      </c>
      <c r="K280" s="26" t="str">
        <f>IF($AQ280,"#N/D",IFERROR(INDEX(Olimpiadas!$A$2:$A$61,MATCH($AO280,Olimpiadas!$C$2:$C$61,0)),"#N/D"))</f>
        <v>INSTITUCIÓN EDUCATIVA JOSÉ ANTONIO GALÁN</v>
      </c>
      <c r="L280" s="26" t="str">
        <f>IF($AQ280,"#N/D",IFERROR(INDEX(Minculturas!$A$2:$A$48,MATCH($AO280,Minculturas!$C$2:$C$48,0)),"#N/D"))</f>
        <v>#N/D</v>
      </c>
      <c r="M280" s="26" t="str">
        <f>IF($AQ280,"#N/D",IFERROR(INDEX(Minculturas!$B$2:$B$48,MATCH($AO280,Minculturas!$C$2:$C$48,0)),"#N/D"))</f>
        <v>#N/D</v>
      </c>
      <c r="N280" s="27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7">
        <f t="shared" si="71"/>
        <v>0</v>
      </c>
      <c r="AH280" s="28"/>
      <c r="AI280" s="28"/>
      <c r="AJ280" s="28">
        <v>9.1999999999999993</v>
      </c>
      <c r="AK280" s="28"/>
      <c r="AL280" s="28"/>
      <c r="AM280" s="29" t="s">
        <v>657</v>
      </c>
      <c r="AO280" t="str">
        <f t="shared" si="72"/>
        <v>la estrella</v>
      </c>
      <c r="AP280" t="str">
        <f t="shared" si="73"/>
        <v>antioquia</v>
      </c>
      <c r="AQ280" t="b">
        <f t="shared" si="74"/>
        <v>0</v>
      </c>
      <c r="AR280" t="str">
        <f t="shared" si="75"/>
        <v>la estrella</v>
      </c>
      <c r="AS280" s="30">
        <f t="shared" si="76"/>
        <v>1</v>
      </c>
      <c r="AT280" s="30">
        <f t="shared" si="77"/>
        <v>0</v>
      </c>
      <c r="AU280" s="30">
        <f t="shared" si="78"/>
        <v>0</v>
      </c>
      <c r="AV280" s="30">
        <f t="shared" si="79"/>
        <v>3</v>
      </c>
      <c r="AZ280" s="31">
        <f t="shared" si="80"/>
        <v>3</v>
      </c>
      <c r="BA280" s="31">
        <f t="shared" si="81"/>
        <v>4</v>
      </c>
      <c r="BB280" s="32">
        <f>IFERROR(INDEX('Análisis general'!$E$4:$E$28,MATCH($B280,'Análisis general'!$B$4:$B$28,0)),"")</f>
        <v>9.5</v>
      </c>
      <c r="BC280" s="31">
        <f t="shared" si="82"/>
        <v>3</v>
      </c>
      <c r="BD280" s="32">
        <f t="shared" si="83"/>
        <v>4.7142857142857144</v>
      </c>
      <c r="BE280" s="32">
        <f t="shared" si="84"/>
        <v>5.3999999999999995</v>
      </c>
    </row>
    <row r="281" spans="1:57" ht="25.5" customHeight="1" x14ac:dyDescent="0.25">
      <c r="A281" s="33" t="s">
        <v>843</v>
      </c>
      <c r="B281" s="11" t="s">
        <v>10</v>
      </c>
      <c r="C281" s="34" t="s">
        <v>112</v>
      </c>
      <c r="D281" s="24">
        <f t="shared" si="68"/>
        <v>4</v>
      </c>
      <c r="E281" s="59">
        <f t="shared" si="69"/>
        <v>4.7142857142857144</v>
      </c>
      <c r="F281" s="59">
        <f t="shared" si="70"/>
        <v>5.3999999999999995</v>
      </c>
      <c r="G281" s="11" t="s">
        <v>844</v>
      </c>
      <c r="H281" s="25" t="s">
        <v>845</v>
      </c>
      <c r="I281" s="25" t="s">
        <v>844</v>
      </c>
      <c r="J281" s="26" t="s">
        <v>106</v>
      </c>
      <c r="K281" s="26" t="str">
        <f>IF($AQ281,"#N/D",IFERROR(INDEX(Olimpiadas!$A$2:$A$61,MATCH($AO281,Olimpiadas!$C$2:$C$61,0)),"#N/D"))</f>
        <v>#N/D</v>
      </c>
      <c r="L281" s="26" t="str">
        <f>IF($AQ281,"#N/D",IFERROR(INDEX(Minculturas!$A$2:$A$48,MATCH($AO281,Minculturas!$C$2:$C$48,0)),"#N/D"))</f>
        <v>#N/D</v>
      </c>
      <c r="M281" s="26" t="str">
        <f>IF($AQ281,"#N/D",IFERROR(INDEX(Minculturas!$B$2:$B$48,MATCH($AO281,Minculturas!$C$2:$C$48,0)),"#N/D"))</f>
        <v>#N/D</v>
      </c>
      <c r="N281" s="27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0</v>
      </c>
      <c r="AG281" s="27">
        <f t="shared" si="71"/>
        <v>0</v>
      </c>
      <c r="AH281" s="28"/>
      <c r="AI281" s="28"/>
      <c r="AJ281" s="28">
        <v>53.5</v>
      </c>
      <c r="AK281" s="28"/>
      <c r="AL281" s="28"/>
      <c r="AM281" s="29" t="s">
        <v>365</v>
      </c>
      <c r="AO281" t="str">
        <f t="shared" si="72"/>
        <v>toledo</v>
      </c>
      <c r="AP281" t="str">
        <f t="shared" si="73"/>
        <v>antioquia</v>
      </c>
      <c r="AQ281" t="b">
        <f t="shared" si="74"/>
        <v>0</v>
      </c>
      <c r="AR281" t="str">
        <f t="shared" si="75"/>
        <v>toledo</v>
      </c>
      <c r="AS281" s="30">
        <f t="shared" si="76"/>
        <v>1</v>
      </c>
      <c r="AT281" s="30">
        <f t="shared" si="77"/>
        <v>0</v>
      </c>
      <c r="AU281" s="30">
        <f t="shared" si="78"/>
        <v>0</v>
      </c>
      <c r="AV281" s="30">
        <f t="shared" si="79"/>
        <v>3</v>
      </c>
      <c r="AZ281" s="31">
        <f t="shared" si="80"/>
        <v>3</v>
      </c>
      <c r="BA281" s="31">
        <f t="shared" si="81"/>
        <v>4</v>
      </c>
      <c r="BB281" s="32">
        <f>IFERROR(INDEX('Análisis general'!$E$4:$E$28,MATCH($B281,'Análisis general'!$B$4:$B$28,0)),"")</f>
        <v>9.5</v>
      </c>
      <c r="BC281" s="31">
        <f t="shared" si="82"/>
        <v>3</v>
      </c>
      <c r="BD281" s="32">
        <f t="shared" si="83"/>
        <v>4.7142857142857144</v>
      </c>
      <c r="BE281" s="32">
        <f t="shared" si="84"/>
        <v>5.3999999999999995</v>
      </c>
    </row>
    <row r="282" spans="1:57" ht="25.5" customHeight="1" x14ac:dyDescent="0.25">
      <c r="A282" s="33" t="s">
        <v>940</v>
      </c>
      <c r="B282" s="11" t="s">
        <v>44</v>
      </c>
      <c r="C282" s="34" t="s">
        <v>112</v>
      </c>
      <c r="D282" s="24">
        <f t="shared" si="68"/>
        <v>4</v>
      </c>
      <c r="E282" s="59">
        <f t="shared" si="69"/>
        <v>3.8571428571428568</v>
      </c>
      <c r="F282" s="59">
        <f t="shared" si="70"/>
        <v>5.3999999999999995</v>
      </c>
      <c r="G282" s="11" t="s">
        <v>941</v>
      </c>
      <c r="H282" s="25" t="s">
        <v>106</v>
      </c>
      <c r="I282" s="25" t="s">
        <v>106</v>
      </c>
      <c r="J282" s="26" t="s">
        <v>106</v>
      </c>
      <c r="K282" s="26" t="str">
        <f>IF($AQ282,"#N/D",IFERROR(INDEX(Olimpiadas!$A$2:$A$61,MATCH($AO282,Olimpiadas!$C$2:$C$61,0)),"#N/D"))</f>
        <v>#N/D</v>
      </c>
      <c r="L282" s="26" t="str">
        <f>IF($AQ282,"#N/D",IFERROR(INDEX(Minculturas!$A$2:$A$48,MATCH($AO282,Minculturas!$C$2:$C$48,0)),"#N/D"))</f>
        <v>#N/D</v>
      </c>
      <c r="M282" s="26" t="str">
        <f>IF($AQ282,"#N/D",IFERROR(INDEX(Minculturas!$B$2:$B$48,MATCH($AO282,Minculturas!$C$2:$C$48,0)),"#N/D"))</f>
        <v>#N/D</v>
      </c>
      <c r="N282" s="27">
        <v>38</v>
      </c>
      <c r="O282" s="28">
        <v>5</v>
      </c>
      <c r="P282" s="28">
        <v>8</v>
      </c>
      <c r="Q282" s="28">
        <v>4</v>
      </c>
      <c r="R282" s="28">
        <v>2</v>
      </c>
      <c r="S282" s="28">
        <v>0</v>
      </c>
      <c r="T282" s="28">
        <v>2</v>
      </c>
      <c r="U282" s="28">
        <v>4</v>
      </c>
      <c r="V282" s="28">
        <v>3</v>
      </c>
      <c r="W282" s="28">
        <v>3</v>
      </c>
      <c r="X282" s="28">
        <v>1</v>
      </c>
      <c r="Y282" s="28">
        <v>1</v>
      </c>
      <c r="Z282" s="28">
        <v>0</v>
      </c>
      <c r="AA282" s="28">
        <v>2</v>
      </c>
      <c r="AB282" s="28">
        <v>2</v>
      </c>
      <c r="AC282" s="28">
        <v>0</v>
      </c>
      <c r="AD282" s="28">
        <v>0</v>
      </c>
      <c r="AE282" s="28">
        <v>1</v>
      </c>
      <c r="AF282" s="28">
        <v>0</v>
      </c>
      <c r="AG282" s="27">
        <f t="shared" si="71"/>
        <v>32</v>
      </c>
      <c r="AH282" s="28" t="s">
        <v>942</v>
      </c>
      <c r="AI282" s="28" t="s">
        <v>943</v>
      </c>
      <c r="AJ282" s="28">
        <v>22</v>
      </c>
      <c r="AK282" s="28"/>
      <c r="AL282" s="28"/>
      <c r="AM282" s="29" t="s">
        <v>114</v>
      </c>
      <c r="AO282" t="str">
        <f t="shared" si="72"/>
        <v>quimbaya</v>
      </c>
      <c r="AP282" t="str">
        <f t="shared" si="73"/>
        <v>quindio</v>
      </c>
      <c r="AQ282" t="b">
        <f t="shared" si="74"/>
        <v>0</v>
      </c>
      <c r="AR282" t="str">
        <f t="shared" si="75"/>
        <v>quimbaya</v>
      </c>
      <c r="AS282" s="30">
        <f t="shared" si="76"/>
        <v>0</v>
      </c>
      <c r="AT282" s="30">
        <f t="shared" si="77"/>
        <v>32</v>
      </c>
      <c r="AU282" s="30">
        <f t="shared" si="78"/>
        <v>3</v>
      </c>
      <c r="AV282" s="30">
        <f t="shared" si="79"/>
        <v>1</v>
      </c>
      <c r="AZ282" s="31">
        <f t="shared" si="80"/>
        <v>0</v>
      </c>
      <c r="BA282" s="31">
        <f t="shared" si="81"/>
        <v>3</v>
      </c>
      <c r="BB282" s="32">
        <f>IFERROR(INDEX('Análisis general'!$E$4:$E$28,MATCH($B282,'Análisis general'!$B$4:$B$28,0)),"")</f>
        <v>6.7</v>
      </c>
      <c r="BC282" s="31">
        <f t="shared" si="82"/>
        <v>3</v>
      </c>
      <c r="BD282" s="32">
        <f t="shared" si="83"/>
        <v>3.8571428571428568</v>
      </c>
      <c r="BE282" s="32">
        <f t="shared" si="84"/>
        <v>5.3999999999999995</v>
      </c>
    </row>
    <row r="283" spans="1:57" ht="25.5" customHeight="1" x14ac:dyDescent="0.25">
      <c r="A283" s="33" t="s">
        <v>859</v>
      </c>
      <c r="B283" s="11" t="s">
        <v>24</v>
      </c>
      <c r="C283" s="60" t="s">
        <v>1214</v>
      </c>
      <c r="D283" s="24">
        <f t="shared" si="68"/>
        <v>3</v>
      </c>
      <c r="E283" s="59">
        <f t="shared" si="69"/>
        <v>3.8571428571428568</v>
      </c>
      <c r="F283" s="59">
        <f t="shared" si="70"/>
        <v>5.3999999999999995</v>
      </c>
      <c r="G283" s="11" t="s">
        <v>860</v>
      </c>
      <c r="H283" s="25" t="s">
        <v>106</v>
      </c>
      <c r="I283" s="25" t="s">
        <v>106</v>
      </c>
      <c r="J283" s="26" t="s">
        <v>106</v>
      </c>
      <c r="K283" s="26" t="str">
        <f>IF($AQ283,"#N/D",IFERROR(INDEX(Olimpiadas!$A$2:$A$61,MATCH($AO283,Olimpiadas!$C$2:$C$61,0)),"#N/D"))</f>
        <v>#N/D</v>
      </c>
      <c r="L283" s="26" t="str">
        <f>IF($AQ283,"#N/D",IFERROR(INDEX(Minculturas!$A$2:$A$48,MATCH($AO283,Minculturas!$C$2:$C$48,0)),"#N/D"))</f>
        <v>#N/D</v>
      </c>
      <c r="M283" s="26" t="str">
        <f>IF($AQ283,"#N/D",IFERROR(INDEX(Minculturas!$B$2:$B$48,MATCH($AO283,Minculturas!$C$2:$C$48,0)),"#N/D"))</f>
        <v>#N/D</v>
      </c>
      <c r="N283" s="27">
        <v>31</v>
      </c>
      <c r="O283" s="28">
        <v>1</v>
      </c>
      <c r="P283" s="28">
        <v>8</v>
      </c>
      <c r="Q283" s="28">
        <v>10</v>
      </c>
      <c r="R283" s="28">
        <v>0</v>
      </c>
      <c r="S283" s="28">
        <v>2</v>
      </c>
      <c r="T283" s="28">
        <v>1</v>
      </c>
      <c r="U283" s="28">
        <v>2</v>
      </c>
      <c r="V283" s="28">
        <v>2</v>
      </c>
      <c r="W283" s="28">
        <v>1</v>
      </c>
      <c r="X283" s="28">
        <v>1</v>
      </c>
      <c r="Y283" s="28">
        <v>2</v>
      </c>
      <c r="Z283" s="28">
        <v>0</v>
      </c>
      <c r="AA283" s="28">
        <v>0</v>
      </c>
      <c r="AB283" s="28">
        <v>1</v>
      </c>
      <c r="AC283" s="28">
        <v>0</v>
      </c>
      <c r="AD283" s="28">
        <v>0</v>
      </c>
      <c r="AE283" s="28">
        <v>0</v>
      </c>
      <c r="AF283" s="28">
        <v>0</v>
      </c>
      <c r="AG283" s="27">
        <f t="shared" si="71"/>
        <v>28</v>
      </c>
      <c r="AH283" s="26" t="s">
        <v>861</v>
      </c>
      <c r="AI283" s="26" t="s">
        <v>862</v>
      </c>
      <c r="AJ283" s="28">
        <v>17</v>
      </c>
      <c r="AK283" s="28"/>
      <c r="AL283" s="28"/>
      <c r="AM283" s="29" t="s">
        <v>114</v>
      </c>
      <c r="AO283" t="str">
        <f t="shared" si="72"/>
        <v>villamaria</v>
      </c>
      <c r="AP283" t="str">
        <f t="shared" si="73"/>
        <v>caldas</v>
      </c>
      <c r="AQ283" t="b">
        <f t="shared" si="74"/>
        <v>0</v>
      </c>
      <c r="AR283" t="str">
        <f t="shared" si="75"/>
        <v>villamaria</v>
      </c>
      <c r="AS283" s="30">
        <f t="shared" si="76"/>
        <v>0</v>
      </c>
      <c r="AT283" s="30">
        <f t="shared" si="77"/>
        <v>28</v>
      </c>
      <c r="AU283" s="30">
        <f t="shared" si="78"/>
        <v>3</v>
      </c>
      <c r="AV283" s="30">
        <f t="shared" si="79"/>
        <v>0</v>
      </c>
      <c r="AZ283" s="31">
        <f t="shared" si="80"/>
        <v>0</v>
      </c>
      <c r="BA283" s="31">
        <f t="shared" si="81"/>
        <v>3</v>
      </c>
      <c r="BB283" s="32">
        <f>IFERROR(INDEX('Análisis general'!$E$4:$E$28,MATCH($B283,'Análisis general'!$B$4:$B$28,0)),"")</f>
        <v>7.9</v>
      </c>
      <c r="BC283" s="31">
        <f t="shared" si="82"/>
        <v>3</v>
      </c>
      <c r="BD283" s="32">
        <f t="shared" si="83"/>
        <v>3.8571428571428568</v>
      </c>
      <c r="BE283" s="32">
        <f t="shared" si="84"/>
        <v>5.3999999999999995</v>
      </c>
    </row>
    <row r="284" spans="1:57" ht="25.5" customHeight="1" x14ac:dyDescent="0.25">
      <c r="A284" s="33" t="s">
        <v>846</v>
      </c>
      <c r="B284" s="11" t="s">
        <v>24</v>
      </c>
      <c r="C284" s="60" t="s">
        <v>1214</v>
      </c>
      <c r="D284" s="24">
        <f t="shared" si="68"/>
        <v>3</v>
      </c>
      <c r="E284" s="59">
        <f t="shared" si="69"/>
        <v>3.8571428571428568</v>
      </c>
      <c r="F284" s="59">
        <f t="shared" si="70"/>
        <v>5.3999999999999995</v>
      </c>
      <c r="G284" s="11" t="s">
        <v>847</v>
      </c>
      <c r="H284" s="25" t="str">
        <f>IFERROR(IF($AQ284,INDEX(cpe!$C$2:$C$307,MATCH($AR284,cpe!$F$2:$F$307,0)),INDEX(cpe!$C$2:$C$307,MATCH($AR284,cpe!$D$2:$D$307,0))),"#N/D")</f>
        <v>#N/D</v>
      </c>
      <c r="I284" s="25" t="str">
        <f>IFERROR(IF($AQ284,INDEX(cpe!$B$2:$B$307,MATCH($AR284,cpe!$F$2:$F$307,0)),INDEX(cpe!$B$2:$B$307,MATCH($AR284,cpe!$D$2:$D$307,0))),"#N/D")</f>
        <v>#N/D</v>
      </c>
      <c r="J284" s="26" t="str">
        <f>IF($AQ284,"#N/D",IFERROR(INDEX(Olimpiadas!$B$2:$B$61,MATCH($AO284,Olimpiadas!$C$2:$C$61,0)),"#N/D"))</f>
        <v>#N/D</v>
      </c>
      <c r="K284" s="26" t="str">
        <f>IF($AQ284,"#N/D",IFERROR(INDEX(Olimpiadas!$A$2:$A$61,MATCH($AO284,Olimpiadas!$C$2:$C$61,0)),"#N/D"))</f>
        <v>#N/D</v>
      </c>
      <c r="L284" s="26" t="str">
        <f>IF($AQ284,"#N/D",IFERROR(INDEX(Minculturas!$A$2:$A$48,MATCH($AO284,Minculturas!$C$2:$C$48,0)),"#N/D"))</f>
        <v>#N/D</v>
      </c>
      <c r="M284" s="26" t="str">
        <f>IF($AQ284,"#N/D",IFERROR(INDEX(Minculturas!$B$2:$B$48,MATCH($AO284,Minculturas!$C$2:$C$48,0)),"#N/D"))</f>
        <v>#N/D</v>
      </c>
      <c r="N284" s="27">
        <v>34</v>
      </c>
      <c r="O284" s="28">
        <v>0</v>
      </c>
      <c r="P284" s="28">
        <v>6</v>
      </c>
      <c r="Q284" s="28">
        <v>2</v>
      </c>
      <c r="R284" s="28">
        <v>2</v>
      </c>
      <c r="S284" s="28">
        <v>12</v>
      </c>
      <c r="T284" s="28">
        <v>1</v>
      </c>
      <c r="U284" s="28">
        <v>1</v>
      </c>
      <c r="V284" s="28">
        <v>1</v>
      </c>
      <c r="W284" s="28">
        <v>0</v>
      </c>
      <c r="X284" s="28">
        <v>0</v>
      </c>
      <c r="Y284" s="28">
        <v>5</v>
      </c>
      <c r="Z284" s="28">
        <v>0</v>
      </c>
      <c r="AA284" s="28">
        <v>1</v>
      </c>
      <c r="AB284" s="28">
        <v>3</v>
      </c>
      <c r="AC284" s="28">
        <v>0</v>
      </c>
      <c r="AD284" s="28">
        <v>0</v>
      </c>
      <c r="AE284" s="28">
        <v>0</v>
      </c>
      <c r="AF284" s="28">
        <v>0</v>
      </c>
      <c r="AG284" s="27">
        <f t="shared" si="71"/>
        <v>25</v>
      </c>
      <c r="AH284" s="38" t="s">
        <v>848</v>
      </c>
      <c r="AI284" s="38" t="s">
        <v>849</v>
      </c>
      <c r="AJ284" s="28">
        <v>21.8</v>
      </c>
      <c r="AK284" s="28"/>
      <c r="AL284" s="28"/>
      <c r="AM284" s="29" t="s">
        <v>850</v>
      </c>
      <c r="AO284" t="str">
        <f t="shared" si="72"/>
        <v>chinchina</v>
      </c>
      <c r="AP284" t="str">
        <f t="shared" si="73"/>
        <v>caldas</v>
      </c>
      <c r="AQ284" t="b">
        <f t="shared" si="74"/>
        <v>0</v>
      </c>
      <c r="AR284" t="str">
        <f t="shared" si="75"/>
        <v>chinchina</v>
      </c>
      <c r="AS284" s="30">
        <f t="shared" si="76"/>
        <v>0</v>
      </c>
      <c r="AT284" s="30">
        <f t="shared" si="77"/>
        <v>25</v>
      </c>
      <c r="AU284" s="30">
        <f t="shared" si="78"/>
        <v>3</v>
      </c>
      <c r="AV284" s="30">
        <f t="shared" si="79"/>
        <v>0</v>
      </c>
      <c r="AZ284" s="31">
        <f t="shared" si="80"/>
        <v>0</v>
      </c>
      <c r="BA284" s="31">
        <f t="shared" si="81"/>
        <v>3</v>
      </c>
      <c r="BB284" s="32">
        <f>IFERROR(INDEX('Análisis general'!$E$4:$E$28,MATCH($B284,'Análisis general'!$B$4:$B$28,0)),"")</f>
        <v>7.9</v>
      </c>
      <c r="BC284" s="31">
        <f t="shared" si="82"/>
        <v>3</v>
      </c>
      <c r="BD284" s="32">
        <f t="shared" si="83"/>
        <v>3.8571428571428568</v>
      </c>
      <c r="BE284" s="32">
        <f t="shared" si="84"/>
        <v>5.3999999999999995</v>
      </c>
    </row>
    <row r="285" spans="1:57" ht="25.5" customHeight="1" x14ac:dyDescent="0.25">
      <c r="A285" s="33" t="s">
        <v>886</v>
      </c>
      <c r="B285" s="11" t="s">
        <v>44</v>
      </c>
      <c r="C285" s="34" t="s">
        <v>112</v>
      </c>
      <c r="D285" s="24">
        <f t="shared" si="68"/>
        <v>3</v>
      </c>
      <c r="E285" s="59">
        <f t="shared" si="69"/>
        <v>3.8571428571428568</v>
      </c>
      <c r="F285" s="59">
        <f t="shared" si="70"/>
        <v>5.3999999999999995</v>
      </c>
      <c r="G285" s="11" t="s">
        <v>887</v>
      </c>
      <c r="H285" s="25" t="str">
        <f>IFERROR(IF($AQ285,INDEX(cpe!$C$2:$C$307,MATCH($AR285,cpe!$F$2:$F$307,0)),INDEX(cpe!$C$2:$C$307,MATCH($AR285,cpe!$D$2:$D$307,0))),"#N/D")</f>
        <v>#N/D</v>
      </c>
      <c r="I285" s="25" t="str">
        <f>IFERROR(IF($AQ285,INDEX(cpe!$B$2:$B$307,MATCH($AR285,cpe!$F$2:$F$307,0)),INDEX(cpe!$B$2:$B$307,MATCH($AR285,cpe!$D$2:$D$307,0))),"#N/D")</f>
        <v>#N/D</v>
      </c>
      <c r="J285" s="26" t="str">
        <f>IF($AQ285,"#N/D",IFERROR(INDEX(Olimpiadas!$B$2:$B$61,MATCH($AO285,Olimpiadas!$C$2:$C$61,0)),"#N/D"))</f>
        <v>#N/D</v>
      </c>
      <c r="K285" s="26" t="str">
        <f>IF($AQ285,"#N/D",IFERROR(INDEX(Olimpiadas!$A$2:$A$61,MATCH($AO285,Olimpiadas!$C$2:$C$61,0)),"#N/D"))</f>
        <v>#N/D</v>
      </c>
      <c r="L285" s="26" t="str">
        <f>IF($AQ285,"#N/D",IFERROR(INDEX(Minculturas!$A$2:$A$48,MATCH($AO285,Minculturas!$C$2:$C$48,0)),"#N/D"))</f>
        <v>#N/D</v>
      </c>
      <c r="M285" s="26" t="str">
        <f>IF($AQ285,"#N/D",IFERROR(INDEX(Minculturas!$B$2:$B$48,MATCH($AO285,Minculturas!$C$2:$C$48,0)),"#N/D"))</f>
        <v>#N/D</v>
      </c>
      <c r="N285" s="27">
        <v>31</v>
      </c>
      <c r="O285" s="28">
        <v>1</v>
      </c>
      <c r="P285" s="28">
        <v>9</v>
      </c>
      <c r="Q285" s="28">
        <v>2</v>
      </c>
      <c r="R285" s="28">
        <v>1</v>
      </c>
      <c r="S285" s="28">
        <v>1</v>
      </c>
      <c r="T285" s="28">
        <v>1</v>
      </c>
      <c r="U285" s="28">
        <v>5</v>
      </c>
      <c r="V285" s="28">
        <v>2</v>
      </c>
      <c r="W285" s="28">
        <v>0</v>
      </c>
      <c r="X285" s="28">
        <v>1</v>
      </c>
      <c r="Y285" s="28">
        <v>4</v>
      </c>
      <c r="Z285" s="28">
        <v>0</v>
      </c>
      <c r="AA285" s="28">
        <v>1</v>
      </c>
      <c r="AB285" s="28">
        <v>3</v>
      </c>
      <c r="AC285" s="28">
        <v>0</v>
      </c>
      <c r="AD285" s="28">
        <v>0</v>
      </c>
      <c r="AE285" s="28">
        <v>0</v>
      </c>
      <c r="AF285" s="28">
        <v>0</v>
      </c>
      <c r="AG285" s="27">
        <f t="shared" si="71"/>
        <v>23</v>
      </c>
      <c r="AH285" s="28" t="s">
        <v>123</v>
      </c>
      <c r="AI285" s="28" t="s">
        <v>888</v>
      </c>
      <c r="AJ285" s="28">
        <v>19.899999999999999</v>
      </c>
      <c r="AK285" s="28"/>
      <c r="AL285" s="28"/>
      <c r="AM285" s="29" t="s">
        <v>114</v>
      </c>
      <c r="AO285" t="str">
        <f t="shared" si="72"/>
        <v>calarca</v>
      </c>
      <c r="AP285" t="str">
        <f t="shared" si="73"/>
        <v>quindio</v>
      </c>
      <c r="AQ285" t="b">
        <f t="shared" si="74"/>
        <v>0</v>
      </c>
      <c r="AR285" t="str">
        <f t="shared" si="75"/>
        <v>calarca</v>
      </c>
      <c r="AS285" s="30">
        <f t="shared" si="76"/>
        <v>0</v>
      </c>
      <c r="AT285" s="30">
        <f t="shared" si="77"/>
        <v>23</v>
      </c>
      <c r="AU285" s="30">
        <f t="shared" si="78"/>
        <v>3</v>
      </c>
      <c r="AV285" s="30">
        <f t="shared" si="79"/>
        <v>0</v>
      </c>
      <c r="AZ285" s="31">
        <f t="shared" si="80"/>
        <v>0</v>
      </c>
      <c r="BA285" s="31">
        <f t="shared" si="81"/>
        <v>3</v>
      </c>
      <c r="BB285" s="32">
        <f>IFERROR(INDEX('Análisis general'!$E$4:$E$28,MATCH($B285,'Análisis general'!$B$4:$B$28,0)),"")</f>
        <v>6.7</v>
      </c>
      <c r="BC285" s="31">
        <f t="shared" si="82"/>
        <v>3</v>
      </c>
      <c r="BD285" s="32">
        <f t="shared" si="83"/>
        <v>3.8571428571428568</v>
      </c>
      <c r="BE285" s="32">
        <f t="shared" si="84"/>
        <v>5.3999999999999995</v>
      </c>
    </row>
    <row r="286" spans="1:57" ht="25.5" customHeight="1" x14ac:dyDescent="0.25">
      <c r="A286" s="33" t="s">
        <v>851</v>
      </c>
      <c r="B286" s="11" t="s">
        <v>24</v>
      </c>
      <c r="C286" s="60" t="s">
        <v>1214</v>
      </c>
      <c r="D286" s="24">
        <f t="shared" si="68"/>
        <v>3</v>
      </c>
      <c r="E286" s="59">
        <f t="shared" si="69"/>
        <v>3.8571428571428568</v>
      </c>
      <c r="F286" s="59">
        <f t="shared" si="70"/>
        <v>5.3999999999999995</v>
      </c>
      <c r="G286" s="11" t="s">
        <v>852</v>
      </c>
      <c r="H286" s="25" t="str">
        <f>IFERROR(IF($AQ286,INDEX(cpe!$C$2:$C$307,MATCH($AR286,cpe!$F$2:$F$307,0)),INDEX(cpe!$C$2:$C$307,MATCH($AR286,cpe!$D$2:$D$307,0))),"#N/D")</f>
        <v>#N/D</v>
      </c>
      <c r="I286" s="25" t="str">
        <f>IFERROR(IF($AQ286,INDEX(cpe!$B$2:$B$307,MATCH($AR286,cpe!$F$2:$F$307,0)),INDEX(cpe!$B$2:$B$307,MATCH($AR286,cpe!$D$2:$D$307,0))),"#N/D")</f>
        <v>#N/D</v>
      </c>
      <c r="J286" s="26" t="str">
        <f>IF($AQ286,"#N/D",IFERROR(INDEX(Olimpiadas!$B$2:$B$61,MATCH($AO286,Olimpiadas!$C$2:$C$61,0)),"#N/D"))</f>
        <v>#N/D</v>
      </c>
      <c r="K286" s="26" t="str">
        <f>IF($AQ286,"#N/D",IFERROR(INDEX(Olimpiadas!$A$2:$A$61,MATCH($AO286,Olimpiadas!$C$2:$C$61,0)),"#N/D"))</f>
        <v>#N/D</v>
      </c>
      <c r="L286" s="26" t="str">
        <f>IF($AQ286,"#N/D",IFERROR(INDEX(Minculturas!$A$2:$A$48,MATCH($AO286,Minculturas!$C$2:$C$48,0)),"#N/D"))</f>
        <v>#N/D</v>
      </c>
      <c r="M286" s="26" t="str">
        <f>IF($AQ286,"#N/D",IFERROR(INDEX(Minculturas!$B$2:$B$48,MATCH($AO286,Minculturas!$C$2:$C$48,0)),"#N/D"))</f>
        <v>#N/D</v>
      </c>
      <c r="N286" s="27">
        <v>25</v>
      </c>
      <c r="O286" s="28">
        <v>0</v>
      </c>
      <c r="P286" s="28">
        <v>6</v>
      </c>
      <c r="Q286" s="28">
        <v>6</v>
      </c>
      <c r="R286" s="28">
        <v>1</v>
      </c>
      <c r="S286" s="28">
        <v>2</v>
      </c>
      <c r="T286" s="28">
        <v>2</v>
      </c>
      <c r="U286" s="28">
        <v>1</v>
      </c>
      <c r="V286" s="28">
        <v>1</v>
      </c>
      <c r="W286" s="28">
        <v>1</v>
      </c>
      <c r="X286" s="28">
        <v>0</v>
      </c>
      <c r="Y286" s="28">
        <v>3</v>
      </c>
      <c r="Z286" s="28">
        <v>0</v>
      </c>
      <c r="AA286" s="28">
        <v>0</v>
      </c>
      <c r="AB286" s="28">
        <v>2</v>
      </c>
      <c r="AC286" s="28">
        <v>0</v>
      </c>
      <c r="AD286" s="28">
        <v>0</v>
      </c>
      <c r="AE286" s="28">
        <v>0</v>
      </c>
      <c r="AF286" s="28">
        <v>0</v>
      </c>
      <c r="AG286" s="27">
        <f t="shared" si="71"/>
        <v>20</v>
      </c>
      <c r="AH286" s="26" t="s">
        <v>853</v>
      </c>
      <c r="AI286" s="26" t="s">
        <v>854</v>
      </c>
      <c r="AJ286" s="28">
        <v>30.1</v>
      </c>
      <c r="AK286" s="28"/>
      <c r="AL286" s="28"/>
      <c r="AM286" s="29" t="s">
        <v>855</v>
      </c>
      <c r="AO286" t="str">
        <f t="shared" si="72"/>
        <v>palestina</v>
      </c>
      <c r="AP286" t="str">
        <f t="shared" si="73"/>
        <v>caldas</v>
      </c>
      <c r="AQ286" t="b">
        <f t="shared" si="74"/>
        <v>0</v>
      </c>
      <c r="AR286" t="str">
        <f t="shared" si="75"/>
        <v>palestina</v>
      </c>
      <c r="AS286" s="30">
        <f t="shared" si="76"/>
        <v>0</v>
      </c>
      <c r="AT286" s="30">
        <f t="shared" si="77"/>
        <v>20</v>
      </c>
      <c r="AU286" s="30">
        <f t="shared" si="78"/>
        <v>3</v>
      </c>
      <c r="AV286" s="30">
        <f t="shared" si="79"/>
        <v>0</v>
      </c>
      <c r="AZ286" s="31">
        <f t="shared" si="80"/>
        <v>0</v>
      </c>
      <c r="BA286" s="31">
        <f t="shared" si="81"/>
        <v>3</v>
      </c>
      <c r="BB286" s="32">
        <f>IFERROR(INDEX('Análisis general'!$E$4:$E$28,MATCH($B286,'Análisis general'!$B$4:$B$28,0)),"")</f>
        <v>7.9</v>
      </c>
      <c r="BC286" s="31">
        <f t="shared" si="82"/>
        <v>3</v>
      </c>
      <c r="BD286" s="32">
        <f t="shared" si="83"/>
        <v>3.8571428571428568</v>
      </c>
      <c r="BE286" s="32">
        <f t="shared" si="84"/>
        <v>5.3999999999999995</v>
      </c>
    </row>
    <row r="287" spans="1:57" ht="25.5" customHeight="1" x14ac:dyDescent="0.25">
      <c r="A287" s="33" t="s">
        <v>895</v>
      </c>
      <c r="B287" s="11" t="s">
        <v>44</v>
      </c>
      <c r="C287" s="34" t="s">
        <v>112</v>
      </c>
      <c r="D287" s="24">
        <f t="shared" si="68"/>
        <v>4</v>
      </c>
      <c r="E287" s="59">
        <f t="shared" si="69"/>
        <v>3.8571428571428568</v>
      </c>
      <c r="F287" s="59">
        <f t="shared" si="70"/>
        <v>5.3999999999999995</v>
      </c>
      <c r="G287" s="11" t="s">
        <v>896</v>
      </c>
      <c r="H287" s="25" t="str">
        <f>IFERROR(IF($AQ287,INDEX(cpe!$C$2:$C$307,MATCH($AR287,cpe!$F$2:$F$307,0)),INDEX(cpe!$C$2:$C$307,MATCH($AR287,cpe!$D$2:$D$307,0))),"#N/D")</f>
        <v>#N/D</v>
      </c>
      <c r="I287" s="25" t="str">
        <f>IFERROR(IF($AQ287,INDEX(cpe!$B$2:$B$307,MATCH($AR287,cpe!$F$2:$F$307,0)),INDEX(cpe!$B$2:$B$307,MATCH($AR287,cpe!$D$2:$D$307,0))),"#N/D")</f>
        <v>#N/D</v>
      </c>
      <c r="J287" s="26" t="str">
        <f>IF($AQ287,"#N/D",IFERROR(INDEX(Olimpiadas!$B$2:$B$61,MATCH($AO287,Olimpiadas!$C$2:$C$61,0)),"#N/D"))</f>
        <v>#N/D</v>
      </c>
      <c r="K287" s="26" t="str">
        <f>IF($AQ287,"#N/D",IFERROR(INDEX(Olimpiadas!$A$2:$A$61,MATCH($AO287,Olimpiadas!$C$2:$C$61,0)),"#N/D"))</f>
        <v>#N/D</v>
      </c>
      <c r="L287" s="26" t="str">
        <f>IF($AQ287,"#N/D",IFERROR(INDEX(Minculturas!$A$2:$A$48,MATCH($AO287,Minculturas!$C$2:$C$48,0)),"#N/D"))</f>
        <v>#N/D</v>
      </c>
      <c r="M287" s="26" t="str">
        <f>IF($AQ287,"#N/D",IFERROR(INDEX(Minculturas!$B$2:$B$48,MATCH($AO287,Minculturas!$C$2:$C$48,0)),"#N/D"))</f>
        <v>#N/D</v>
      </c>
      <c r="N287" s="27">
        <v>23</v>
      </c>
      <c r="O287" s="28">
        <v>0</v>
      </c>
      <c r="P287" s="28">
        <v>8</v>
      </c>
      <c r="Q287" s="28">
        <v>6</v>
      </c>
      <c r="R287" s="28">
        <v>1</v>
      </c>
      <c r="S287" s="28">
        <v>1</v>
      </c>
      <c r="T287" s="28">
        <v>0</v>
      </c>
      <c r="U287" s="28">
        <v>3</v>
      </c>
      <c r="V287" s="28">
        <v>0</v>
      </c>
      <c r="W287" s="28">
        <v>0</v>
      </c>
      <c r="X287" s="28">
        <v>0</v>
      </c>
      <c r="Y287" s="28">
        <v>1</v>
      </c>
      <c r="Z287" s="28">
        <v>1</v>
      </c>
      <c r="AA287" s="28">
        <v>0</v>
      </c>
      <c r="AB287" s="28">
        <v>2</v>
      </c>
      <c r="AC287" s="28">
        <v>0</v>
      </c>
      <c r="AD287" s="28">
        <v>0</v>
      </c>
      <c r="AE287" s="28">
        <v>0</v>
      </c>
      <c r="AF287" s="28">
        <v>0</v>
      </c>
      <c r="AG287" s="27">
        <f t="shared" si="71"/>
        <v>19</v>
      </c>
      <c r="AH287" s="28"/>
      <c r="AI287" s="28"/>
      <c r="AJ287" s="28">
        <v>17.3</v>
      </c>
      <c r="AK287" s="28"/>
      <c r="AL287" s="28"/>
      <c r="AM287" s="29" t="s">
        <v>114</v>
      </c>
      <c r="AO287" t="str">
        <f t="shared" si="72"/>
        <v>circasia</v>
      </c>
      <c r="AP287" t="str">
        <f t="shared" si="73"/>
        <v>quindio</v>
      </c>
      <c r="AQ287" t="b">
        <f t="shared" si="74"/>
        <v>0</v>
      </c>
      <c r="AR287" t="str">
        <f t="shared" si="75"/>
        <v>circasia</v>
      </c>
      <c r="AS287" s="30">
        <f t="shared" si="76"/>
        <v>0</v>
      </c>
      <c r="AT287" s="30">
        <f t="shared" si="77"/>
        <v>19</v>
      </c>
      <c r="AU287" s="30">
        <f t="shared" si="78"/>
        <v>3</v>
      </c>
      <c r="AV287" s="30">
        <f t="shared" si="79"/>
        <v>1</v>
      </c>
      <c r="AZ287" s="31">
        <f t="shared" si="80"/>
        <v>0</v>
      </c>
      <c r="BA287" s="31">
        <f t="shared" si="81"/>
        <v>3</v>
      </c>
      <c r="BB287" s="32">
        <f>IFERROR(INDEX('Análisis general'!$E$4:$E$28,MATCH($B287,'Análisis general'!$B$4:$B$28,0)),"")</f>
        <v>6.7</v>
      </c>
      <c r="BC287" s="31">
        <f t="shared" si="82"/>
        <v>3</v>
      </c>
      <c r="BD287" s="32">
        <f t="shared" si="83"/>
        <v>3.8571428571428568</v>
      </c>
      <c r="BE287" s="32">
        <f t="shared" si="84"/>
        <v>5.3999999999999995</v>
      </c>
    </row>
    <row r="288" spans="1:57" ht="25.5" customHeight="1" x14ac:dyDescent="0.25">
      <c r="A288" s="33" t="s">
        <v>944</v>
      </c>
      <c r="B288" s="11" t="s">
        <v>10</v>
      </c>
      <c r="C288" s="34" t="s">
        <v>112</v>
      </c>
      <c r="D288" s="24">
        <f t="shared" si="68"/>
        <v>3</v>
      </c>
      <c r="E288" s="59">
        <f t="shared" si="69"/>
        <v>3.8571428571428568</v>
      </c>
      <c r="F288" s="59">
        <f t="shared" si="70"/>
        <v>5.3999999999999995</v>
      </c>
      <c r="G288" s="11" t="s">
        <v>945</v>
      </c>
      <c r="H288" s="25" t="s">
        <v>106</v>
      </c>
      <c r="I288" s="25" t="s">
        <v>106</v>
      </c>
      <c r="J288" s="26" t="s">
        <v>106</v>
      </c>
      <c r="K288" s="26" t="str">
        <f>IF($AQ288,"#N/D",IFERROR(INDEX(Olimpiadas!$A$2:$A$61,MATCH($AO288,Olimpiadas!$C$2:$C$61,0)),"#N/D"))</f>
        <v>#N/D</v>
      </c>
      <c r="L288" s="26" t="str">
        <f>IF($AQ288,"#N/D",IFERROR(INDEX(Minculturas!$A$2:$A$48,MATCH($AO288,Minculturas!$C$2:$C$48,0)),"#N/D"))</f>
        <v>#N/D</v>
      </c>
      <c r="M288" s="26" t="str">
        <f>IF($AQ288,"#N/D",IFERROR(INDEX(Minculturas!$B$2:$B$48,MATCH($AO288,Minculturas!$C$2:$C$48,0)),"#N/D"))</f>
        <v>#N/D</v>
      </c>
      <c r="N288" s="27">
        <v>19</v>
      </c>
      <c r="O288" s="28">
        <v>0</v>
      </c>
      <c r="P288" s="28">
        <v>3</v>
      </c>
      <c r="Q288" s="28">
        <v>2</v>
      </c>
      <c r="R288" s="28">
        <v>4</v>
      </c>
      <c r="S288" s="28">
        <v>1</v>
      </c>
      <c r="T288" s="28">
        <v>0</v>
      </c>
      <c r="U288" s="28">
        <v>1</v>
      </c>
      <c r="V288" s="28">
        <v>1</v>
      </c>
      <c r="W288" s="28">
        <v>0</v>
      </c>
      <c r="X288" s="28">
        <v>1</v>
      </c>
      <c r="Y288" s="28">
        <v>4</v>
      </c>
      <c r="Z288" s="28">
        <v>0</v>
      </c>
      <c r="AA288" s="28">
        <v>0</v>
      </c>
      <c r="AB288" s="28">
        <v>2</v>
      </c>
      <c r="AC288" s="28">
        <v>0</v>
      </c>
      <c r="AD288" s="28">
        <v>0</v>
      </c>
      <c r="AE288" s="28">
        <v>0</v>
      </c>
      <c r="AF288" s="28">
        <v>0</v>
      </c>
      <c r="AG288" s="27">
        <f t="shared" si="71"/>
        <v>13</v>
      </c>
      <c r="AH288" s="28"/>
      <c r="AI288" s="28"/>
      <c r="AJ288" s="28">
        <v>9.5</v>
      </c>
      <c r="AK288" s="28"/>
      <c r="AL288" s="28"/>
      <c r="AM288" s="29" t="s">
        <v>114</v>
      </c>
      <c r="AO288" t="str">
        <f t="shared" si="72"/>
        <v>rionegro</v>
      </c>
      <c r="AP288" t="str">
        <f t="shared" si="73"/>
        <v>antioquia</v>
      </c>
      <c r="AQ288" t="b">
        <f t="shared" si="74"/>
        <v>0</v>
      </c>
      <c r="AR288" t="str">
        <f t="shared" si="75"/>
        <v>rionegro</v>
      </c>
      <c r="AS288" s="30">
        <f t="shared" si="76"/>
        <v>0</v>
      </c>
      <c r="AT288" s="30">
        <f t="shared" si="77"/>
        <v>13</v>
      </c>
      <c r="AU288" s="30">
        <f t="shared" si="78"/>
        <v>3</v>
      </c>
      <c r="AV288" s="30">
        <f t="shared" si="79"/>
        <v>0</v>
      </c>
      <c r="AZ288" s="31">
        <f t="shared" si="80"/>
        <v>0</v>
      </c>
      <c r="BA288" s="31">
        <f t="shared" si="81"/>
        <v>3</v>
      </c>
      <c r="BB288" s="32">
        <f>IFERROR(INDEX('Análisis general'!$E$4:$E$28,MATCH($B288,'Análisis general'!$B$4:$B$28,0)),"")</f>
        <v>9.5</v>
      </c>
      <c r="BC288" s="31">
        <f t="shared" si="82"/>
        <v>3</v>
      </c>
      <c r="BD288" s="32">
        <f t="shared" si="83"/>
        <v>3.8571428571428568</v>
      </c>
      <c r="BE288" s="32">
        <f t="shared" si="84"/>
        <v>5.3999999999999995</v>
      </c>
    </row>
    <row r="289" spans="1:57" ht="25.5" customHeight="1" x14ac:dyDescent="0.25">
      <c r="A289" s="33" t="s">
        <v>877</v>
      </c>
      <c r="B289" s="11" t="s">
        <v>24</v>
      </c>
      <c r="C289" s="34" t="s">
        <v>112</v>
      </c>
      <c r="D289" s="24">
        <f t="shared" si="68"/>
        <v>4</v>
      </c>
      <c r="E289" s="59">
        <f t="shared" si="69"/>
        <v>3.8571428571428568</v>
      </c>
      <c r="F289" s="59">
        <f t="shared" si="70"/>
        <v>5.3999999999999995</v>
      </c>
      <c r="G289" s="11" t="s">
        <v>878</v>
      </c>
      <c r="H289" s="25" t="str">
        <f>IFERROR(IF($AQ289,INDEX(cpe!$C$2:$C$307,MATCH($AR289,cpe!$F$2:$F$307,0)),INDEX(cpe!$C$2:$C$307,MATCH($AR289,cpe!$D$2:$D$307,0))),"#N/D")</f>
        <v>#N/D</v>
      </c>
      <c r="I289" s="25" t="str">
        <f>IFERROR(IF($AQ289,INDEX(cpe!$B$2:$B$307,MATCH($AR289,cpe!$F$2:$F$307,0)),INDEX(cpe!$B$2:$B$307,MATCH($AR289,cpe!$D$2:$D$307,0))),"#N/D")</f>
        <v>#N/D</v>
      </c>
      <c r="J289" s="26" t="str">
        <f>IF($AQ289,"#N/D",IFERROR(INDEX(Olimpiadas!$B$2:$B$61,MATCH($AO289,Olimpiadas!$C$2:$C$61,0)),"#N/D"))</f>
        <v>#N/D</v>
      </c>
      <c r="K289" s="26" t="str">
        <f>IF($AQ289,"#N/D",IFERROR(INDEX(Olimpiadas!$A$2:$A$61,MATCH($AO289,Olimpiadas!$C$2:$C$61,0)),"#N/D"))</f>
        <v>#N/D</v>
      </c>
      <c r="L289" s="26" t="str">
        <f>IF($AQ289,"#N/D",IFERROR(INDEX(Minculturas!$A$2:$A$48,MATCH($AO289,Minculturas!$C$2:$C$48,0)),"#N/D"))</f>
        <v>#N/D</v>
      </c>
      <c r="M289" s="26" t="str">
        <f>IF($AQ289,"#N/D",IFERROR(INDEX(Minculturas!$B$2:$B$48,MATCH($AO289,Minculturas!$C$2:$C$48,0)),"#N/D"))</f>
        <v>#N/D</v>
      </c>
      <c r="N289" s="27">
        <v>13</v>
      </c>
      <c r="O289" s="28">
        <v>0</v>
      </c>
      <c r="P289" s="28">
        <v>4</v>
      </c>
      <c r="Q289" s="28">
        <v>0</v>
      </c>
      <c r="R289" s="28">
        <v>0</v>
      </c>
      <c r="S289" s="28">
        <v>6</v>
      </c>
      <c r="T289" s="28">
        <v>1</v>
      </c>
      <c r="U289" s="28">
        <v>1</v>
      </c>
      <c r="V289" s="28">
        <v>0</v>
      </c>
      <c r="W289" s="28">
        <v>0</v>
      </c>
      <c r="X289" s="28">
        <v>0</v>
      </c>
      <c r="Y289" s="28">
        <v>1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7">
        <f t="shared" si="71"/>
        <v>12</v>
      </c>
      <c r="AH289" s="38" t="s">
        <v>879</v>
      </c>
      <c r="AI289" s="38" t="s">
        <v>576</v>
      </c>
      <c r="AJ289" s="28">
        <v>41.2</v>
      </c>
      <c r="AK289" s="28"/>
      <c r="AL289" s="28"/>
      <c r="AM289" s="29" t="s">
        <v>114</v>
      </c>
      <c r="AO289" t="str">
        <f t="shared" si="72"/>
        <v>belalcazar</v>
      </c>
      <c r="AP289" t="str">
        <f t="shared" si="73"/>
        <v>caldas</v>
      </c>
      <c r="AQ289" t="b">
        <f t="shared" si="74"/>
        <v>0</v>
      </c>
      <c r="AR289" t="str">
        <f t="shared" si="75"/>
        <v>belalcazar</v>
      </c>
      <c r="AS289" s="30">
        <f t="shared" si="76"/>
        <v>0</v>
      </c>
      <c r="AT289" s="30">
        <f t="shared" si="77"/>
        <v>12</v>
      </c>
      <c r="AU289" s="30">
        <f t="shared" si="78"/>
        <v>3</v>
      </c>
      <c r="AV289" s="30">
        <f t="shared" si="79"/>
        <v>1</v>
      </c>
      <c r="AZ289" s="31">
        <f t="shared" si="80"/>
        <v>0</v>
      </c>
      <c r="BA289" s="31">
        <f t="shared" si="81"/>
        <v>3</v>
      </c>
      <c r="BB289" s="32">
        <f>IFERROR(INDEX('Análisis general'!$E$4:$E$28,MATCH($B289,'Análisis general'!$B$4:$B$28,0)),"")</f>
        <v>7.9</v>
      </c>
      <c r="BC289" s="31">
        <f t="shared" si="82"/>
        <v>3</v>
      </c>
      <c r="BD289" s="32">
        <f t="shared" si="83"/>
        <v>3.8571428571428568</v>
      </c>
      <c r="BE289" s="32">
        <f t="shared" si="84"/>
        <v>5.3999999999999995</v>
      </c>
    </row>
    <row r="290" spans="1:57" ht="25.5" customHeight="1" x14ac:dyDescent="0.25">
      <c r="A290" s="33" t="s">
        <v>863</v>
      </c>
      <c r="B290" s="11" t="s">
        <v>24</v>
      </c>
      <c r="C290" s="34" t="s">
        <v>112</v>
      </c>
      <c r="D290" s="24">
        <f t="shared" si="68"/>
        <v>3</v>
      </c>
      <c r="E290" s="59">
        <f t="shared" si="69"/>
        <v>3.8571428571428568</v>
      </c>
      <c r="F290" s="59">
        <f t="shared" si="70"/>
        <v>5.3999999999999995</v>
      </c>
      <c r="G290" s="11" t="s">
        <v>864</v>
      </c>
      <c r="H290" s="25" t="str">
        <f>IFERROR(IF($AQ290,INDEX(cpe!$C$2:$C$307,MATCH($AR290,cpe!$F$2:$F$307,0)),INDEX(cpe!$C$2:$C$307,MATCH($AR290,cpe!$D$2:$D$307,0))),"#N/D")</f>
        <v>#N/D</v>
      </c>
      <c r="I290" s="25" t="str">
        <f>IFERROR(IF($AQ290,INDEX(cpe!$B$2:$B$307,MATCH($AR290,cpe!$F$2:$F$307,0)),INDEX(cpe!$B$2:$B$307,MATCH($AR290,cpe!$D$2:$D$307,0))),"#N/D")</f>
        <v>#N/D</v>
      </c>
      <c r="J290" s="26" t="str">
        <f>IF($AQ290,"#N/D",IFERROR(INDEX(Olimpiadas!$B$2:$B$61,MATCH($AO290,Olimpiadas!$C$2:$C$61,0)),"#N/D"))</f>
        <v>#N/D</v>
      </c>
      <c r="K290" s="26" t="str">
        <f>IF($AQ290,"#N/D",IFERROR(INDEX(Olimpiadas!$A$2:$A$61,MATCH($AO290,Olimpiadas!$C$2:$C$61,0)),"#N/D"))</f>
        <v>#N/D</v>
      </c>
      <c r="L290" s="26" t="str">
        <f>IF($AQ290,"#N/D",IFERROR(INDEX(Minculturas!$A$2:$A$48,MATCH($AO290,Minculturas!$C$2:$C$48,0)),"#N/D"))</f>
        <v>#N/D</v>
      </c>
      <c r="M290" s="26" t="str">
        <f>IF($AQ290,"#N/D",IFERROR(INDEX(Minculturas!$B$2:$B$48,MATCH($AO290,Minculturas!$C$2:$C$48,0)),"#N/D"))</f>
        <v>#N/D</v>
      </c>
      <c r="N290" s="27">
        <v>16</v>
      </c>
      <c r="O290" s="28">
        <v>0</v>
      </c>
      <c r="P290" s="28">
        <v>1</v>
      </c>
      <c r="Q290" s="28">
        <v>3</v>
      </c>
      <c r="R290" s="28">
        <v>0</v>
      </c>
      <c r="S290" s="28">
        <v>1</v>
      </c>
      <c r="T290" s="28">
        <v>3</v>
      </c>
      <c r="U290" s="28">
        <v>0</v>
      </c>
      <c r="V290" s="28">
        <v>3</v>
      </c>
      <c r="W290" s="28">
        <v>0</v>
      </c>
      <c r="X290" s="28">
        <v>0</v>
      </c>
      <c r="Y290" s="28">
        <v>2</v>
      </c>
      <c r="Z290" s="28">
        <v>2</v>
      </c>
      <c r="AA290" s="28">
        <v>0</v>
      </c>
      <c r="AB290" s="28">
        <v>1</v>
      </c>
      <c r="AC290" s="28">
        <v>0</v>
      </c>
      <c r="AD290" s="28">
        <v>0</v>
      </c>
      <c r="AE290" s="28">
        <v>0</v>
      </c>
      <c r="AF290" s="28">
        <v>0</v>
      </c>
      <c r="AG290" s="27">
        <f t="shared" si="71"/>
        <v>11</v>
      </c>
      <c r="AH290" s="28"/>
      <c r="AI290" s="28"/>
      <c r="AJ290" s="28">
        <v>30</v>
      </c>
      <c r="AK290" s="28"/>
      <c r="AL290" s="28"/>
      <c r="AM290" s="29" t="s">
        <v>114</v>
      </c>
      <c r="AO290" t="str">
        <f t="shared" si="72"/>
        <v>aguadas</v>
      </c>
      <c r="AP290" t="str">
        <f t="shared" si="73"/>
        <v>caldas</v>
      </c>
      <c r="AQ290" t="b">
        <f t="shared" si="74"/>
        <v>0</v>
      </c>
      <c r="AR290" t="str">
        <f t="shared" si="75"/>
        <v>aguadas</v>
      </c>
      <c r="AS290" s="30">
        <f t="shared" si="76"/>
        <v>0</v>
      </c>
      <c r="AT290" s="30">
        <f t="shared" si="77"/>
        <v>11</v>
      </c>
      <c r="AU290" s="30">
        <f t="shared" si="78"/>
        <v>3</v>
      </c>
      <c r="AV290" s="30">
        <f t="shared" si="79"/>
        <v>0</v>
      </c>
      <c r="AZ290" s="31">
        <f t="shared" si="80"/>
        <v>0</v>
      </c>
      <c r="BA290" s="31">
        <f t="shared" si="81"/>
        <v>3</v>
      </c>
      <c r="BB290" s="32">
        <f>IFERROR(INDEX('Análisis general'!$E$4:$E$28,MATCH($B290,'Análisis general'!$B$4:$B$28,0)),"")</f>
        <v>7.9</v>
      </c>
      <c r="BC290" s="31">
        <f t="shared" si="82"/>
        <v>3</v>
      </c>
      <c r="BD290" s="32">
        <f t="shared" si="83"/>
        <v>3.8571428571428568</v>
      </c>
      <c r="BE290" s="32">
        <f t="shared" si="84"/>
        <v>5.3999999999999995</v>
      </c>
    </row>
    <row r="291" spans="1:57" ht="25.5" customHeight="1" x14ac:dyDescent="0.25">
      <c r="A291" s="33" t="s">
        <v>931</v>
      </c>
      <c r="B291" s="11" t="s">
        <v>24</v>
      </c>
      <c r="C291" s="34" t="s">
        <v>112</v>
      </c>
      <c r="D291" s="24">
        <f t="shared" si="68"/>
        <v>4</v>
      </c>
      <c r="E291" s="59">
        <f t="shared" si="69"/>
        <v>3.8571428571428568</v>
      </c>
      <c r="F291" s="59">
        <f t="shared" si="70"/>
        <v>5.3999999999999995</v>
      </c>
      <c r="G291" s="11" t="s">
        <v>932</v>
      </c>
      <c r="H291" s="25" t="str">
        <f>IFERROR(IF($AQ291,INDEX(cpe!$C$2:$C$307,MATCH($AR291,cpe!$F$2:$F$307,0)),INDEX(cpe!$C$2:$C$307,MATCH($AR291,cpe!$D$2:$D$307,0))),"#N/D")</f>
        <v>#N/D</v>
      </c>
      <c r="I291" s="25" t="str">
        <f>IFERROR(IF($AQ291,INDEX(cpe!$B$2:$B$307,MATCH($AR291,cpe!$F$2:$F$307,0)),INDEX(cpe!$B$2:$B$307,MATCH($AR291,cpe!$D$2:$D$307,0))),"#N/D")</f>
        <v>#N/D</v>
      </c>
      <c r="J291" s="26" t="str">
        <f>IF($AQ291,"#N/D",IFERROR(INDEX(Olimpiadas!$B$2:$B$61,MATCH($AO291,Olimpiadas!$C$2:$C$61,0)),"#N/D"))</f>
        <v>#N/D</v>
      </c>
      <c r="K291" s="26" t="str">
        <f>IF($AQ291,"#N/D",IFERROR(INDEX(Olimpiadas!$A$2:$A$61,MATCH($AO291,Olimpiadas!$C$2:$C$61,0)),"#N/D"))</f>
        <v>#N/D</v>
      </c>
      <c r="L291" s="26" t="str">
        <f>IF($AQ291,"#N/D",IFERROR(INDEX(Minculturas!$A$2:$A$48,MATCH($AO291,Minculturas!$C$2:$C$48,0)),"#N/D"))</f>
        <v>#N/D</v>
      </c>
      <c r="M291" s="26" t="str">
        <f>IF($AQ291,"#N/D",IFERROR(INDEX(Minculturas!$B$2:$B$48,MATCH($AO291,Minculturas!$C$2:$C$48,0)),"#N/D"))</f>
        <v>#N/D</v>
      </c>
      <c r="N291" s="27">
        <v>10</v>
      </c>
      <c r="O291" s="28">
        <v>0</v>
      </c>
      <c r="P291" s="28">
        <v>4</v>
      </c>
      <c r="Q291" s="28">
        <v>0</v>
      </c>
      <c r="R291" s="28">
        <v>0</v>
      </c>
      <c r="S291" s="28">
        <v>3</v>
      </c>
      <c r="T291" s="28">
        <v>1</v>
      </c>
      <c r="U291" s="28">
        <v>0</v>
      </c>
      <c r="V291" s="28">
        <v>1</v>
      </c>
      <c r="W291" s="28">
        <v>0</v>
      </c>
      <c r="X291" s="28">
        <v>0</v>
      </c>
      <c r="Y291" s="28">
        <v>1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7">
        <f t="shared" si="71"/>
        <v>9</v>
      </c>
      <c r="AH291" s="28"/>
      <c r="AI291" s="28"/>
      <c r="AJ291" s="28">
        <v>37.5</v>
      </c>
      <c r="AK291" s="28"/>
      <c r="AL291" s="28"/>
      <c r="AM291" s="29" t="s">
        <v>114</v>
      </c>
      <c r="AO291" t="str">
        <f t="shared" si="72"/>
        <v>manzanares</v>
      </c>
      <c r="AP291" t="str">
        <f t="shared" si="73"/>
        <v>caldas</v>
      </c>
      <c r="AQ291" t="b">
        <f t="shared" si="74"/>
        <v>0</v>
      </c>
      <c r="AR291" t="str">
        <f t="shared" si="75"/>
        <v>manzanares</v>
      </c>
      <c r="AS291" s="30">
        <f t="shared" si="76"/>
        <v>0</v>
      </c>
      <c r="AT291" s="30">
        <f t="shared" si="77"/>
        <v>9</v>
      </c>
      <c r="AU291" s="30">
        <f t="shared" si="78"/>
        <v>3</v>
      </c>
      <c r="AV291" s="30">
        <f t="shared" si="79"/>
        <v>1</v>
      </c>
      <c r="AZ291" s="31">
        <f t="shared" si="80"/>
        <v>0</v>
      </c>
      <c r="BA291" s="31">
        <f t="shared" si="81"/>
        <v>3</v>
      </c>
      <c r="BB291" s="32">
        <f>IFERROR(INDEX('Análisis general'!$E$4:$E$28,MATCH($B291,'Análisis general'!$B$4:$B$28,0)),"")</f>
        <v>7.9</v>
      </c>
      <c r="BC291" s="31">
        <f t="shared" si="82"/>
        <v>3</v>
      </c>
      <c r="BD291" s="32">
        <f t="shared" si="83"/>
        <v>3.8571428571428568</v>
      </c>
      <c r="BE291" s="32">
        <f t="shared" si="84"/>
        <v>5.3999999999999995</v>
      </c>
    </row>
    <row r="292" spans="1:57" ht="25.5" customHeight="1" x14ac:dyDescent="0.25">
      <c r="A292" s="33" t="s">
        <v>946</v>
      </c>
      <c r="B292" s="11" t="s">
        <v>44</v>
      </c>
      <c r="C292" s="34" t="s">
        <v>112</v>
      </c>
      <c r="D292" s="24">
        <f t="shared" si="68"/>
        <v>4</v>
      </c>
      <c r="E292" s="59">
        <f t="shared" si="69"/>
        <v>3.8571428571428568</v>
      </c>
      <c r="F292" s="59">
        <f t="shared" si="70"/>
        <v>5.3999999999999995</v>
      </c>
      <c r="G292" s="11" t="s">
        <v>947</v>
      </c>
      <c r="H292" s="25" t="s">
        <v>106</v>
      </c>
      <c r="I292" s="25" t="s">
        <v>106</v>
      </c>
      <c r="J292" s="26" t="s">
        <v>106</v>
      </c>
      <c r="K292" s="26" t="str">
        <f>IF($AQ292,"#N/D",IFERROR(INDEX(Olimpiadas!$A$2:$A$61,MATCH($AO292,Olimpiadas!$C$2:$C$61,0)),"#N/D"))</f>
        <v>#N/D</v>
      </c>
      <c r="L292" s="26" t="str">
        <f>IF($AQ292,"#N/D",IFERROR(INDEX(Minculturas!$A$2:$A$48,MATCH($AO292,Minculturas!$C$2:$C$48,0)),"#N/D"))</f>
        <v>#N/D</v>
      </c>
      <c r="M292" s="26" t="str">
        <f>IF($AQ292,"#N/D",IFERROR(INDEX(Minculturas!$B$2:$B$48,MATCH($AO292,Minculturas!$C$2:$C$48,0)),"#N/D"))</f>
        <v>#N/D</v>
      </c>
      <c r="N292" s="27">
        <v>10</v>
      </c>
      <c r="O292" s="28">
        <v>0</v>
      </c>
      <c r="P292" s="28">
        <v>3</v>
      </c>
      <c r="Q292" s="28">
        <v>0</v>
      </c>
      <c r="R292" s="28">
        <v>1</v>
      </c>
      <c r="S292" s="28">
        <v>0</v>
      </c>
      <c r="T292" s="28">
        <v>1</v>
      </c>
      <c r="U292" s="28">
        <v>2</v>
      </c>
      <c r="V292" s="28">
        <v>1</v>
      </c>
      <c r="W292" s="28">
        <v>0</v>
      </c>
      <c r="X292" s="28">
        <v>1</v>
      </c>
      <c r="Y292" s="28">
        <v>1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7">
        <f t="shared" si="71"/>
        <v>9</v>
      </c>
      <c r="AH292" s="28" t="s">
        <v>338</v>
      </c>
      <c r="AI292" s="28" t="s">
        <v>638</v>
      </c>
      <c r="AJ292" s="28">
        <v>19.7</v>
      </c>
      <c r="AK292" s="28"/>
      <c r="AL292" s="28"/>
      <c r="AM292" s="29" t="s">
        <v>114</v>
      </c>
      <c r="AO292" t="str">
        <f t="shared" si="72"/>
        <v>salento</v>
      </c>
      <c r="AP292" t="str">
        <f t="shared" si="73"/>
        <v>quindio</v>
      </c>
      <c r="AQ292" t="b">
        <f t="shared" si="74"/>
        <v>0</v>
      </c>
      <c r="AR292" t="str">
        <f t="shared" si="75"/>
        <v>salento</v>
      </c>
      <c r="AS292" s="30">
        <f t="shared" si="76"/>
        <v>0</v>
      </c>
      <c r="AT292" s="30">
        <f t="shared" si="77"/>
        <v>9</v>
      </c>
      <c r="AU292" s="30">
        <f t="shared" si="78"/>
        <v>3</v>
      </c>
      <c r="AV292" s="30">
        <f t="shared" si="79"/>
        <v>1</v>
      </c>
      <c r="AZ292" s="31">
        <f t="shared" si="80"/>
        <v>0</v>
      </c>
      <c r="BA292" s="31">
        <f t="shared" si="81"/>
        <v>3</v>
      </c>
      <c r="BB292" s="32">
        <f>IFERROR(INDEX('Análisis general'!$E$4:$E$28,MATCH($B292,'Análisis general'!$B$4:$B$28,0)),"")</f>
        <v>6.7</v>
      </c>
      <c r="BC292" s="31">
        <f t="shared" si="82"/>
        <v>3</v>
      </c>
      <c r="BD292" s="32">
        <f t="shared" si="83"/>
        <v>3.8571428571428568</v>
      </c>
      <c r="BE292" s="32">
        <f t="shared" si="84"/>
        <v>5.3999999999999995</v>
      </c>
    </row>
    <row r="293" spans="1:57" ht="25.5" customHeight="1" x14ac:dyDescent="0.25">
      <c r="A293" s="33" t="s">
        <v>927</v>
      </c>
      <c r="B293" s="11" t="s">
        <v>10</v>
      </c>
      <c r="C293" s="34" t="s">
        <v>112</v>
      </c>
      <c r="D293" s="24">
        <f t="shared" si="68"/>
        <v>4</v>
      </c>
      <c r="E293" s="59">
        <f t="shared" si="69"/>
        <v>3.8571428571428568</v>
      </c>
      <c r="F293" s="59">
        <f t="shared" si="70"/>
        <v>5.3999999999999995</v>
      </c>
      <c r="G293" s="11" t="s">
        <v>928</v>
      </c>
      <c r="H293" s="25" t="str">
        <f>IFERROR(IF($AQ293,INDEX(cpe!$C$2:$C$307,MATCH($AR293,cpe!$F$2:$F$307,0)),INDEX(cpe!$C$2:$C$307,MATCH($AR293,cpe!$D$2:$D$307,0))),"#N/D")</f>
        <v>#N/D</v>
      </c>
      <c r="I293" s="25" t="str">
        <f>IFERROR(IF($AQ293,INDEX(cpe!$B$2:$B$307,MATCH($AR293,cpe!$F$2:$F$307,0)),INDEX(cpe!$B$2:$B$307,MATCH($AR293,cpe!$D$2:$D$307,0))),"#N/D")</f>
        <v>#N/D</v>
      </c>
      <c r="J293" s="26" t="str">
        <f>IF($AQ293,"#N/D",IFERROR(INDEX(Olimpiadas!$B$2:$B$61,MATCH($AO293,Olimpiadas!$C$2:$C$61,0)),"#N/D"))</f>
        <v>#N/D</v>
      </c>
      <c r="K293" s="26" t="str">
        <f>IF($AQ293,"#N/D",IFERROR(INDEX(Olimpiadas!$A$2:$A$61,MATCH($AO293,Olimpiadas!$C$2:$C$61,0)),"#N/D"))</f>
        <v>#N/D</v>
      </c>
      <c r="L293" s="26" t="str">
        <f>IF($AQ293,"#N/D",IFERROR(INDEX(Minculturas!$A$2:$A$48,MATCH($AO293,Minculturas!$C$2:$C$48,0)),"#N/D"))</f>
        <v>#N/D</v>
      </c>
      <c r="M293" s="26" t="str">
        <f>IF($AQ293,"#N/D",IFERROR(INDEX(Minculturas!$B$2:$B$48,MATCH($AO293,Minculturas!$C$2:$C$48,0)),"#N/D"))</f>
        <v>#N/D</v>
      </c>
      <c r="N293" s="27">
        <v>10</v>
      </c>
      <c r="O293" s="28">
        <v>0</v>
      </c>
      <c r="P293" s="28">
        <v>3</v>
      </c>
      <c r="Q293" s="28">
        <v>1</v>
      </c>
      <c r="R293" s="28">
        <v>1</v>
      </c>
      <c r="S293" s="28">
        <v>0</v>
      </c>
      <c r="T293" s="28">
        <v>1</v>
      </c>
      <c r="U293" s="28">
        <v>2</v>
      </c>
      <c r="V293" s="28">
        <v>0</v>
      </c>
      <c r="W293" s="28">
        <v>0</v>
      </c>
      <c r="X293" s="28">
        <v>0</v>
      </c>
      <c r="Y293" s="28">
        <v>1</v>
      </c>
      <c r="Z293" s="28">
        <v>0</v>
      </c>
      <c r="AA293" s="28">
        <v>1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7">
        <f t="shared" si="71"/>
        <v>8</v>
      </c>
      <c r="AH293" s="28"/>
      <c r="AI293" s="28"/>
      <c r="AJ293" s="28">
        <v>11.5</v>
      </c>
      <c r="AK293" s="28"/>
      <c r="AL293" s="28"/>
      <c r="AM293" s="29" t="s">
        <v>114</v>
      </c>
      <c r="AO293" t="str">
        <f t="shared" si="72"/>
        <v>la ceja</v>
      </c>
      <c r="AP293" t="str">
        <f t="shared" si="73"/>
        <v>antioquia</v>
      </c>
      <c r="AQ293" t="b">
        <f t="shared" si="74"/>
        <v>0</v>
      </c>
      <c r="AR293" t="str">
        <f t="shared" si="75"/>
        <v>la ceja</v>
      </c>
      <c r="AS293" s="30">
        <f t="shared" si="76"/>
        <v>0</v>
      </c>
      <c r="AT293" s="30">
        <f t="shared" si="77"/>
        <v>8</v>
      </c>
      <c r="AU293" s="30">
        <f t="shared" si="78"/>
        <v>3</v>
      </c>
      <c r="AV293" s="30">
        <f t="shared" si="79"/>
        <v>1</v>
      </c>
      <c r="AZ293" s="31">
        <f t="shared" si="80"/>
        <v>0</v>
      </c>
      <c r="BA293" s="31">
        <f t="shared" si="81"/>
        <v>3</v>
      </c>
      <c r="BB293" s="32">
        <f>IFERROR(INDEX('Análisis general'!$E$4:$E$28,MATCH($B293,'Análisis general'!$B$4:$B$28,0)),"")</f>
        <v>9.5</v>
      </c>
      <c r="BC293" s="31">
        <f t="shared" si="82"/>
        <v>3</v>
      </c>
      <c r="BD293" s="32">
        <f t="shared" si="83"/>
        <v>3.8571428571428568</v>
      </c>
      <c r="BE293" s="32">
        <f t="shared" si="84"/>
        <v>5.3999999999999995</v>
      </c>
    </row>
    <row r="294" spans="1:57" ht="25.5" customHeight="1" x14ac:dyDescent="0.25">
      <c r="A294" s="33" t="s">
        <v>873</v>
      </c>
      <c r="B294" s="11" t="s">
        <v>10</v>
      </c>
      <c r="C294" s="34" t="s">
        <v>112</v>
      </c>
      <c r="D294" s="24">
        <f t="shared" si="68"/>
        <v>4</v>
      </c>
      <c r="E294" s="59">
        <f t="shared" si="69"/>
        <v>3.8571428571428568</v>
      </c>
      <c r="F294" s="59">
        <f t="shared" si="70"/>
        <v>5.3999999999999995</v>
      </c>
      <c r="G294" s="11" t="s">
        <v>224</v>
      </c>
      <c r="H294" s="25" t="str">
        <f>IFERROR(IF($AQ294,INDEX(cpe!$C$2:$C$307,MATCH($AR294,cpe!$F$2:$F$307,0)),INDEX(cpe!$C$2:$C$307,MATCH($AR294,cpe!$D$2:$D$307,0))),"#N/D")</f>
        <v>#N/D</v>
      </c>
      <c r="I294" s="25" t="str">
        <f>IFERROR(IF($AQ294,INDEX(cpe!$B$2:$B$307,MATCH($AR294,cpe!$F$2:$F$307,0)),INDEX(cpe!$B$2:$B$307,MATCH($AR294,cpe!$D$2:$D$307,0))),"#N/D")</f>
        <v>#N/D</v>
      </c>
      <c r="J294" s="26" t="str">
        <f>IF($AQ294,"#N/D",IFERROR(INDEX(Olimpiadas!$B$2:$B$61,MATCH($AO294,Olimpiadas!$C$2:$C$61,0)),"#N/D"))</f>
        <v>#N/D</v>
      </c>
      <c r="K294" s="26" t="str">
        <f>IF($AQ294,"#N/D",IFERROR(INDEX(Olimpiadas!$A$2:$A$61,MATCH($AO294,Olimpiadas!$C$2:$C$61,0)),"#N/D"))</f>
        <v>#N/D</v>
      </c>
      <c r="L294" s="26" t="str">
        <f>IF($AQ294,"#N/D",IFERROR(INDEX(Minculturas!$A$2:$A$48,MATCH($AO294,Minculturas!$C$2:$C$48,0)),"#N/D"))</f>
        <v>#N/D</v>
      </c>
      <c r="M294" s="26" t="str">
        <f>IF($AQ294,"#N/D",IFERROR(INDEX(Minculturas!$B$2:$B$48,MATCH($AO294,Minculturas!$C$2:$C$48,0)),"#N/D"))</f>
        <v>#N/D</v>
      </c>
      <c r="N294" s="27">
        <v>7</v>
      </c>
      <c r="O294" s="28">
        <v>0</v>
      </c>
      <c r="P294" s="28">
        <v>1</v>
      </c>
      <c r="Q294" s="28">
        <v>1</v>
      </c>
      <c r="R294" s="28">
        <v>1</v>
      </c>
      <c r="S294" s="28">
        <v>0</v>
      </c>
      <c r="T294" s="28">
        <v>1</v>
      </c>
      <c r="U294" s="28">
        <v>0</v>
      </c>
      <c r="V294" s="28">
        <v>1</v>
      </c>
      <c r="W294" s="28">
        <v>1</v>
      </c>
      <c r="X294" s="28">
        <v>0</v>
      </c>
      <c r="Y294" s="28">
        <v>1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7">
        <f t="shared" si="71"/>
        <v>6</v>
      </c>
      <c r="AH294" s="28"/>
      <c r="AI294" s="28"/>
      <c r="AJ294" s="28">
        <v>36.200000000000003</v>
      </c>
      <c r="AK294" s="28"/>
      <c r="AL294" s="28"/>
      <c r="AM294" s="29" t="s">
        <v>114</v>
      </c>
      <c r="AO294" t="str">
        <f t="shared" si="72"/>
        <v>argelia</v>
      </c>
      <c r="AP294" t="str">
        <f t="shared" si="73"/>
        <v>antioquia</v>
      </c>
      <c r="AQ294" t="b">
        <f t="shared" si="74"/>
        <v>1</v>
      </c>
      <c r="AR294" t="str">
        <f t="shared" si="75"/>
        <v>argelia|antioquia</v>
      </c>
      <c r="AS294" s="30">
        <f t="shared" si="76"/>
        <v>0</v>
      </c>
      <c r="AT294" s="30">
        <f t="shared" si="77"/>
        <v>6</v>
      </c>
      <c r="AU294" s="30">
        <f t="shared" si="78"/>
        <v>3</v>
      </c>
      <c r="AV294" s="30">
        <f t="shared" si="79"/>
        <v>1</v>
      </c>
      <c r="AZ294" s="31">
        <f t="shared" si="80"/>
        <v>0</v>
      </c>
      <c r="BA294" s="31">
        <f t="shared" si="81"/>
        <v>3</v>
      </c>
      <c r="BB294" s="32">
        <f>IFERROR(INDEX('Análisis general'!$E$4:$E$28,MATCH($B294,'Análisis general'!$B$4:$B$28,0)),"")</f>
        <v>9.5</v>
      </c>
      <c r="BC294" s="31">
        <f t="shared" si="82"/>
        <v>3</v>
      </c>
      <c r="BD294" s="32">
        <f t="shared" si="83"/>
        <v>3.8571428571428568</v>
      </c>
      <c r="BE294" s="32">
        <f t="shared" si="84"/>
        <v>5.3999999999999995</v>
      </c>
    </row>
    <row r="295" spans="1:57" ht="25.5" customHeight="1" x14ac:dyDescent="0.25">
      <c r="A295" s="33" t="s">
        <v>204</v>
      </c>
      <c r="B295" s="11" t="s">
        <v>24</v>
      </c>
      <c r="C295" s="34" t="s">
        <v>112</v>
      </c>
      <c r="D295" s="24">
        <f t="shared" si="68"/>
        <v>4</v>
      </c>
      <c r="E295" s="59">
        <f t="shared" si="69"/>
        <v>3.8571428571428568</v>
      </c>
      <c r="F295" s="59">
        <f t="shared" si="70"/>
        <v>5.3999999999999995</v>
      </c>
      <c r="G295" s="11" t="s">
        <v>205</v>
      </c>
      <c r="H295" s="25" t="s">
        <v>106</v>
      </c>
      <c r="I295" s="25" t="s">
        <v>106</v>
      </c>
      <c r="J295" s="26" t="s">
        <v>106</v>
      </c>
      <c r="K295" s="26" t="str">
        <f>IF($AQ295,"#N/D",IFERROR(INDEX(Olimpiadas!$A$2:$A$61,MATCH($AO295,Olimpiadas!$C$2:$C$61,0)),"#N/D"))</f>
        <v>#N/D</v>
      </c>
      <c r="L295" s="26" t="str">
        <f>IF($AQ295,"#N/D",IFERROR(INDEX(Minculturas!$A$2:$A$48,MATCH($AO295,Minculturas!$C$2:$C$48,0)),"#N/D"))</f>
        <v>#N/D</v>
      </c>
      <c r="M295" s="26" t="str">
        <f>IF($AQ295,"#N/D",IFERROR(INDEX(Minculturas!$B$2:$B$48,MATCH($AO295,Minculturas!$C$2:$C$48,0)),"#N/D"))</f>
        <v>#N/D</v>
      </c>
      <c r="N295" s="27">
        <v>7</v>
      </c>
      <c r="O295" s="28">
        <v>0</v>
      </c>
      <c r="P295" s="28">
        <v>2</v>
      </c>
      <c r="Q295" s="28">
        <v>0</v>
      </c>
      <c r="R295" s="28">
        <v>1</v>
      </c>
      <c r="S295" s="28">
        <v>0</v>
      </c>
      <c r="T295" s="28">
        <v>1</v>
      </c>
      <c r="U295" s="28">
        <v>1</v>
      </c>
      <c r="V295" s="28">
        <v>0</v>
      </c>
      <c r="W295" s="28">
        <v>0</v>
      </c>
      <c r="X295" s="28">
        <v>0</v>
      </c>
      <c r="Y295" s="28">
        <v>1</v>
      </c>
      <c r="Z295" s="28">
        <v>0</v>
      </c>
      <c r="AA295" s="28">
        <v>0</v>
      </c>
      <c r="AB295" s="28">
        <v>1</v>
      </c>
      <c r="AC295" s="28">
        <v>0</v>
      </c>
      <c r="AD295" s="28">
        <v>0</v>
      </c>
      <c r="AE295" s="28">
        <v>0</v>
      </c>
      <c r="AF295" s="28">
        <v>0</v>
      </c>
      <c r="AG295" s="27">
        <f t="shared" si="71"/>
        <v>5</v>
      </c>
      <c r="AH295" s="26" t="s">
        <v>206</v>
      </c>
      <c r="AI295" s="26" t="s">
        <v>206</v>
      </c>
      <c r="AJ295" s="28">
        <v>39.9</v>
      </c>
      <c r="AK295" s="28"/>
      <c r="AL295" s="28"/>
      <c r="AM295" s="29" t="s">
        <v>114</v>
      </c>
      <c r="AO295" t="str">
        <f t="shared" si="72"/>
        <v>san jose</v>
      </c>
      <c r="AP295" t="str">
        <f t="shared" si="73"/>
        <v>caldas</v>
      </c>
      <c r="AQ295" t="b">
        <f t="shared" si="74"/>
        <v>0</v>
      </c>
      <c r="AR295" t="str">
        <f t="shared" si="75"/>
        <v>san jose</v>
      </c>
      <c r="AS295" s="30">
        <f t="shared" si="76"/>
        <v>0</v>
      </c>
      <c r="AT295" s="30">
        <f t="shared" si="77"/>
        <v>5</v>
      </c>
      <c r="AU295" s="30">
        <f t="shared" si="78"/>
        <v>3</v>
      </c>
      <c r="AV295" s="30">
        <f t="shared" si="79"/>
        <v>1</v>
      </c>
      <c r="AZ295" s="31">
        <f t="shared" si="80"/>
        <v>0</v>
      </c>
      <c r="BA295" s="31">
        <f t="shared" si="81"/>
        <v>3</v>
      </c>
      <c r="BB295" s="32">
        <f>IFERROR(INDEX('Análisis general'!$E$4:$E$28,MATCH($B295,'Análisis general'!$B$4:$B$28,0)),"")</f>
        <v>7.9</v>
      </c>
      <c r="BC295" s="31">
        <f t="shared" si="82"/>
        <v>3</v>
      </c>
      <c r="BD295" s="32">
        <f t="shared" si="83"/>
        <v>3.8571428571428568</v>
      </c>
      <c r="BE295" s="32">
        <f t="shared" si="84"/>
        <v>5.3999999999999995</v>
      </c>
    </row>
    <row r="296" spans="1:57" ht="25.5" customHeight="1" x14ac:dyDescent="0.25">
      <c r="A296" s="33" t="s">
        <v>917</v>
      </c>
      <c r="B296" s="11" t="s">
        <v>44</v>
      </c>
      <c r="C296" s="34" t="s">
        <v>112</v>
      </c>
      <c r="D296" s="24">
        <f t="shared" si="68"/>
        <v>4</v>
      </c>
      <c r="E296" s="59">
        <f t="shared" si="69"/>
        <v>3.8571428571428568</v>
      </c>
      <c r="F296" s="59">
        <f t="shared" si="70"/>
        <v>5.3999999999999995</v>
      </c>
      <c r="G296" s="11" t="s">
        <v>918</v>
      </c>
      <c r="H296" s="25" t="str">
        <f>IFERROR(IF($AQ296,INDEX(cpe!$C$2:$C$307,MATCH($AR296,cpe!$F$2:$F$307,0)),INDEX(cpe!$C$2:$C$307,MATCH($AR296,cpe!$D$2:$D$307,0))),"#N/D")</f>
        <v>#N/D</v>
      </c>
      <c r="I296" s="25" t="str">
        <f>IFERROR(IF($AQ296,INDEX(cpe!$B$2:$B$307,MATCH($AR296,cpe!$F$2:$F$307,0)),INDEX(cpe!$B$2:$B$307,MATCH($AR296,cpe!$D$2:$D$307,0))),"#N/D")</f>
        <v>#N/D</v>
      </c>
      <c r="J296" s="26" t="str">
        <f>IF($AQ296,"#N/D",IFERROR(INDEX(Olimpiadas!$B$2:$B$61,MATCH($AO296,Olimpiadas!$C$2:$C$61,0)),"#N/D"))</f>
        <v>#N/D</v>
      </c>
      <c r="K296" s="26" t="str">
        <f>IF($AQ296,"#N/D",IFERROR(INDEX(Olimpiadas!$A$2:$A$61,MATCH($AO296,Olimpiadas!$C$2:$C$61,0)),"#N/D"))</f>
        <v>#N/D</v>
      </c>
      <c r="L296" s="26" t="str">
        <f>IF($AQ296,"#N/D",IFERROR(INDEX(Minculturas!$A$2:$A$48,MATCH($AO296,Minculturas!$C$2:$C$48,0)),"#N/D"))</f>
        <v>#N/D</v>
      </c>
      <c r="M296" s="26" t="str">
        <f>IF($AQ296,"#N/D",IFERROR(INDEX(Minculturas!$B$2:$B$48,MATCH($AO296,Minculturas!$C$2:$C$48,0)),"#N/D"))</f>
        <v>#N/D</v>
      </c>
      <c r="N296" s="27">
        <v>7</v>
      </c>
      <c r="O296" s="28">
        <v>0</v>
      </c>
      <c r="P296" s="28">
        <v>1</v>
      </c>
      <c r="Q296" s="28">
        <v>0</v>
      </c>
      <c r="R296" s="28">
        <v>1</v>
      </c>
      <c r="S296" s="28">
        <v>0</v>
      </c>
      <c r="T296" s="28">
        <v>0</v>
      </c>
      <c r="U296" s="28">
        <v>3</v>
      </c>
      <c r="V296" s="28">
        <v>0</v>
      </c>
      <c r="W296" s="28">
        <v>0</v>
      </c>
      <c r="X296" s="28">
        <v>0</v>
      </c>
      <c r="Y296" s="28">
        <v>1</v>
      </c>
      <c r="Z296" s="28">
        <v>0</v>
      </c>
      <c r="AA296" s="28">
        <v>1</v>
      </c>
      <c r="AB296" s="28">
        <v>0</v>
      </c>
      <c r="AC296" s="28">
        <v>0</v>
      </c>
      <c r="AD296" s="28">
        <v>0</v>
      </c>
      <c r="AE296" s="28">
        <v>0</v>
      </c>
      <c r="AF296" s="28">
        <v>0</v>
      </c>
      <c r="AG296" s="27">
        <f t="shared" si="71"/>
        <v>5</v>
      </c>
      <c r="AH296" s="28"/>
      <c r="AI296" s="28"/>
      <c r="AJ296" s="28">
        <v>33.1</v>
      </c>
      <c r="AK296" s="28"/>
      <c r="AL296" s="28"/>
      <c r="AM296" s="29" t="s">
        <v>114</v>
      </c>
      <c r="AO296" t="str">
        <f t="shared" si="72"/>
        <v>genova</v>
      </c>
      <c r="AP296" t="str">
        <f t="shared" si="73"/>
        <v>quindio</v>
      </c>
      <c r="AQ296" t="b">
        <f t="shared" si="74"/>
        <v>0</v>
      </c>
      <c r="AR296" t="str">
        <f t="shared" si="75"/>
        <v>genova</v>
      </c>
      <c r="AS296" s="30">
        <f t="shared" si="76"/>
        <v>0</v>
      </c>
      <c r="AT296" s="30">
        <f t="shared" si="77"/>
        <v>5</v>
      </c>
      <c r="AU296" s="30">
        <f t="shared" si="78"/>
        <v>3</v>
      </c>
      <c r="AV296" s="30">
        <f t="shared" si="79"/>
        <v>1</v>
      </c>
      <c r="AZ296" s="31">
        <f t="shared" si="80"/>
        <v>0</v>
      </c>
      <c r="BA296" s="31">
        <f t="shared" si="81"/>
        <v>3</v>
      </c>
      <c r="BB296" s="32">
        <f>IFERROR(INDEX('Análisis general'!$E$4:$E$28,MATCH($B296,'Análisis general'!$B$4:$B$28,0)),"")</f>
        <v>6.7</v>
      </c>
      <c r="BC296" s="31">
        <f t="shared" si="82"/>
        <v>3</v>
      </c>
      <c r="BD296" s="32">
        <f t="shared" si="83"/>
        <v>3.8571428571428568</v>
      </c>
      <c r="BE296" s="32">
        <f t="shared" si="84"/>
        <v>5.3999999999999995</v>
      </c>
    </row>
    <row r="297" spans="1:57" ht="25.5" customHeight="1" x14ac:dyDescent="0.25">
      <c r="A297" s="33" t="s">
        <v>971</v>
      </c>
      <c r="B297" s="11" t="s">
        <v>31</v>
      </c>
      <c r="C297" s="63" t="s">
        <v>1217</v>
      </c>
      <c r="D297" s="24">
        <f t="shared" si="68"/>
        <v>4</v>
      </c>
      <c r="E297" s="59">
        <f t="shared" si="69"/>
        <v>3.8571428571428568</v>
      </c>
      <c r="F297" s="59">
        <f t="shared" si="70"/>
        <v>5.3999999999999995</v>
      </c>
      <c r="G297" s="11" t="s">
        <v>972</v>
      </c>
      <c r="H297" s="25" t="str">
        <f>IFERROR(IF($AQ297,INDEX(cpe!$C$2:$C$307,MATCH($AR297,cpe!$F$2:$F$307,0)),INDEX(cpe!$C$2:$C$307,MATCH($AR297,cpe!$D$2:$D$307,0))),"#N/D")</f>
        <v>#N/D</v>
      </c>
      <c r="I297" s="25" t="str">
        <f>IFERROR(IF($AQ297,INDEX(cpe!$B$2:$B$307,MATCH($AR297,cpe!$F$2:$F$307,0)),INDEX(cpe!$B$2:$B$307,MATCH($AR297,cpe!$D$2:$D$307,0))),"#N/D")</f>
        <v>#N/D</v>
      </c>
      <c r="J297" s="26" t="str">
        <f>IF($AQ297,"#N/D",IFERROR(INDEX(Olimpiadas!$B$2:$B$61,MATCH($AO297,Olimpiadas!$C$2:$C$61,0)),"#N/D"))</f>
        <v>#N/D</v>
      </c>
      <c r="K297" s="26" t="str">
        <f>IF($AQ297,"#N/D",IFERROR(INDEX(Olimpiadas!$A$2:$A$61,MATCH($AO297,Olimpiadas!$C$2:$C$61,0)),"#N/D"))</f>
        <v>#N/D</v>
      </c>
      <c r="L297" s="26" t="str">
        <f>IF($AQ297,"#N/D",IFERROR(INDEX(Minculturas!$A$2:$A$48,MATCH($AO297,Minculturas!$C$2:$C$48,0)),"#N/D"))</f>
        <v>#N/D</v>
      </c>
      <c r="M297" s="26" t="str">
        <f>IF($AQ297,"#N/D",IFERROR(INDEX(Minculturas!$B$2:$B$48,MATCH($AO297,Minculturas!$C$2:$C$48,0)),"#N/D"))</f>
        <v>#N/D</v>
      </c>
      <c r="N297" s="27">
        <v>5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1</v>
      </c>
      <c r="U297" s="28">
        <v>2</v>
      </c>
      <c r="V297" s="28">
        <v>0</v>
      </c>
      <c r="W297" s="28">
        <v>0</v>
      </c>
      <c r="X297" s="28">
        <v>0</v>
      </c>
      <c r="Y297" s="28">
        <v>1</v>
      </c>
      <c r="Z297" s="28">
        <v>1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0</v>
      </c>
      <c r="AG297" s="27">
        <f t="shared" si="71"/>
        <v>3</v>
      </c>
      <c r="AH297" s="28" t="s">
        <v>973</v>
      </c>
      <c r="AI297" s="28" t="s">
        <v>974</v>
      </c>
      <c r="AJ297" s="28">
        <v>60.1</v>
      </c>
      <c r="AK297" s="28"/>
      <c r="AL297" s="28"/>
      <c r="AM297" s="29" t="s">
        <v>975</v>
      </c>
      <c r="AO297" t="str">
        <f t="shared" si="72"/>
        <v>novita</v>
      </c>
      <c r="AP297" t="str">
        <f t="shared" si="73"/>
        <v>choco</v>
      </c>
      <c r="AQ297" t="b">
        <f t="shared" si="74"/>
        <v>0</v>
      </c>
      <c r="AR297" t="str">
        <f t="shared" si="75"/>
        <v>novita</v>
      </c>
      <c r="AS297" s="30">
        <f t="shared" si="76"/>
        <v>0</v>
      </c>
      <c r="AT297" s="30">
        <f t="shared" si="77"/>
        <v>3</v>
      </c>
      <c r="AU297" s="30">
        <f t="shared" si="78"/>
        <v>3</v>
      </c>
      <c r="AV297" s="30">
        <f t="shared" si="79"/>
        <v>1</v>
      </c>
      <c r="AZ297" s="31">
        <f t="shared" si="80"/>
        <v>0</v>
      </c>
      <c r="BA297" s="31">
        <f t="shared" si="81"/>
        <v>3</v>
      </c>
      <c r="BB297" s="32">
        <f>IFERROR(INDEX('Análisis general'!$E$4:$E$28,MATCH($B297,'Análisis general'!$B$4:$B$28,0)),"")</f>
        <v>30.8</v>
      </c>
      <c r="BC297" s="31">
        <f t="shared" si="82"/>
        <v>3</v>
      </c>
      <c r="BD297" s="32">
        <f t="shared" si="83"/>
        <v>3.8571428571428568</v>
      </c>
      <c r="BE297" s="32">
        <f t="shared" si="84"/>
        <v>5.3999999999999995</v>
      </c>
    </row>
    <row r="298" spans="1:57" ht="25.5" customHeight="1" x14ac:dyDescent="0.25">
      <c r="A298" s="33" t="s">
        <v>976</v>
      </c>
      <c r="B298" s="11" t="s">
        <v>47</v>
      </c>
      <c r="C298" s="34" t="s">
        <v>112</v>
      </c>
      <c r="D298" s="24">
        <f t="shared" si="68"/>
        <v>3</v>
      </c>
      <c r="E298" s="59">
        <f t="shared" si="69"/>
        <v>3.8571428571428568</v>
      </c>
      <c r="F298" s="59">
        <f t="shared" si="70"/>
        <v>5.3999999999999995</v>
      </c>
      <c r="G298" s="11" t="s">
        <v>977</v>
      </c>
      <c r="H298" s="25" t="s">
        <v>106</v>
      </c>
      <c r="I298" s="25" t="s">
        <v>106</v>
      </c>
      <c r="J298" s="26" t="s">
        <v>106</v>
      </c>
      <c r="K298" s="26" t="str">
        <f>IF($AQ298,"#N/D",IFERROR(INDEX(Olimpiadas!$A$2:$A$61,MATCH($AO298,Olimpiadas!$C$2:$C$61,0)),"#N/D"))</f>
        <v>#N/D</v>
      </c>
      <c r="L298" s="26" t="str">
        <f>IF($AQ298,"#N/D",IFERROR(INDEX(Minculturas!$A$2:$A$48,MATCH($AO298,Minculturas!$C$2:$C$48,0)),"#N/D"))</f>
        <v>#N/D</v>
      </c>
      <c r="M298" s="26" t="str">
        <f>IF($AQ298,"#N/D",IFERROR(INDEX(Minculturas!$B$2:$B$48,MATCH($AO298,Minculturas!$C$2:$C$48,0)),"#N/D"))</f>
        <v>#N/D</v>
      </c>
      <c r="N298" s="27">
        <v>4</v>
      </c>
      <c r="O298" s="28">
        <v>0</v>
      </c>
      <c r="P298" s="28">
        <v>0</v>
      </c>
      <c r="Q298" s="28">
        <v>1</v>
      </c>
      <c r="R298" s="28">
        <v>0</v>
      </c>
      <c r="S298" s="28">
        <v>0</v>
      </c>
      <c r="T298" s="28">
        <v>0</v>
      </c>
      <c r="U298" s="28">
        <v>0</v>
      </c>
      <c r="V298" s="28">
        <v>1</v>
      </c>
      <c r="W298" s="28">
        <v>0</v>
      </c>
      <c r="X298" s="28">
        <v>0</v>
      </c>
      <c r="Y298" s="28">
        <v>2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7">
        <f t="shared" si="71"/>
        <v>2</v>
      </c>
      <c r="AH298" s="28"/>
      <c r="AI298" s="28"/>
      <c r="AJ298" s="28">
        <v>30.4</v>
      </c>
      <c r="AK298" s="28"/>
      <c r="AL298" s="28"/>
      <c r="AM298" s="29" t="s">
        <v>246</v>
      </c>
      <c r="AO298" t="str">
        <f t="shared" si="72"/>
        <v>sincelejo</v>
      </c>
      <c r="AP298" t="str">
        <f t="shared" si="73"/>
        <v>sucre</v>
      </c>
      <c r="AQ298" t="b">
        <f t="shared" si="74"/>
        <v>0</v>
      </c>
      <c r="AR298" t="str">
        <f t="shared" si="75"/>
        <v>sincelejo</v>
      </c>
      <c r="AS298" s="30">
        <f t="shared" si="76"/>
        <v>0</v>
      </c>
      <c r="AT298" s="30">
        <f t="shared" si="77"/>
        <v>2</v>
      </c>
      <c r="AU298" s="30">
        <f t="shared" si="78"/>
        <v>3</v>
      </c>
      <c r="AV298" s="30">
        <f t="shared" si="79"/>
        <v>0</v>
      </c>
      <c r="AZ298" s="31">
        <f t="shared" si="80"/>
        <v>0</v>
      </c>
      <c r="BA298" s="31">
        <f t="shared" si="81"/>
        <v>3</v>
      </c>
      <c r="BB298" s="32">
        <f>IFERROR(INDEX('Análisis general'!$E$4:$E$28,MATCH($B298,'Análisis general'!$B$4:$B$28,0)),"")</f>
        <v>25.4</v>
      </c>
      <c r="BC298" s="31">
        <f t="shared" si="82"/>
        <v>3</v>
      </c>
      <c r="BD298" s="32">
        <f t="shared" si="83"/>
        <v>3.8571428571428568</v>
      </c>
      <c r="BE298" s="32">
        <f t="shared" si="84"/>
        <v>5.3999999999999995</v>
      </c>
    </row>
    <row r="299" spans="1:57" ht="25.5" customHeight="1" x14ac:dyDescent="0.25">
      <c r="A299" s="33" t="s">
        <v>856</v>
      </c>
      <c r="B299" s="11" t="s">
        <v>24</v>
      </c>
      <c r="C299" s="23" t="s">
        <v>112</v>
      </c>
      <c r="D299" s="24">
        <f t="shared" si="68"/>
        <v>3</v>
      </c>
      <c r="E299" s="59">
        <f t="shared" si="69"/>
        <v>3.8571428571428568</v>
      </c>
      <c r="F299" s="59">
        <f t="shared" si="70"/>
        <v>5.3999999999999995</v>
      </c>
      <c r="G299" s="11" t="s">
        <v>706</v>
      </c>
      <c r="H299" s="25" t="s">
        <v>106</v>
      </c>
      <c r="I299" s="25" t="s">
        <v>106</v>
      </c>
      <c r="J299" s="26" t="s">
        <v>106</v>
      </c>
      <c r="K299" s="26" t="str">
        <f>IF($AQ299,"#N/D",IFERROR(INDEX(Olimpiadas!$A$2:$A$61,MATCH($AO299,Olimpiadas!$C$2:$C$61,0)),"#N/D"))</f>
        <v>#N/D</v>
      </c>
      <c r="L299" s="26" t="str">
        <f>IF($AQ299,"#N/D",IFERROR(INDEX(Minculturas!$A$2:$A$48,MATCH($AO299,Minculturas!$C$2:$C$48,0)),"#N/D"))</f>
        <v>#N/D</v>
      </c>
      <c r="M299" s="26" t="str">
        <f>IF($AQ299,"#N/D",IFERROR(INDEX(Minculturas!$B$2:$B$48,MATCH($AO299,Minculturas!$C$2:$C$48,0)),"#N/D"))</f>
        <v>#N/D</v>
      </c>
      <c r="N299" s="27">
        <v>1</v>
      </c>
      <c r="O299" s="28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0</v>
      </c>
      <c r="AA299" s="35">
        <v>0</v>
      </c>
      <c r="AB299" s="35">
        <v>1</v>
      </c>
      <c r="AC299" s="35">
        <v>0</v>
      </c>
      <c r="AD299" s="35">
        <v>0</v>
      </c>
      <c r="AE299" s="35">
        <v>0</v>
      </c>
      <c r="AF299" s="35">
        <v>0</v>
      </c>
      <c r="AG299" s="27">
        <f t="shared" si="71"/>
        <v>0</v>
      </c>
      <c r="AH299" s="93" t="s">
        <v>857</v>
      </c>
      <c r="AI299" s="93" t="s">
        <v>858</v>
      </c>
      <c r="AJ299" s="28">
        <v>70.900000000000006</v>
      </c>
      <c r="AK299" s="28"/>
      <c r="AL299" s="28"/>
      <c r="AM299" s="29" t="s">
        <v>114</v>
      </c>
      <c r="AO299" t="str">
        <f t="shared" si="72"/>
        <v>riosucio</v>
      </c>
      <c r="AP299" t="str">
        <f t="shared" si="73"/>
        <v>caldas</v>
      </c>
      <c r="AQ299" t="b">
        <f t="shared" si="74"/>
        <v>1</v>
      </c>
      <c r="AR299" t="str">
        <f t="shared" si="75"/>
        <v>riosucio|caldas</v>
      </c>
      <c r="AS299" s="30">
        <f t="shared" si="76"/>
        <v>0</v>
      </c>
      <c r="AT299" s="30">
        <f t="shared" si="77"/>
        <v>0</v>
      </c>
      <c r="AU299" s="30">
        <f t="shared" si="78"/>
        <v>0</v>
      </c>
      <c r="AV299" s="30">
        <f t="shared" si="79"/>
        <v>3</v>
      </c>
      <c r="AZ299" s="31">
        <f t="shared" si="80"/>
        <v>3</v>
      </c>
      <c r="BA299" s="31">
        <f t="shared" si="81"/>
        <v>3</v>
      </c>
      <c r="BB299" s="32">
        <f>IFERROR(INDEX('Análisis general'!$E$4:$E$28,MATCH($B299,'Análisis general'!$B$4:$B$28,0)),"")</f>
        <v>7.9</v>
      </c>
      <c r="BC299" s="31">
        <f t="shared" si="82"/>
        <v>3</v>
      </c>
      <c r="BD299" s="32">
        <f t="shared" si="83"/>
        <v>3.8571428571428568</v>
      </c>
      <c r="BE299" s="32">
        <f t="shared" si="84"/>
        <v>5.3999999999999995</v>
      </c>
    </row>
    <row r="300" spans="1:57" ht="25.5" customHeight="1" x14ac:dyDescent="0.25">
      <c r="A300" s="33" t="s">
        <v>865</v>
      </c>
      <c r="B300" s="11" t="s">
        <v>10</v>
      </c>
      <c r="C300" s="34" t="s">
        <v>112</v>
      </c>
      <c r="D300" s="24">
        <f t="shared" si="68"/>
        <v>3</v>
      </c>
      <c r="E300" s="59">
        <f t="shared" si="69"/>
        <v>3.8571428571428568</v>
      </c>
      <c r="F300" s="59">
        <f t="shared" si="70"/>
        <v>5.3999999999999995</v>
      </c>
      <c r="G300" s="11" t="s">
        <v>866</v>
      </c>
      <c r="H300" s="25" t="str">
        <f>IFERROR(IF($AQ300,INDEX(cpe!$C$2:$C$307,MATCH($AR300,cpe!$F$2:$F$307,0)),INDEX(cpe!$C$2:$C$307,MATCH($AR300,cpe!$D$2:$D$307,0))),"#N/D")</f>
        <v>#N/D</v>
      </c>
      <c r="I300" s="25" t="str">
        <f>IFERROR(IF($AQ300,INDEX(cpe!$B$2:$B$307,MATCH($AR300,cpe!$F$2:$F$307,0)),INDEX(cpe!$B$2:$B$307,MATCH($AR300,cpe!$D$2:$D$307,0))),"#N/D")</f>
        <v>#N/D</v>
      </c>
      <c r="J300" s="26" t="str">
        <f>IF($AQ300,"#N/D",IFERROR(INDEX(Olimpiadas!$B$2:$B$61,MATCH($AO300,Olimpiadas!$C$2:$C$61,0)),"#N/D"))</f>
        <v>#N/D</v>
      </c>
      <c r="K300" s="26" t="str">
        <f>IF($AQ300,"#N/D",IFERROR(INDEX(Olimpiadas!$A$2:$A$61,MATCH($AO300,Olimpiadas!$C$2:$C$61,0)),"#N/D"))</f>
        <v>#N/D</v>
      </c>
      <c r="L300" s="26" t="str">
        <f>IF($AQ300,"#N/D",IFERROR(INDEX(Minculturas!$A$2:$A$48,MATCH($AO300,Minculturas!$C$2:$C$48,0)),"#N/D"))</f>
        <v>#N/D</v>
      </c>
      <c r="M300" s="26" t="str">
        <f>IF($AQ300,"#N/D",IFERROR(INDEX(Minculturas!$B$2:$B$48,MATCH($AO300,Minculturas!$C$2:$C$48,0)),"#N/D"))</f>
        <v>#N/D</v>
      </c>
      <c r="N300" s="27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8">
        <v>0</v>
      </c>
      <c r="AG300" s="27">
        <f t="shared" si="71"/>
        <v>0</v>
      </c>
      <c r="AH300" s="28"/>
      <c r="AI300" s="28"/>
      <c r="AJ300" s="28">
        <v>31.9</v>
      </c>
      <c r="AK300" s="28"/>
      <c r="AL300" s="28"/>
      <c r="AM300" s="29" t="s">
        <v>365</v>
      </c>
      <c r="AO300" t="str">
        <f t="shared" si="72"/>
        <v>alejandria</v>
      </c>
      <c r="AP300" t="str">
        <f t="shared" si="73"/>
        <v>antioquia</v>
      </c>
      <c r="AQ300" t="b">
        <f t="shared" si="74"/>
        <v>0</v>
      </c>
      <c r="AR300" t="str">
        <f t="shared" si="75"/>
        <v>alejandria</v>
      </c>
      <c r="AS300" s="30">
        <f t="shared" si="76"/>
        <v>0</v>
      </c>
      <c r="AT300" s="30">
        <f t="shared" si="77"/>
        <v>0</v>
      </c>
      <c r="AU300" s="30">
        <f t="shared" si="78"/>
        <v>0</v>
      </c>
      <c r="AV300" s="30">
        <f t="shared" si="79"/>
        <v>3</v>
      </c>
      <c r="AZ300" s="31">
        <f t="shared" si="80"/>
        <v>3</v>
      </c>
      <c r="BA300" s="31">
        <f t="shared" si="81"/>
        <v>3</v>
      </c>
      <c r="BB300" s="32">
        <f>IFERROR(INDEX('Análisis general'!$E$4:$E$28,MATCH($B300,'Análisis general'!$B$4:$B$28,0)),"")</f>
        <v>9.5</v>
      </c>
      <c r="BC300" s="31">
        <f t="shared" si="82"/>
        <v>3</v>
      </c>
      <c r="BD300" s="32">
        <f t="shared" si="83"/>
        <v>3.8571428571428568</v>
      </c>
      <c r="BE300" s="32">
        <f t="shared" si="84"/>
        <v>5.3999999999999995</v>
      </c>
    </row>
    <row r="301" spans="1:57" ht="25.5" customHeight="1" x14ac:dyDescent="0.25">
      <c r="A301" s="33" t="s">
        <v>867</v>
      </c>
      <c r="B301" s="11" t="s">
        <v>10</v>
      </c>
      <c r="C301" s="34" t="s">
        <v>112</v>
      </c>
      <c r="D301" s="24">
        <f t="shared" si="68"/>
        <v>3</v>
      </c>
      <c r="E301" s="59">
        <f t="shared" si="69"/>
        <v>3.8571428571428568</v>
      </c>
      <c r="F301" s="59">
        <f t="shared" si="70"/>
        <v>5.3999999999999995</v>
      </c>
      <c r="G301" s="11" t="s">
        <v>868</v>
      </c>
      <c r="H301" s="25" t="str">
        <f>IFERROR(IF($AQ301,INDEX(cpe!$C$2:$C$307,MATCH($AR301,cpe!$F$2:$F$307,0)),INDEX(cpe!$C$2:$C$307,MATCH($AR301,cpe!$D$2:$D$307,0))),"#N/D")</f>
        <v>#N/D</v>
      </c>
      <c r="I301" s="25" t="str">
        <f>IFERROR(IF($AQ301,INDEX(cpe!$B$2:$B$307,MATCH($AR301,cpe!$F$2:$F$307,0)),INDEX(cpe!$B$2:$B$307,MATCH($AR301,cpe!$D$2:$D$307,0))),"#N/D")</f>
        <v>#N/D</v>
      </c>
      <c r="J301" s="26" t="str">
        <f>IF($AQ301,"#N/D",IFERROR(INDEX(Olimpiadas!$B$2:$B$61,MATCH($AO301,Olimpiadas!$C$2:$C$61,0)),"#N/D"))</f>
        <v>#N/D</v>
      </c>
      <c r="K301" s="26" t="str">
        <f>IF($AQ301,"#N/D",IFERROR(INDEX(Olimpiadas!$A$2:$A$61,MATCH($AO301,Olimpiadas!$C$2:$C$61,0)),"#N/D"))</f>
        <v>#N/D</v>
      </c>
      <c r="L301" s="26" t="str">
        <f>IF($AQ301,"#N/D",IFERROR(INDEX(Minculturas!$A$2:$A$48,MATCH($AO301,Minculturas!$C$2:$C$48,0)),"#N/D"))</f>
        <v>#N/D</v>
      </c>
      <c r="M301" s="26" t="str">
        <f>IF($AQ301,"#N/D",IFERROR(INDEX(Minculturas!$B$2:$B$48,MATCH($AO301,Minculturas!$C$2:$C$48,0)),"#N/D"))</f>
        <v>#N/D</v>
      </c>
      <c r="N301" s="27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7">
        <f t="shared" si="71"/>
        <v>0</v>
      </c>
      <c r="AH301" s="28"/>
      <c r="AI301" s="28"/>
      <c r="AJ301" s="28">
        <v>43.3</v>
      </c>
      <c r="AK301" s="28"/>
      <c r="AL301" s="28"/>
      <c r="AM301" s="29" t="s">
        <v>365</v>
      </c>
      <c r="AO301" t="str">
        <f t="shared" si="72"/>
        <v>amalfi</v>
      </c>
      <c r="AP301" t="str">
        <f t="shared" si="73"/>
        <v>antioquia</v>
      </c>
      <c r="AQ301" t="b">
        <f t="shared" si="74"/>
        <v>0</v>
      </c>
      <c r="AR301" t="str">
        <f t="shared" si="75"/>
        <v>amalfi</v>
      </c>
      <c r="AS301" s="30">
        <f t="shared" si="76"/>
        <v>0</v>
      </c>
      <c r="AT301" s="30">
        <f t="shared" si="77"/>
        <v>0</v>
      </c>
      <c r="AU301" s="30">
        <f t="shared" si="78"/>
        <v>0</v>
      </c>
      <c r="AV301" s="30">
        <f t="shared" si="79"/>
        <v>3</v>
      </c>
      <c r="AZ301" s="31">
        <f t="shared" si="80"/>
        <v>3</v>
      </c>
      <c r="BA301" s="31">
        <f t="shared" si="81"/>
        <v>3</v>
      </c>
      <c r="BB301" s="32">
        <f>IFERROR(INDEX('Análisis general'!$E$4:$E$28,MATCH($B301,'Análisis general'!$B$4:$B$28,0)),"")</f>
        <v>9.5</v>
      </c>
      <c r="BC301" s="31">
        <f t="shared" si="82"/>
        <v>3</v>
      </c>
      <c r="BD301" s="32">
        <f t="shared" si="83"/>
        <v>3.8571428571428568</v>
      </c>
      <c r="BE301" s="32">
        <f t="shared" si="84"/>
        <v>5.3999999999999995</v>
      </c>
    </row>
    <row r="302" spans="1:57" ht="25.5" customHeight="1" x14ac:dyDescent="0.25">
      <c r="A302" s="33" t="s">
        <v>869</v>
      </c>
      <c r="B302" s="11" t="s">
        <v>10</v>
      </c>
      <c r="C302" s="34" t="s">
        <v>112</v>
      </c>
      <c r="D302" s="24">
        <f t="shared" si="68"/>
        <v>3</v>
      </c>
      <c r="E302" s="59">
        <f t="shared" si="69"/>
        <v>3.8571428571428568</v>
      </c>
      <c r="F302" s="59">
        <f t="shared" si="70"/>
        <v>5.3999999999999995</v>
      </c>
      <c r="G302" s="11" t="s">
        <v>870</v>
      </c>
      <c r="H302" s="25" t="str">
        <f>IFERROR(IF($AQ302,INDEX(cpe!$C$2:$C$307,MATCH($AR302,cpe!$F$2:$F$307,0)),INDEX(cpe!$C$2:$C$307,MATCH($AR302,cpe!$D$2:$D$307,0))),"#N/D")</f>
        <v>#N/D</v>
      </c>
      <c r="I302" s="25" t="str">
        <f>IFERROR(IF($AQ302,INDEX(cpe!$B$2:$B$307,MATCH($AR302,cpe!$F$2:$F$307,0)),INDEX(cpe!$B$2:$B$307,MATCH($AR302,cpe!$D$2:$D$307,0))),"#N/D")</f>
        <v>#N/D</v>
      </c>
      <c r="J302" s="26" t="str">
        <f>IF($AQ302,"#N/D",IFERROR(INDEX(Olimpiadas!$B$2:$B$61,MATCH($AO302,Olimpiadas!$C$2:$C$61,0)),"#N/D"))</f>
        <v>#N/D</v>
      </c>
      <c r="K302" s="26" t="str">
        <f>IF($AQ302,"#N/D",IFERROR(INDEX(Olimpiadas!$A$2:$A$61,MATCH($AO302,Olimpiadas!$C$2:$C$61,0)),"#N/D"))</f>
        <v>#N/D</v>
      </c>
      <c r="L302" s="26" t="str">
        <f>IF($AQ302,"#N/D",IFERROR(INDEX(Minculturas!$A$2:$A$48,MATCH($AO302,Minculturas!$C$2:$C$48,0)),"#N/D"))</f>
        <v>#N/D</v>
      </c>
      <c r="M302" s="26" t="str">
        <f>IF($AQ302,"#N/D",IFERROR(INDEX(Minculturas!$B$2:$B$48,MATCH($AO302,Minculturas!$C$2:$C$48,0)),"#N/D"))</f>
        <v>#N/D</v>
      </c>
      <c r="N302" s="27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8">
        <v>0</v>
      </c>
      <c r="AG302" s="27">
        <f t="shared" si="71"/>
        <v>0</v>
      </c>
      <c r="AH302" s="28"/>
      <c r="AI302" s="28"/>
      <c r="AJ302" s="28">
        <v>30.7</v>
      </c>
      <c r="AK302" s="28"/>
      <c r="AL302" s="28"/>
      <c r="AM302" s="29" t="s">
        <v>657</v>
      </c>
      <c r="AO302" t="str">
        <f t="shared" si="72"/>
        <v>angelopolis</v>
      </c>
      <c r="AP302" t="str">
        <f t="shared" si="73"/>
        <v>antioquia</v>
      </c>
      <c r="AQ302" t="b">
        <f t="shared" si="74"/>
        <v>0</v>
      </c>
      <c r="AR302" t="str">
        <f t="shared" si="75"/>
        <v>angelopolis</v>
      </c>
      <c r="AS302" s="30">
        <f t="shared" si="76"/>
        <v>0</v>
      </c>
      <c r="AT302" s="30">
        <f t="shared" si="77"/>
        <v>0</v>
      </c>
      <c r="AU302" s="30">
        <f t="shared" si="78"/>
        <v>0</v>
      </c>
      <c r="AV302" s="30">
        <f t="shared" si="79"/>
        <v>3</v>
      </c>
      <c r="AZ302" s="31">
        <f t="shared" si="80"/>
        <v>3</v>
      </c>
      <c r="BA302" s="31">
        <f t="shared" si="81"/>
        <v>3</v>
      </c>
      <c r="BB302" s="32">
        <f>IFERROR(INDEX('Análisis general'!$E$4:$E$28,MATCH($B302,'Análisis general'!$B$4:$B$28,0)),"")</f>
        <v>9.5</v>
      </c>
      <c r="BC302" s="31">
        <f t="shared" si="82"/>
        <v>3</v>
      </c>
      <c r="BD302" s="32">
        <f t="shared" si="83"/>
        <v>3.8571428571428568</v>
      </c>
      <c r="BE302" s="32">
        <f t="shared" si="84"/>
        <v>5.3999999999999995</v>
      </c>
    </row>
    <row r="303" spans="1:57" ht="25.5" customHeight="1" x14ac:dyDescent="0.25">
      <c r="A303" s="33" t="s">
        <v>871</v>
      </c>
      <c r="B303" s="11" t="s">
        <v>10</v>
      </c>
      <c r="C303" s="34" t="s">
        <v>112</v>
      </c>
      <c r="D303" s="24">
        <f t="shared" si="68"/>
        <v>3</v>
      </c>
      <c r="E303" s="59">
        <f t="shared" si="69"/>
        <v>3.8571428571428568</v>
      </c>
      <c r="F303" s="59">
        <f t="shared" si="70"/>
        <v>5.3999999999999995</v>
      </c>
      <c r="G303" s="11" t="s">
        <v>872</v>
      </c>
      <c r="H303" s="25" t="str">
        <f>IFERROR(IF($AQ303,INDEX(cpe!$C$2:$C$307,MATCH($AR303,cpe!$F$2:$F$307,0)),INDEX(cpe!$C$2:$C$307,MATCH($AR303,cpe!$D$2:$D$307,0))),"#N/D")</f>
        <v>#N/D</v>
      </c>
      <c r="I303" s="25" t="str">
        <f>IFERROR(IF($AQ303,INDEX(cpe!$B$2:$B$307,MATCH($AR303,cpe!$F$2:$F$307,0)),INDEX(cpe!$B$2:$B$307,MATCH($AR303,cpe!$D$2:$D$307,0))),"#N/D")</f>
        <v>#N/D</v>
      </c>
      <c r="J303" s="26" t="str">
        <f>IF($AQ303,"#N/D",IFERROR(INDEX(Olimpiadas!$B$2:$B$61,MATCH($AO303,Olimpiadas!$C$2:$C$61,0)),"#N/D"))</f>
        <v>#N/D</v>
      </c>
      <c r="K303" s="26" t="str">
        <f>IF($AQ303,"#N/D",IFERROR(INDEX(Olimpiadas!$A$2:$A$61,MATCH($AO303,Olimpiadas!$C$2:$C$61,0)),"#N/D"))</f>
        <v>#N/D</v>
      </c>
      <c r="L303" s="26" t="str">
        <f>IF($AQ303,"#N/D",IFERROR(INDEX(Minculturas!$A$2:$A$48,MATCH($AO303,Minculturas!$C$2:$C$48,0)),"#N/D"))</f>
        <v>#N/D</v>
      </c>
      <c r="M303" s="26" t="str">
        <f>IF($AQ303,"#N/D",IFERROR(INDEX(Minculturas!$B$2:$B$48,MATCH($AO303,Minculturas!$C$2:$C$48,0)),"#N/D"))</f>
        <v>#N/D</v>
      </c>
      <c r="N303" s="27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8">
        <v>0</v>
      </c>
      <c r="AG303" s="27">
        <f t="shared" si="71"/>
        <v>0</v>
      </c>
      <c r="AH303" s="28"/>
      <c r="AI303" s="28"/>
      <c r="AJ303" s="28">
        <v>53.8</v>
      </c>
      <c r="AK303" s="28"/>
      <c r="AL303" s="28"/>
      <c r="AM303" s="29" t="s">
        <v>365</v>
      </c>
      <c r="AO303" t="str">
        <f t="shared" si="72"/>
        <v>angostura</v>
      </c>
      <c r="AP303" t="str">
        <f t="shared" si="73"/>
        <v>antioquia</v>
      </c>
      <c r="AQ303" t="b">
        <f t="shared" si="74"/>
        <v>0</v>
      </c>
      <c r="AR303" t="str">
        <f t="shared" si="75"/>
        <v>angostura</v>
      </c>
      <c r="AS303" s="30">
        <f t="shared" si="76"/>
        <v>0</v>
      </c>
      <c r="AT303" s="30">
        <f t="shared" si="77"/>
        <v>0</v>
      </c>
      <c r="AU303" s="30">
        <f t="shared" si="78"/>
        <v>0</v>
      </c>
      <c r="AV303" s="30">
        <f t="shared" si="79"/>
        <v>3</v>
      </c>
      <c r="AZ303" s="31">
        <f t="shared" si="80"/>
        <v>3</v>
      </c>
      <c r="BA303" s="31">
        <f t="shared" si="81"/>
        <v>3</v>
      </c>
      <c r="BB303" s="32">
        <f>IFERROR(INDEX('Análisis general'!$E$4:$E$28,MATCH($B303,'Análisis general'!$B$4:$B$28,0)),"")</f>
        <v>9.5</v>
      </c>
      <c r="BC303" s="31">
        <f t="shared" si="82"/>
        <v>3</v>
      </c>
      <c r="BD303" s="32">
        <f t="shared" si="83"/>
        <v>3.8571428571428568</v>
      </c>
      <c r="BE303" s="32">
        <f t="shared" si="84"/>
        <v>5.3999999999999995</v>
      </c>
    </row>
    <row r="304" spans="1:57" ht="25.5" customHeight="1" x14ac:dyDescent="0.25">
      <c r="A304" s="33" t="s">
        <v>874</v>
      </c>
      <c r="B304" s="11" t="s">
        <v>10</v>
      </c>
      <c r="C304" s="34" t="s">
        <v>112</v>
      </c>
      <c r="D304" s="24">
        <f t="shared" si="68"/>
        <v>3</v>
      </c>
      <c r="E304" s="59">
        <f t="shared" si="69"/>
        <v>3.8571428571428568</v>
      </c>
      <c r="F304" s="59">
        <f t="shared" si="70"/>
        <v>5.3999999999999995</v>
      </c>
      <c r="G304" s="11" t="s">
        <v>830</v>
      </c>
      <c r="H304" s="25" t="str">
        <f>IFERROR(IF($AQ304,INDEX(cpe!$C$2:$C$307,MATCH($AR304,cpe!$F$2:$F$307,0)),INDEX(cpe!$C$2:$C$307,MATCH($AR304,cpe!$D$2:$D$307,0))),"#N/D")</f>
        <v>#N/D</v>
      </c>
      <c r="I304" s="25" t="str">
        <f>IFERROR(IF($AQ304,INDEX(cpe!$B$2:$B$307,MATCH($AR304,cpe!$F$2:$F$307,0)),INDEX(cpe!$B$2:$B$307,MATCH($AR304,cpe!$D$2:$D$307,0))),"#N/D")</f>
        <v>#N/D</v>
      </c>
      <c r="J304" s="26" t="str">
        <f>IF($AQ304,"#N/D",IFERROR(INDEX(Olimpiadas!$B$2:$B$61,MATCH($AO304,Olimpiadas!$C$2:$C$61,0)),"#N/D"))</f>
        <v>#N/D</v>
      </c>
      <c r="K304" s="26" t="str">
        <f>IF($AQ304,"#N/D",IFERROR(INDEX(Olimpiadas!$A$2:$A$61,MATCH($AO304,Olimpiadas!$C$2:$C$61,0)),"#N/D"))</f>
        <v>#N/D</v>
      </c>
      <c r="L304" s="26" t="str">
        <f>IF($AQ304,"#N/D",IFERROR(INDEX(Minculturas!$A$2:$A$48,MATCH($AO304,Minculturas!$C$2:$C$48,0)),"#N/D"))</f>
        <v>#N/D</v>
      </c>
      <c r="M304" s="26" t="str">
        <f>IF($AQ304,"#N/D",IFERROR(INDEX(Minculturas!$B$2:$B$48,MATCH($AO304,Minculturas!$C$2:$C$48,0)),"#N/D"))</f>
        <v>#N/D</v>
      </c>
      <c r="N304" s="27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28">
        <v>0</v>
      </c>
      <c r="AG304" s="27">
        <f t="shared" si="71"/>
        <v>0</v>
      </c>
      <c r="AH304" s="28"/>
      <c r="AI304" s="28"/>
      <c r="AJ304" s="28">
        <v>37.700000000000003</v>
      </c>
      <c r="AK304" s="28"/>
      <c r="AL304" s="28"/>
      <c r="AM304" s="29" t="s">
        <v>365</v>
      </c>
      <c r="AO304" t="str">
        <f t="shared" si="72"/>
        <v>armenia</v>
      </c>
      <c r="AP304" t="str">
        <f t="shared" si="73"/>
        <v>antioquia</v>
      </c>
      <c r="AQ304" t="b">
        <f t="shared" si="74"/>
        <v>1</v>
      </c>
      <c r="AR304" t="str">
        <f t="shared" si="75"/>
        <v>armenia|antioquia</v>
      </c>
      <c r="AS304" s="30">
        <f t="shared" si="76"/>
        <v>0</v>
      </c>
      <c r="AT304" s="30">
        <f t="shared" si="77"/>
        <v>0</v>
      </c>
      <c r="AU304" s="30">
        <f t="shared" si="78"/>
        <v>0</v>
      </c>
      <c r="AV304" s="30">
        <f t="shared" si="79"/>
        <v>3</v>
      </c>
      <c r="AZ304" s="31">
        <f t="shared" si="80"/>
        <v>3</v>
      </c>
      <c r="BA304" s="31">
        <f t="shared" si="81"/>
        <v>3</v>
      </c>
      <c r="BB304" s="32">
        <f>IFERROR(INDEX('Análisis general'!$E$4:$E$28,MATCH($B304,'Análisis general'!$B$4:$B$28,0)),"")</f>
        <v>9.5</v>
      </c>
      <c r="BC304" s="31">
        <f t="shared" si="82"/>
        <v>3</v>
      </c>
      <c r="BD304" s="32">
        <f t="shared" si="83"/>
        <v>3.8571428571428568</v>
      </c>
      <c r="BE304" s="32">
        <f t="shared" si="84"/>
        <v>5.3999999999999995</v>
      </c>
    </row>
    <row r="305" spans="1:57" ht="25.5" customHeight="1" x14ac:dyDescent="0.25">
      <c r="A305" s="33" t="s">
        <v>875</v>
      </c>
      <c r="B305" s="11" t="s">
        <v>10</v>
      </c>
      <c r="C305" s="34" t="s">
        <v>112</v>
      </c>
      <c r="D305" s="24">
        <f t="shared" si="68"/>
        <v>3</v>
      </c>
      <c r="E305" s="59">
        <f t="shared" si="69"/>
        <v>3.8571428571428568</v>
      </c>
      <c r="F305" s="59">
        <f t="shared" si="70"/>
        <v>5.3999999999999995</v>
      </c>
      <c r="G305" s="11" t="s">
        <v>876</v>
      </c>
      <c r="H305" s="25" t="str">
        <f>IFERROR(IF($AQ305,INDEX(cpe!$C$2:$C$307,MATCH($AR305,cpe!$F$2:$F$307,0)),INDEX(cpe!$C$2:$C$307,MATCH($AR305,cpe!$D$2:$D$307,0))),"#N/D")</f>
        <v>#N/D</v>
      </c>
      <c r="I305" s="25" t="str">
        <f>IFERROR(IF($AQ305,INDEX(cpe!$B$2:$B$307,MATCH($AR305,cpe!$F$2:$F$307,0)),INDEX(cpe!$B$2:$B$307,MATCH($AR305,cpe!$D$2:$D$307,0))),"#N/D")</f>
        <v>#N/D</v>
      </c>
      <c r="J305" s="26" t="str">
        <f>IF($AQ305,"#N/D",IFERROR(INDEX(Olimpiadas!$B$2:$B$61,MATCH($AO305,Olimpiadas!$C$2:$C$61,0)),"#N/D"))</f>
        <v>#N/D</v>
      </c>
      <c r="K305" s="26" t="str">
        <f>IF($AQ305,"#N/D",IFERROR(INDEX(Olimpiadas!$A$2:$A$61,MATCH($AO305,Olimpiadas!$C$2:$C$61,0)),"#N/D"))</f>
        <v>#N/D</v>
      </c>
      <c r="L305" s="26" t="str">
        <f>IF($AQ305,"#N/D",IFERROR(INDEX(Minculturas!$A$2:$A$48,MATCH($AO305,Minculturas!$C$2:$C$48,0)),"#N/D"))</f>
        <v>#N/D</v>
      </c>
      <c r="M305" s="26" t="str">
        <f>IF($AQ305,"#N/D",IFERROR(INDEX(Minculturas!$B$2:$B$48,MATCH($AO305,Minculturas!$C$2:$C$48,0)),"#N/D"))</f>
        <v>#N/D</v>
      </c>
      <c r="N305" s="27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28">
        <v>0</v>
      </c>
      <c r="AG305" s="27">
        <f t="shared" si="71"/>
        <v>0</v>
      </c>
      <c r="AH305" s="28"/>
      <c r="AI305" s="28"/>
      <c r="AJ305" s="28">
        <v>22.2</v>
      </c>
      <c r="AK305" s="28"/>
      <c r="AL305" s="28"/>
      <c r="AM305" s="29" t="s">
        <v>657</v>
      </c>
      <c r="AO305" t="str">
        <f t="shared" si="72"/>
        <v>barbosa</v>
      </c>
      <c r="AP305" t="str">
        <f t="shared" si="73"/>
        <v>antioquia</v>
      </c>
      <c r="AQ305" t="b">
        <f t="shared" si="74"/>
        <v>0</v>
      </c>
      <c r="AR305" t="str">
        <f t="shared" si="75"/>
        <v>barbosa</v>
      </c>
      <c r="AS305" s="30">
        <f t="shared" si="76"/>
        <v>0</v>
      </c>
      <c r="AT305" s="30">
        <f t="shared" si="77"/>
        <v>0</v>
      </c>
      <c r="AU305" s="30">
        <f t="shared" si="78"/>
        <v>0</v>
      </c>
      <c r="AV305" s="30">
        <f t="shared" si="79"/>
        <v>3</v>
      </c>
      <c r="AZ305" s="31">
        <f t="shared" si="80"/>
        <v>3</v>
      </c>
      <c r="BA305" s="31">
        <f t="shared" si="81"/>
        <v>3</v>
      </c>
      <c r="BB305" s="32">
        <f>IFERROR(INDEX('Análisis general'!$E$4:$E$28,MATCH($B305,'Análisis general'!$B$4:$B$28,0)),"")</f>
        <v>9.5</v>
      </c>
      <c r="BC305" s="31">
        <f t="shared" si="82"/>
        <v>3</v>
      </c>
      <c r="BD305" s="32">
        <f t="shared" si="83"/>
        <v>3.8571428571428568</v>
      </c>
      <c r="BE305" s="32">
        <f t="shared" si="84"/>
        <v>5.3999999999999995</v>
      </c>
    </row>
    <row r="306" spans="1:57" ht="25.5" customHeight="1" x14ac:dyDescent="0.25">
      <c r="A306" s="33" t="s">
        <v>880</v>
      </c>
      <c r="B306" s="11" t="s">
        <v>10</v>
      </c>
      <c r="C306" s="34" t="s">
        <v>112</v>
      </c>
      <c r="D306" s="24">
        <f t="shared" si="68"/>
        <v>3</v>
      </c>
      <c r="E306" s="59">
        <f t="shared" si="69"/>
        <v>3.8571428571428568</v>
      </c>
      <c r="F306" s="59">
        <f t="shared" si="70"/>
        <v>5.3999999999999995</v>
      </c>
      <c r="G306" s="11" t="s">
        <v>881</v>
      </c>
      <c r="H306" s="25" t="str">
        <f>IFERROR(IF($AQ306,INDEX(cpe!$C$2:$C$307,MATCH($AR306,cpe!$F$2:$F$307,0)),INDEX(cpe!$C$2:$C$307,MATCH($AR306,cpe!$D$2:$D$307,0))),"#N/D")</f>
        <v>#N/D</v>
      </c>
      <c r="I306" s="25" t="str">
        <f>IFERROR(IF($AQ306,INDEX(cpe!$B$2:$B$307,MATCH($AR306,cpe!$F$2:$F$307,0)),INDEX(cpe!$B$2:$B$307,MATCH($AR306,cpe!$D$2:$D$307,0))),"#N/D")</f>
        <v>#N/D</v>
      </c>
      <c r="J306" s="26" t="str">
        <f>IF($AQ306,"#N/D",IFERROR(INDEX(Olimpiadas!$B$2:$B$61,MATCH($AO306,Olimpiadas!$C$2:$C$61,0)),"#N/D"))</f>
        <v>#N/D</v>
      </c>
      <c r="K306" s="26" t="str">
        <f>IF($AQ306,"#N/D",IFERROR(INDEX(Olimpiadas!$A$2:$A$61,MATCH($AO306,Olimpiadas!$C$2:$C$61,0)),"#N/D"))</f>
        <v>#N/D</v>
      </c>
      <c r="L306" s="26" t="str">
        <f>IF($AQ306,"#N/D",IFERROR(INDEX(Minculturas!$A$2:$A$48,MATCH($AO306,Minculturas!$C$2:$C$48,0)),"#N/D"))</f>
        <v>#N/D</v>
      </c>
      <c r="M306" s="26" t="str">
        <f>IF($AQ306,"#N/D",IFERROR(INDEX(Minculturas!$B$2:$B$48,MATCH($AO306,Minculturas!$C$2:$C$48,0)),"#N/D"))</f>
        <v>#N/D</v>
      </c>
      <c r="N306" s="27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8">
        <v>0</v>
      </c>
      <c r="AG306" s="27">
        <f t="shared" si="71"/>
        <v>0</v>
      </c>
      <c r="AH306" s="28"/>
      <c r="AI306" s="28"/>
      <c r="AJ306" s="28">
        <v>53.6</v>
      </c>
      <c r="AK306" s="28"/>
      <c r="AL306" s="28"/>
      <c r="AM306" s="29" t="s">
        <v>365</v>
      </c>
      <c r="AO306" t="str">
        <f t="shared" si="72"/>
        <v>betania</v>
      </c>
      <c r="AP306" t="str">
        <f t="shared" si="73"/>
        <v>antioquia</v>
      </c>
      <c r="AQ306" t="b">
        <f t="shared" si="74"/>
        <v>0</v>
      </c>
      <c r="AR306" t="str">
        <f t="shared" si="75"/>
        <v>betania</v>
      </c>
      <c r="AS306" s="30">
        <f t="shared" si="76"/>
        <v>0</v>
      </c>
      <c r="AT306" s="30">
        <f t="shared" si="77"/>
        <v>0</v>
      </c>
      <c r="AU306" s="30">
        <f t="shared" si="78"/>
        <v>0</v>
      </c>
      <c r="AV306" s="30">
        <f t="shared" si="79"/>
        <v>3</v>
      </c>
      <c r="AZ306" s="31">
        <f t="shared" si="80"/>
        <v>3</v>
      </c>
      <c r="BA306" s="31">
        <f t="shared" si="81"/>
        <v>3</v>
      </c>
      <c r="BB306" s="32">
        <f>IFERROR(INDEX('Análisis general'!$E$4:$E$28,MATCH($B306,'Análisis general'!$B$4:$B$28,0)),"")</f>
        <v>9.5</v>
      </c>
      <c r="BC306" s="31">
        <f t="shared" si="82"/>
        <v>3</v>
      </c>
      <c r="BD306" s="32">
        <f t="shared" si="83"/>
        <v>3.8571428571428568</v>
      </c>
      <c r="BE306" s="32">
        <f t="shared" si="84"/>
        <v>5.3999999999999995</v>
      </c>
    </row>
    <row r="307" spans="1:57" ht="25.5" customHeight="1" x14ac:dyDescent="0.25">
      <c r="A307" s="33" t="s">
        <v>884</v>
      </c>
      <c r="B307" s="11" t="s">
        <v>10</v>
      </c>
      <c r="C307" s="34" t="s">
        <v>112</v>
      </c>
      <c r="D307" s="24">
        <f t="shared" si="68"/>
        <v>3</v>
      </c>
      <c r="E307" s="59">
        <f t="shared" si="69"/>
        <v>3.8571428571428568</v>
      </c>
      <c r="F307" s="59">
        <f t="shared" si="70"/>
        <v>5.3999999999999995</v>
      </c>
      <c r="G307" s="11" t="s">
        <v>885</v>
      </c>
      <c r="H307" s="25" t="str">
        <f>IFERROR(IF($AQ307,INDEX(cpe!$C$2:$C$307,MATCH($AR307,cpe!$F$2:$F$307,0)),INDEX(cpe!$C$2:$C$307,MATCH($AR307,cpe!$D$2:$D$307,0))),"#N/D")</f>
        <v>#N/D</v>
      </c>
      <c r="I307" s="25" t="str">
        <f>IFERROR(IF($AQ307,INDEX(cpe!$B$2:$B$307,MATCH($AR307,cpe!$F$2:$F$307,0)),INDEX(cpe!$B$2:$B$307,MATCH($AR307,cpe!$D$2:$D$307,0))),"#N/D")</f>
        <v>#N/D</v>
      </c>
      <c r="J307" s="26" t="str">
        <f>IF($AQ307,"#N/D",IFERROR(INDEX(Olimpiadas!$B$2:$B$61,MATCH($AO307,Olimpiadas!$C$2:$C$61,0)),"#N/D"))</f>
        <v>#N/D</v>
      </c>
      <c r="K307" s="26" t="str">
        <f>IF($AQ307,"#N/D",IFERROR(INDEX(Olimpiadas!$A$2:$A$61,MATCH($AO307,Olimpiadas!$C$2:$C$61,0)),"#N/D"))</f>
        <v>#N/D</v>
      </c>
      <c r="L307" s="26" t="str">
        <f>IF($AQ307,"#N/D",IFERROR(INDEX(Minculturas!$A$2:$A$48,MATCH($AO307,Minculturas!$C$2:$C$48,0)),"#N/D"))</f>
        <v>#N/D</v>
      </c>
      <c r="M307" s="26" t="str">
        <f>IF($AQ307,"#N/D",IFERROR(INDEX(Minculturas!$B$2:$B$48,MATCH($AO307,Minculturas!$C$2:$C$48,0)),"#N/D"))</f>
        <v>#N/D</v>
      </c>
      <c r="N307" s="27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8">
        <v>0</v>
      </c>
      <c r="AG307" s="27">
        <f t="shared" si="71"/>
        <v>0</v>
      </c>
      <c r="AH307" s="28"/>
      <c r="AI307" s="28"/>
      <c r="AJ307" s="28">
        <v>54.6</v>
      </c>
      <c r="AK307" s="28"/>
      <c r="AL307" s="28"/>
      <c r="AM307" s="29" t="s">
        <v>657</v>
      </c>
      <c r="AO307" t="str">
        <f t="shared" si="72"/>
        <v>caicedo</v>
      </c>
      <c r="AP307" t="str">
        <f t="shared" si="73"/>
        <v>antioquia</v>
      </c>
      <c r="AQ307" t="b">
        <f t="shared" si="74"/>
        <v>0</v>
      </c>
      <c r="AR307" t="str">
        <f t="shared" si="75"/>
        <v>caicedo</v>
      </c>
      <c r="AS307" s="30">
        <f t="shared" si="76"/>
        <v>0</v>
      </c>
      <c r="AT307" s="30">
        <f t="shared" si="77"/>
        <v>0</v>
      </c>
      <c r="AU307" s="30">
        <f t="shared" si="78"/>
        <v>0</v>
      </c>
      <c r="AV307" s="30">
        <f t="shared" si="79"/>
        <v>3</v>
      </c>
      <c r="AZ307" s="31">
        <f t="shared" si="80"/>
        <v>3</v>
      </c>
      <c r="BA307" s="31">
        <f t="shared" si="81"/>
        <v>3</v>
      </c>
      <c r="BB307" s="32">
        <f>IFERROR(INDEX('Análisis general'!$E$4:$E$28,MATCH($B307,'Análisis general'!$B$4:$B$28,0)),"")</f>
        <v>9.5</v>
      </c>
      <c r="BC307" s="31">
        <f t="shared" si="82"/>
        <v>3</v>
      </c>
      <c r="BD307" s="32">
        <f t="shared" si="83"/>
        <v>3.8571428571428568</v>
      </c>
      <c r="BE307" s="32">
        <f t="shared" si="84"/>
        <v>5.3999999999999995</v>
      </c>
    </row>
    <row r="308" spans="1:57" ht="25.5" customHeight="1" x14ac:dyDescent="0.25">
      <c r="A308" s="33" t="s">
        <v>889</v>
      </c>
      <c r="B308" s="11" t="s">
        <v>10</v>
      </c>
      <c r="C308" s="34" t="s">
        <v>112</v>
      </c>
      <c r="D308" s="24">
        <f t="shared" si="68"/>
        <v>3</v>
      </c>
      <c r="E308" s="59">
        <f t="shared" si="69"/>
        <v>3.8571428571428568</v>
      </c>
      <c r="F308" s="59">
        <f t="shared" si="70"/>
        <v>5.3999999999999995</v>
      </c>
      <c r="G308" s="11" t="s">
        <v>890</v>
      </c>
      <c r="H308" s="25" t="str">
        <f>IFERROR(IF($AQ308,INDEX(cpe!$C$2:$C$307,MATCH($AR308,cpe!$F$2:$F$307,0)),INDEX(cpe!$C$2:$C$307,MATCH($AR308,cpe!$D$2:$D$307,0))),"#N/D")</f>
        <v>#N/D</v>
      </c>
      <c r="I308" s="25" t="str">
        <f>IFERROR(IF($AQ308,INDEX(cpe!$B$2:$B$307,MATCH($AR308,cpe!$F$2:$F$307,0)),INDEX(cpe!$B$2:$B$307,MATCH($AR308,cpe!$D$2:$D$307,0))),"#N/D")</f>
        <v>#N/D</v>
      </c>
      <c r="J308" s="26" t="str">
        <f>IF($AQ308,"#N/D",IFERROR(INDEX(Olimpiadas!$B$2:$B$61,MATCH($AO308,Olimpiadas!$C$2:$C$61,0)),"#N/D"))</f>
        <v>#N/D</v>
      </c>
      <c r="K308" s="26" t="str">
        <f>IF($AQ308,"#N/D",IFERROR(INDEX(Olimpiadas!$A$2:$A$61,MATCH($AO308,Olimpiadas!$C$2:$C$61,0)),"#N/D"))</f>
        <v>#N/D</v>
      </c>
      <c r="L308" s="26" t="str">
        <f>IF($AQ308,"#N/D",IFERROR(INDEX(Minculturas!$A$2:$A$48,MATCH($AO308,Minculturas!$C$2:$C$48,0)),"#N/D"))</f>
        <v>#N/D</v>
      </c>
      <c r="M308" s="26" t="str">
        <f>IF($AQ308,"#N/D",IFERROR(INDEX(Minculturas!$B$2:$B$48,MATCH($AO308,Minculturas!$C$2:$C$48,0)),"#N/D"))</f>
        <v>#N/D</v>
      </c>
      <c r="N308" s="27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8">
        <v>0</v>
      </c>
      <c r="AG308" s="27">
        <f t="shared" si="71"/>
        <v>0</v>
      </c>
      <c r="AH308" s="28"/>
      <c r="AI308" s="28"/>
      <c r="AJ308" s="28">
        <v>59.3</v>
      </c>
      <c r="AK308" s="28"/>
      <c r="AL308" s="28"/>
      <c r="AM308" s="29" t="s">
        <v>365</v>
      </c>
      <c r="AO308" t="str">
        <f t="shared" si="72"/>
        <v>campamento</v>
      </c>
      <c r="AP308" t="str">
        <f t="shared" si="73"/>
        <v>antioquia</v>
      </c>
      <c r="AQ308" t="b">
        <f t="shared" si="74"/>
        <v>0</v>
      </c>
      <c r="AR308" t="str">
        <f t="shared" si="75"/>
        <v>campamento</v>
      </c>
      <c r="AS308" s="30">
        <f t="shared" si="76"/>
        <v>0</v>
      </c>
      <c r="AT308" s="30">
        <f t="shared" si="77"/>
        <v>0</v>
      </c>
      <c r="AU308" s="30">
        <f t="shared" si="78"/>
        <v>0</v>
      </c>
      <c r="AV308" s="30">
        <f t="shared" si="79"/>
        <v>3</v>
      </c>
      <c r="AZ308" s="31">
        <f t="shared" si="80"/>
        <v>3</v>
      </c>
      <c r="BA308" s="31">
        <f t="shared" si="81"/>
        <v>3</v>
      </c>
      <c r="BB308" s="32">
        <f>IFERROR(INDEX('Análisis general'!$E$4:$E$28,MATCH($B308,'Análisis general'!$B$4:$B$28,0)),"")</f>
        <v>9.5</v>
      </c>
      <c r="BC308" s="31">
        <f t="shared" si="82"/>
        <v>3</v>
      </c>
      <c r="BD308" s="32">
        <f t="shared" si="83"/>
        <v>3.8571428571428568</v>
      </c>
      <c r="BE308" s="32">
        <f t="shared" si="84"/>
        <v>5.3999999999999995</v>
      </c>
    </row>
    <row r="309" spans="1:57" ht="25.5" customHeight="1" x14ac:dyDescent="0.25">
      <c r="A309" s="33" t="s">
        <v>891</v>
      </c>
      <c r="B309" s="11" t="s">
        <v>10</v>
      </c>
      <c r="C309" s="34" t="s">
        <v>112</v>
      </c>
      <c r="D309" s="24">
        <f t="shared" si="68"/>
        <v>3</v>
      </c>
      <c r="E309" s="59">
        <f t="shared" si="69"/>
        <v>3.8571428571428568</v>
      </c>
      <c r="F309" s="59">
        <f t="shared" si="70"/>
        <v>5.3999999999999995</v>
      </c>
      <c r="G309" s="11" t="s">
        <v>892</v>
      </c>
      <c r="H309" s="25" t="str">
        <f>IFERROR(IF($AQ309,INDEX(cpe!$C$2:$C$307,MATCH($AR309,cpe!$F$2:$F$307,0)),INDEX(cpe!$C$2:$C$307,MATCH($AR309,cpe!$D$2:$D$307,0))),"#N/D")</f>
        <v>#N/D</v>
      </c>
      <c r="I309" s="25" t="str">
        <f>IFERROR(IF($AQ309,INDEX(cpe!$B$2:$B$307,MATCH($AR309,cpe!$F$2:$F$307,0)),INDEX(cpe!$B$2:$B$307,MATCH($AR309,cpe!$D$2:$D$307,0))),"#N/D")</f>
        <v>#N/D</v>
      </c>
      <c r="J309" s="26" t="str">
        <f>IF($AQ309,"#N/D",IFERROR(INDEX(Olimpiadas!$B$2:$B$61,MATCH($AO309,Olimpiadas!$C$2:$C$61,0)),"#N/D"))</f>
        <v>#N/D</v>
      </c>
      <c r="K309" s="26" t="str">
        <f>IF($AQ309,"#N/D",IFERROR(INDEX(Olimpiadas!$A$2:$A$61,MATCH($AO309,Olimpiadas!$C$2:$C$61,0)),"#N/D"))</f>
        <v>#N/D</v>
      </c>
      <c r="L309" s="26" t="str">
        <f>IF($AQ309,"#N/D",IFERROR(INDEX(Minculturas!$A$2:$A$48,MATCH($AO309,Minculturas!$C$2:$C$48,0)),"#N/D"))</f>
        <v>#N/D</v>
      </c>
      <c r="M309" s="26" t="str">
        <f>IF($AQ309,"#N/D",IFERROR(INDEX(Minculturas!$B$2:$B$48,MATCH($AO309,Minculturas!$C$2:$C$48,0)),"#N/D"))</f>
        <v>#N/D</v>
      </c>
      <c r="N309" s="27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  <c r="AF309" s="28">
        <v>0</v>
      </c>
      <c r="AG309" s="27">
        <f t="shared" si="71"/>
        <v>0</v>
      </c>
      <c r="AH309" s="28"/>
      <c r="AI309" s="28"/>
      <c r="AJ309" s="28">
        <v>35.9</v>
      </c>
      <c r="AK309" s="28"/>
      <c r="AL309" s="28"/>
      <c r="AM309" s="29" t="s">
        <v>365</v>
      </c>
      <c r="AO309" t="str">
        <f t="shared" si="72"/>
        <v>caracoli</v>
      </c>
      <c r="AP309" t="str">
        <f t="shared" si="73"/>
        <v>antioquia</v>
      </c>
      <c r="AQ309" t="b">
        <f t="shared" si="74"/>
        <v>0</v>
      </c>
      <c r="AR309" t="str">
        <f t="shared" si="75"/>
        <v>caracoli</v>
      </c>
      <c r="AS309" s="30">
        <f t="shared" si="76"/>
        <v>0</v>
      </c>
      <c r="AT309" s="30">
        <f t="shared" si="77"/>
        <v>0</v>
      </c>
      <c r="AU309" s="30">
        <f t="shared" si="78"/>
        <v>0</v>
      </c>
      <c r="AV309" s="30">
        <f t="shared" si="79"/>
        <v>3</v>
      </c>
      <c r="AZ309" s="31">
        <f t="shared" si="80"/>
        <v>3</v>
      </c>
      <c r="BA309" s="31">
        <f t="shared" si="81"/>
        <v>3</v>
      </c>
      <c r="BB309" s="32">
        <f>IFERROR(INDEX('Análisis general'!$E$4:$E$28,MATCH($B309,'Análisis general'!$B$4:$B$28,0)),"")</f>
        <v>9.5</v>
      </c>
      <c r="BC309" s="31">
        <f t="shared" si="82"/>
        <v>3</v>
      </c>
      <c r="BD309" s="32">
        <f t="shared" si="83"/>
        <v>3.8571428571428568</v>
      </c>
      <c r="BE309" s="32">
        <f t="shared" si="84"/>
        <v>5.3999999999999995</v>
      </c>
    </row>
    <row r="310" spans="1:57" ht="25.5" customHeight="1" x14ac:dyDescent="0.25">
      <c r="A310" s="33" t="s">
        <v>893</v>
      </c>
      <c r="B310" s="11" t="s">
        <v>10</v>
      </c>
      <c r="C310" s="34" t="s">
        <v>112</v>
      </c>
      <c r="D310" s="24">
        <f t="shared" si="68"/>
        <v>3</v>
      </c>
      <c r="E310" s="59">
        <f t="shared" si="69"/>
        <v>3.8571428571428568</v>
      </c>
      <c r="F310" s="59">
        <f t="shared" si="70"/>
        <v>5.3999999999999995</v>
      </c>
      <c r="G310" s="11" t="s">
        <v>894</v>
      </c>
      <c r="H310" s="25" t="str">
        <f>IFERROR(IF($AQ310,INDEX(cpe!$C$2:$C$307,MATCH($AR310,cpe!$F$2:$F$307,0)),INDEX(cpe!$C$2:$C$307,MATCH($AR310,cpe!$D$2:$D$307,0))),"#N/D")</f>
        <v>#N/D</v>
      </c>
      <c r="I310" s="25" t="str">
        <f>IFERROR(IF($AQ310,INDEX(cpe!$B$2:$B$307,MATCH($AR310,cpe!$F$2:$F$307,0)),INDEX(cpe!$B$2:$B$307,MATCH($AR310,cpe!$D$2:$D$307,0))),"#N/D")</f>
        <v>#N/D</v>
      </c>
      <c r="J310" s="26" t="str">
        <f>IF($AQ310,"#N/D",IFERROR(INDEX(Olimpiadas!$B$2:$B$61,MATCH($AO310,Olimpiadas!$C$2:$C$61,0)),"#N/D"))</f>
        <v>#N/D</v>
      </c>
      <c r="K310" s="26" t="str">
        <f>IF($AQ310,"#N/D",IFERROR(INDEX(Olimpiadas!$A$2:$A$61,MATCH($AO310,Olimpiadas!$C$2:$C$61,0)),"#N/D"))</f>
        <v>#N/D</v>
      </c>
      <c r="L310" s="26" t="str">
        <f>IF($AQ310,"#N/D",IFERROR(INDEX(Minculturas!$A$2:$A$48,MATCH($AO310,Minculturas!$C$2:$C$48,0)),"#N/D"))</f>
        <v>#N/D</v>
      </c>
      <c r="M310" s="26" t="str">
        <f>IF($AQ310,"#N/D",IFERROR(INDEX(Minculturas!$B$2:$B$48,MATCH($AO310,Minculturas!$C$2:$C$48,0)),"#N/D"))</f>
        <v>#N/D</v>
      </c>
      <c r="N310" s="27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7">
        <f t="shared" si="71"/>
        <v>0</v>
      </c>
      <c r="AH310" s="28"/>
      <c r="AI310" s="28"/>
      <c r="AJ310" s="28">
        <v>20.399999999999999</v>
      </c>
      <c r="AK310" s="28"/>
      <c r="AL310" s="28"/>
      <c r="AM310" s="29" t="s">
        <v>657</v>
      </c>
      <c r="AO310" t="str">
        <f t="shared" si="72"/>
        <v>carolina del principe</v>
      </c>
      <c r="AP310" t="str">
        <f t="shared" si="73"/>
        <v>antioquia</v>
      </c>
      <c r="AQ310" t="b">
        <f t="shared" si="74"/>
        <v>0</v>
      </c>
      <c r="AR310" t="str">
        <f t="shared" si="75"/>
        <v>carolina del principe</v>
      </c>
      <c r="AS310" s="30">
        <f t="shared" si="76"/>
        <v>0</v>
      </c>
      <c r="AT310" s="30">
        <f t="shared" si="77"/>
        <v>0</v>
      </c>
      <c r="AU310" s="30">
        <f t="shared" si="78"/>
        <v>0</v>
      </c>
      <c r="AV310" s="30">
        <f t="shared" si="79"/>
        <v>3</v>
      </c>
      <c r="AZ310" s="31">
        <f t="shared" si="80"/>
        <v>3</v>
      </c>
      <c r="BA310" s="31">
        <f t="shared" si="81"/>
        <v>3</v>
      </c>
      <c r="BB310" s="32">
        <f>IFERROR(INDEX('Análisis general'!$E$4:$E$28,MATCH($B310,'Análisis general'!$B$4:$B$28,0)),"")</f>
        <v>9.5</v>
      </c>
      <c r="BC310" s="31">
        <f t="shared" si="82"/>
        <v>3</v>
      </c>
      <c r="BD310" s="32">
        <f t="shared" si="83"/>
        <v>3.8571428571428568</v>
      </c>
      <c r="BE310" s="32">
        <f t="shared" si="84"/>
        <v>5.3999999999999995</v>
      </c>
    </row>
    <row r="311" spans="1:57" ht="25.5" customHeight="1" x14ac:dyDescent="0.25">
      <c r="A311" s="33" t="s">
        <v>897</v>
      </c>
      <c r="B311" s="11" t="s">
        <v>10</v>
      </c>
      <c r="C311" s="34" t="s">
        <v>112</v>
      </c>
      <c r="D311" s="24">
        <f t="shared" si="68"/>
        <v>3</v>
      </c>
      <c r="E311" s="59">
        <f t="shared" si="69"/>
        <v>3.8571428571428568</v>
      </c>
      <c r="F311" s="59">
        <f t="shared" si="70"/>
        <v>5.3999999999999995</v>
      </c>
      <c r="G311" s="11" t="s">
        <v>898</v>
      </c>
      <c r="H311" s="25" t="str">
        <f>IFERROR(IF($AQ311,INDEX(cpe!$C$2:$C$307,MATCH($AR311,cpe!$F$2:$F$307,0)),INDEX(cpe!$C$2:$C$307,MATCH($AR311,cpe!$D$2:$D$307,0))),"#N/D")</f>
        <v>#N/D</v>
      </c>
      <c r="I311" s="25" t="str">
        <f>IFERROR(IF($AQ311,INDEX(cpe!$B$2:$B$307,MATCH($AR311,cpe!$F$2:$F$307,0)),INDEX(cpe!$B$2:$B$307,MATCH($AR311,cpe!$D$2:$D$307,0))),"#N/D")</f>
        <v>#N/D</v>
      </c>
      <c r="J311" s="26" t="str">
        <f>IF($AQ311,"#N/D",IFERROR(INDEX(Olimpiadas!$B$2:$B$61,MATCH($AO311,Olimpiadas!$C$2:$C$61,0)),"#N/D"))</f>
        <v>#N/D</v>
      </c>
      <c r="K311" s="26" t="str">
        <f>IF($AQ311,"#N/D",IFERROR(INDEX(Olimpiadas!$A$2:$A$61,MATCH($AO311,Olimpiadas!$C$2:$C$61,0)),"#N/D"))</f>
        <v>#N/D</v>
      </c>
      <c r="L311" s="26" t="str">
        <f>IF($AQ311,"#N/D",IFERROR(INDEX(Minculturas!$A$2:$A$48,MATCH($AO311,Minculturas!$C$2:$C$48,0)),"#N/D"))</f>
        <v>#N/D</v>
      </c>
      <c r="M311" s="26" t="str">
        <f>IF($AQ311,"#N/D",IFERROR(INDEX(Minculturas!$B$2:$B$48,MATCH($AO311,Minculturas!$C$2:$C$48,0)),"#N/D"))</f>
        <v>#N/D</v>
      </c>
      <c r="N311" s="27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7">
        <f t="shared" si="71"/>
        <v>0</v>
      </c>
      <c r="AH311" s="28"/>
      <c r="AI311" s="28"/>
      <c r="AJ311" s="28">
        <v>42.9</v>
      </c>
      <c r="AK311" s="28"/>
      <c r="AL311" s="28"/>
      <c r="AM311" s="29" t="s">
        <v>365</v>
      </c>
      <c r="AO311" t="str">
        <f t="shared" si="72"/>
        <v>cocorna</v>
      </c>
      <c r="AP311" t="str">
        <f t="shared" si="73"/>
        <v>antioquia</v>
      </c>
      <c r="AQ311" t="b">
        <f t="shared" si="74"/>
        <v>0</v>
      </c>
      <c r="AR311" t="str">
        <f t="shared" si="75"/>
        <v>cocorna</v>
      </c>
      <c r="AS311" s="30">
        <f t="shared" si="76"/>
        <v>0</v>
      </c>
      <c r="AT311" s="30">
        <f t="shared" si="77"/>
        <v>0</v>
      </c>
      <c r="AU311" s="30">
        <f t="shared" si="78"/>
        <v>0</v>
      </c>
      <c r="AV311" s="30">
        <f t="shared" si="79"/>
        <v>3</v>
      </c>
      <c r="AZ311" s="31">
        <f t="shared" si="80"/>
        <v>3</v>
      </c>
      <c r="BA311" s="31">
        <f t="shared" si="81"/>
        <v>3</v>
      </c>
      <c r="BB311" s="32">
        <f>IFERROR(INDEX('Análisis general'!$E$4:$E$28,MATCH($B311,'Análisis general'!$B$4:$B$28,0)),"")</f>
        <v>9.5</v>
      </c>
      <c r="BC311" s="31">
        <f t="shared" si="82"/>
        <v>3</v>
      </c>
      <c r="BD311" s="32">
        <f t="shared" si="83"/>
        <v>3.8571428571428568</v>
      </c>
      <c r="BE311" s="32">
        <f t="shared" si="84"/>
        <v>5.3999999999999995</v>
      </c>
    </row>
    <row r="312" spans="1:57" ht="25.5" customHeight="1" x14ac:dyDescent="0.25">
      <c r="A312" s="33" t="s">
        <v>899</v>
      </c>
      <c r="B312" s="11" t="s">
        <v>10</v>
      </c>
      <c r="C312" s="34" t="s">
        <v>112</v>
      </c>
      <c r="D312" s="24">
        <f t="shared" si="68"/>
        <v>3</v>
      </c>
      <c r="E312" s="59">
        <f t="shared" si="69"/>
        <v>3.8571428571428568</v>
      </c>
      <c r="F312" s="59">
        <f t="shared" si="70"/>
        <v>5.3999999999999995</v>
      </c>
      <c r="G312" s="11" t="s">
        <v>900</v>
      </c>
      <c r="H312" s="25" t="str">
        <f>IFERROR(IF($AQ312,INDEX(cpe!$C$2:$C$307,MATCH($AR312,cpe!$F$2:$F$307,0)),INDEX(cpe!$C$2:$C$307,MATCH($AR312,cpe!$D$2:$D$307,0))),"#N/D")</f>
        <v>#N/D</v>
      </c>
      <c r="I312" s="25" t="str">
        <f>IFERROR(IF($AQ312,INDEX(cpe!$B$2:$B$307,MATCH($AR312,cpe!$F$2:$F$307,0)),INDEX(cpe!$B$2:$B$307,MATCH($AR312,cpe!$D$2:$D$307,0))),"#N/D")</f>
        <v>#N/D</v>
      </c>
      <c r="J312" s="26" t="str">
        <f>IF($AQ312,"#N/D",IFERROR(INDEX(Olimpiadas!$B$2:$B$61,MATCH($AO312,Olimpiadas!$C$2:$C$61,0)),"#N/D"))</f>
        <v>#N/D</v>
      </c>
      <c r="K312" s="26" t="str">
        <f>IF($AQ312,"#N/D",IFERROR(INDEX(Olimpiadas!$A$2:$A$61,MATCH($AO312,Olimpiadas!$C$2:$C$61,0)),"#N/D"))</f>
        <v>#N/D</v>
      </c>
      <c r="L312" s="26" t="str">
        <f>IF($AQ312,"#N/D",IFERROR(INDEX(Minculturas!$A$2:$A$48,MATCH($AO312,Minculturas!$C$2:$C$48,0)),"#N/D"))</f>
        <v>#N/D</v>
      </c>
      <c r="M312" s="26" t="str">
        <f>IF($AQ312,"#N/D",IFERROR(INDEX(Minculturas!$B$2:$B$48,MATCH($AO312,Minculturas!$C$2:$C$48,0)),"#N/D"))</f>
        <v>#N/D</v>
      </c>
      <c r="N312" s="27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27">
        <f t="shared" si="71"/>
        <v>0</v>
      </c>
      <c r="AH312" s="28"/>
      <c r="AI312" s="28"/>
      <c r="AJ312" s="28">
        <v>33</v>
      </c>
      <c r="AK312" s="28"/>
      <c r="AL312" s="28"/>
      <c r="AM312" s="29" t="s">
        <v>365</v>
      </c>
      <c r="AO312" t="str">
        <f t="shared" si="72"/>
        <v>concepcion</v>
      </c>
      <c r="AP312" t="str">
        <f t="shared" si="73"/>
        <v>antioquia</v>
      </c>
      <c r="AQ312" t="b">
        <f t="shared" si="74"/>
        <v>0</v>
      </c>
      <c r="AR312" t="str">
        <f t="shared" si="75"/>
        <v>concepcion</v>
      </c>
      <c r="AS312" s="30">
        <f t="shared" si="76"/>
        <v>0</v>
      </c>
      <c r="AT312" s="30">
        <f t="shared" si="77"/>
        <v>0</v>
      </c>
      <c r="AU312" s="30">
        <f t="shared" si="78"/>
        <v>0</v>
      </c>
      <c r="AV312" s="30">
        <f t="shared" si="79"/>
        <v>3</v>
      </c>
      <c r="AZ312" s="31">
        <f t="shared" si="80"/>
        <v>3</v>
      </c>
      <c r="BA312" s="31">
        <f t="shared" si="81"/>
        <v>3</v>
      </c>
      <c r="BB312" s="32">
        <f>IFERROR(INDEX('Análisis general'!$E$4:$E$28,MATCH($B312,'Análisis general'!$B$4:$B$28,0)),"")</f>
        <v>9.5</v>
      </c>
      <c r="BC312" s="31">
        <f t="shared" si="82"/>
        <v>3</v>
      </c>
      <c r="BD312" s="32">
        <f t="shared" si="83"/>
        <v>3.8571428571428568</v>
      </c>
      <c r="BE312" s="32">
        <f t="shared" si="84"/>
        <v>5.3999999999999995</v>
      </c>
    </row>
    <row r="313" spans="1:57" ht="25.5" customHeight="1" x14ac:dyDescent="0.25">
      <c r="A313" s="33" t="s">
        <v>901</v>
      </c>
      <c r="B313" s="11" t="s">
        <v>44</v>
      </c>
      <c r="C313" s="34" t="s">
        <v>112</v>
      </c>
      <c r="D313" s="24">
        <f t="shared" si="68"/>
        <v>3</v>
      </c>
      <c r="E313" s="59">
        <f t="shared" si="69"/>
        <v>3.8571428571428568</v>
      </c>
      <c r="F313" s="59">
        <f t="shared" si="70"/>
        <v>5.3999999999999995</v>
      </c>
      <c r="G313" s="11" t="s">
        <v>33</v>
      </c>
      <c r="H313" s="25" t="str">
        <f>IFERROR(IF($AQ313,INDEX(cpe!$C$2:$C$307,MATCH($AR313,cpe!$F$2:$F$307,0)),INDEX(cpe!$C$2:$C$307,MATCH($AR313,cpe!$D$2:$D$307,0))),"#N/D")</f>
        <v>#N/D</v>
      </c>
      <c r="I313" s="25" t="str">
        <f>IFERROR(IF($AQ313,INDEX(cpe!$B$2:$B$307,MATCH($AR313,cpe!$F$2:$F$307,0)),INDEX(cpe!$B$2:$B$307,MATCH($AR313,cpe!$D$2:$D$307,0))),"#N/D")</f>
        <v>#N/D</v>
      </c>
      <c r="J313" s="26" t="str">
        <f>IF($AQ313,"#N/D",IFERROR(INDEX(Olimpiadas!$B$2:$B$61,MATCH($AO313,Olimpiadas!$C$2:$C$61,0)),"#N/D"))</f>
        <v>#N/D</v>
      </c>
      <c r="K313" s="26" t="str">
        <f>IF($AQ313,"#N/D",IFERROR(INDEX(Olimpiadas!$A$2:$A$61,MATCH($AO313,Olimpiadas!$C$2:$C$61,0)),"#N/D"))</f>
        <v>#N/D</v>
      </c>
      <c r="L313" s="26" t="str">
        <f>IF($AQ313,"#N/D",IFERROR(INDEX(Minculturas!$A$2:$A$48,MATCH($AO313,Minculturas!$C$2:$C$48,0)),"#N/D"))</f>
        <v>#N/D</v>
      </c>
      <c r="M313" s="26" t="str">
        <f>IF($AQ313,"#N/D",IFERROR(INDEX(Minculturas!$B$2:$B$48,MATCH($AO313,Minculturas!$C$2:$C$48,0)),"#N/D"))</f>
        <v>#N/D</v>
      </c>
      <c r="N313" s="27">
        <v>1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1</v>
      </c>
      <c r="AD313" s="28">
        <v>0</v>
      </c>
      <c r="AE313" s="28">
        <v>0</v>
      </c>
      <c r="AF313" s="28">
        <v>0</v>
      </c>
      <c r="AG313" s="27">
        <f t="shared" si="71"/>
        <v>0</v>
      </c>
      <c r="AH313" s="28" t="s">
        <v>902</v>
      </c>
      <c r="AI313" s="28" t="s">
        <v>903</v>
      </c>
      <c r="AJ313" s="28">
        <v>41.8</v>
      </c>
      <c r="AK313" s="28"/>
      <c r="AL313" s="28"/>
      <c r="AM313" s="29" t="s">
        <v>114</v>
      </c>
      <c r="AO313" t="str">
        <f t="shared" si="72"/>
        <v>cordoba</v>
      </c>
      <c r="AP313" t="str">
        <f t="shared" si="73"/>
        <v>quindio</v>
      </c>
      <c r="AQ313" t="b">
        <f t="shared" si="74"/>
        <v>1</v>
      </c>
      <c r="AR313" t="str">
        <f t="shared" si="75"/>
        <v>cordoba|quindio</v>
      </c>
      <c r="AS313" s="30">
        <f t="shared" si="76"/>
        <v>0</v>
      </c>
      <c r="AT313" s="30">
        <f t="shared" si="77"/>
        <v>0</v>
      </c>
      <c r="AU313" s="30">
        <f t="shared" si="78"/>
        <v>0</v>
      </c>
      <c r="AV313" s="30">
        <f t="shared" si="79"/>
        <v>3</v>
      </c>
      <c r="AZ313" s="31">
        <f t="shared" si="80"/>
        <v>3</v>
      </c>
      <c r="BA313" s="31">
        <f t="shared" si="81"/>
        <v>3</v>
      </c>
      <c r="BB313" s="32">
        <f>IFERROR(INDEX('Análisis general'!$E$4:$E$28,MATCH($B313,'Análisis general'!$B$4:$B$28,0)),"")</f>
        <v>6.7</v>
      </c>
      <c r="BC313" s="31">
        <f t="shared" si="82"/>
        <v>3</v>
      </c>
      <c r="BD313" s="32">
        <f t="shared" si="83"/>
        <v>3.8571428571428568</v>
      </c>
      <c r="BE313" s="32">
        <f t="shared" si="84"/>
        <v>5.3999999999999995</v>
      </c>
    </row>
    <row r="314" spans="1:57" ht="25.5" customHeight="1" x14ac:dyDescent="0.25">
      <c r="A314" s="33" t="s">
        <v>904</v>
      </c>
      <c r="B314" s="11" t="s">
        <v>10</v>
      </c>
      <c r="C314" s="34" t="s">
        <v>112</v>
      </c>
      <c r="D314" s="24">
        <f t="shared" si="68"/>
        <v>3</v>
      </c>
      <c r="E314" s="59">
        <f t="shared" si="69"/>
        <v>3.8571428571428568</v>
      </c>
      <c r="F314" s="59">
        <f t="shared" si="70"/>
        <v>5.3999999999999995</v>
      </c>
      <c r="G314" s="11" t="s">
        <v>905</v>
      </c>
      <c r="H314" s="25" t="str">
        <f>IFERROR(IF($AQ314,INDEX(cpe!$C$2:$C$307,MATCH($AR314,cpe!$F$2:$F$307,0)),INDEX(cpe!$C$2:$C$307,MATCH($AR314,cpe!$D$2:$D$307,0))),"#N/D")</f>
        <v>#N/D</v>
      </c>
      <c r="I314" s="25" t="str">
        <f>IFERROR(IF($AQ314,INDEX(cpe!$B$2:$B$307,MATCH($AR314,cpe!$F$2:$F$307,0)),INDEX(cpe!$B$2:$B$307,MATCH($AR314,cpe!$D$2:$D$307,0))),"#N/D")</f>
        <v>#N/D</v>
      </c>
      <c r="J314" s="26" t="str">
        <f>IF($AQ314,"#N/D",IFERROR(INDEX(Olimpiadas!$B$2:$B$61,MATCH($AO314,Olimpiadas!$C$2:$C$61,0)),"#N/D"))</f>
        <v>#N/D</v>
      </c>
      <c r="K314" s="26" t="str">
        <f>IF($AQ314,"#N/D",IFERROR(INDEX(Olimpiadas!$A$2:$A$61,MATCH($AO314,Olimpiadas!$C$2:$C$61,0)),"#N/D"))</f>
        <v>#N/D</v>
      </c>
      <c r="L314" s="26" t="str">
        <f>IF($AQ314,"#N/D",IFERROR(INDEX(Minculturas!$A$2:$A$48,MATCH($AO314,Minculturas!$C$2:$C$48,0)),"#N/D"))</f>
        <v>#N/D</v>
      </c>
      <c r="M314" s="26" t="str">
        <f>IF($AQ314,"#N/D",IFERROR(INDEX(Minculturas!$B$2:$B$48,MATCH($AO314,Minculturas!$C$2:$C$48,0)),"#N/D"))</f>
        <v>#N/D</v>
      </c>
      <c r="N314" s="27">
        <v>1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1</v>
      </c>
      <c r="AC314" s="28">
        <v>0</v>
      </c>
      <c r="AD314" s="28">
        <v>0</v>
      </c>
      <c r="AE314" s="28">
        <v>0</v>
      </c>
      <c r="AF314" s="28">
        <v>0</v>
      </c>
      <c r="AG314" s="27">
        <f t="shared" si="71"/>
        <v>0</v>
      </c>
      <c r="AH314" s="28"/>
      <c r="AI314" s="28"/>
      <c r="AJ314" s="28">
        <v>19.7</v>
      </c>
      <c r="AK314" s="28"/>
      <c r="AL314" s="28"/>
      <c r="AM314" s="29" t="s">
        <v>114</v>
      </c>
      <c r="AO314" t="str">
        <f t="shared" si="72"/>
        <v>donmatias</v>
      </c>
      <c r="AP314" t="str">
        <f t="shared" si="73"/>
        <v>antioquia</v>
      </c>
      <c r="AQ314" t="b">
        <f t="shared" si="74"/>
        <v>0</v>
      </c>
      <c r="AR314" t="str">
        <f t="shared" si="75"/>
        <v>donmatias</v>
      </c>
      <c r="AS314" s="30">
        <f t="shared" si="76"/>
        <v>0</v>
      </c>
      <c r="AT314" s="30">
        <f t="shared" si="77"/>
        <v>0</v>
      </c>
      <c r="AU314" s="30">
        <f t="shared" si="78"/>
        <v>0</v>
      </c>
      <c r="AV314" s="30">
        <f t="shared" si="79"/>
        <v>3</v>
      </c>
      <c r="AZ314" s="31">
        <f t="shared" si="80"/>
        <v>3</v>
      </c>
      <c r="BA314" s="31">
        <f t="shared" si="81"/>
        <v>3</v>
      </c>
      <c r="BB314" s="32">
        <f>IFERROR(INDEX('Análisis general'!$E$4:$E$28,MATCH($B314,'Análisis general'!$B$4:$B$28,0)),"")</f>
        <v>9.5</v>
      </c>
      <c r="BC314" s="31">
        <f t="shared" si="82"/>
        <v>3</v>
      </c>
      <c r="BD314" s="32">
        <f t="shared" si="83"/>
        <v>3.8571428571428568</v>
      </c>
      <c r="BE314" s="32">
        <f t="shared" si="84"/>
        <v>5.3999999999999995</v>
      </c>
    </row>
    <row r="315" spans="1:57" ht="25.5" customHeight="1" x14ac:dyDescent="0.25">
      <c r="A315" s="33" t="s">
        <v>906</v>
      </c>
      <c r="B315" s="11" t="s">
        <v>10</v>
      </c>
      <c r="C315" s="34" t="s">
        <v>112</v>
      </c>
      <c r="D315" s="24">
        <f t="shared" si="68"/>
        <v>3</v>
      </c>
      <c r="E315" s="59">
        <f t="shared" si="69"/>
        <v>3.8571428571428568</v>
      </c>
      <c r="F315" s="59">
        <f t="shared" si="70"/>
        <v>5.3999999999999995</v>
      </c>
      <c r="G315" s="11" t="s">
        <v>907</v>
      </c>
      <c r="H315" s="25" t="str">
        <f>IFERROR(IF($AQ315,INDEX(cpe!$C$2:$C$307,MATCH($AR315,cpe!$F$2:$F$307,0)),INDEX(cpe!$C$2:$C$307,MATCH($AR315,cpe!$D$2:$D$307,0))),"#N/D")</f>
        <v>#N/D</v>
      </c>
      <c r="I315" s="25" t="str">
        <f>IFERROR(IF($AQ315,INDEX(cpe!$B$2:$B$307,MATCH($AR315,cpe!$F$2:$F$307,0)),INDEX(cpe!$B$2:$B$307,MATCH($AR315,cpe!$D$2:$D$307,0))),"#N/D")</f>
        <v>#N/D</v>
      </c>
      <c r="J315" s="26" t="str">
        <f>IF($AQ315,"#N/D",IFERROR(INDEX(Olimpiadas!$B$2:$B$61,MATCH($AO315,Olimpiadas!$C$2:$C$61,0)),"#N/D"))</f>
        <v>#N/D</v>
      </c>
      <c r="K315" s="26" t="str">
        <f>IF($AQ315,"#N/D",IFERROR(INDEX(Olimpiadas!$A$2:$A$61,MATCH($AO315,Olimpiadas!$C$2:$C$61,0)),"#N/D"))</f>
        <v>#N/D</v>
      </c>
      <c r="L315" s="26" t="str">
        <f>IF($AQ315,"#N/D",IFERROR(INDEX(Minculturas!$A$2:$A$48,MATCH($AO315,Minculturas!$C$2:$C$48,0)),"#N/D"))</f>
        <v>#N/D</v>
      </c>
      <c r="M315" s="26" t="str">
        <f>IF($AQ315,"#N/D",IFERROR(INDEX(Minculturas!$B$2:$B$48,MATCH($AO315,Minculturas!$C$2:$C$48,0)),"#N/D"))</f>
        <v>#N/D</v>
      </c>
      <c r="N315" s="27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  <c r="AF315" s="28">
        <v>0</v>
      </c>
      <c r="AG315" s="27">
        <f t="shared" si="71"/>
        <v>0</v>
      </c>
      <c r="AH315" s="28"/>
      <c r="AI315" s="28"/>
      <c r="AJ315" s="28">
        <v>39.1</v>
      </c>
      <c r="AK315" s="28"/>
      <c r="AL315" s="28"/>
      <c r="AM315" s="29" t="s">
        <v>365</v>
      </c>
      <c r="AO315" t="str">
        <f t="shared" si="72"/>
        <v>ebejico</v>
      </c>
      <c r="AP315" t="str">
        <f t="shared" si="73"/>
        <v>antioquia</v>
      </c>
      <c r="AQ315" t="b">
        <f t="shared" si="74"/>
        <v>0</v>
      </c>
      <c r="AR315" t="str">
        <f t="shared" si="75"/>
        <v>ebejico</v>
      </c>
      <c r="AS315" s="30">
        <f t="shared" si="76"/>
        <v>0</v>
      </c>
      <c r="AT315" s="30">
        <f t="shared" si="77"/>
        <v>0</v>
      </c>
      <c r="AU315" s="30">
        <f t="shared" si="78"/>
        <v>0</v>
      </c>
      <c r="AV315" s="30">
        <f t="shared" si="79"/>
        <v>3</v>
      </c>
      <c r="AZ315" s="31">
        <f t="shared" si="80"/>
        <v>3</v>
      </c>
      <c r="BA315" s="31">
        <f t="shared" si="81"/>
        <v>3</v>
      </c>
      <c r="BB315" s="32">
        <f>IFERROR(INDEX('Análisis general'!$E$4:$E$28,MATCH($B315,'Análisis general'!$B$4:$B$28,0)),"")</f>
        <v>9.5</v>
      </c>
      <c r="BC315" s="31">
        <f t="shared" si="82"/>
        <v>3</v>
      </c>
      <c r="BD315" s="32">
        <f t="shared" si="83"/>
        <v>3.8571428571428568</v>
      </c>
      <c r="BE315" s="32">
        <f t="shared" si="84"/>
        <v>5.3999999999999995</v>
      </c>
    </row>
    <row r="316" spans="1:57" ht="25.5" customHeight="1" x14ac:dyDescent="0.25">
      <c r="A316" s="33" t="s">
        <v>908</v>
      </c>
      <c r="B316" s="11" t="s">
        <v>10</v>
      </c>
      <c r="C316" s="34" t="s">
        <v>112</v>
      </c>
      <c r="D316" s="24">
        <f t="shared" si="68"/>
        <v>3</v>
      </c>
      <c r="E316" s="59">
        <f t="shared" si="69"/>
        <v>3.8571428571428568</v>
      </c>
      <c r="F316" s="59">
        <f t="shared" si="70"/>
        <v>5.3999999999999995</v>
      </c>
      <c r="G316" s="11" t="s">
        <v>909</v>
      </c>
      <c r="H316" s="25" t="str">
        <f>IFERROR(IF($AQ316,INDEX(cpe!$C$2:$C$307,MATCH($AR316,cpe!$F$2:$F$307,0)),INDEX(cpe!$C$2:$C$307,MATCH($AR316,cpe!$D$2:$D$307,0))),"#N/D")</f>
        <v>#N/D</v>
      </c>
      <c r="I316" s="25" t="str">
        <f>IFERROR(IF($AQ316,INDEX(cpe!$B$2:$B$307,MATCH($AR316,cpe!$F$2:$F$307,0)),INDEX(cpe!$B$2:$B$307,MATCH($AR316,cpe!$D$2:$D$307,0))),"#N/D")</f>
        <v>#N/D</v>
      </c>
      <c r="J316" s="26" t="str">
        <f>IF($AQ316,"#N/D",IFERROR(INDEX(Olimpiadas!$B$2:$B$61,MATCH($AO316,Olimpiadas!$C$2:$C$61,0)),"#N/D"))</f>
        <v>#N/D</v>
      </c>
      <c r="K316" s="26" t="str">
        <f>IF($AQ316,"#N/D",IFERROR(INDEX(Olimpiadas!$A$2:$A$61,MATCH($AO316,Olimpiadas!$C$2:$C$61,0)),"#N/D"))</f>
        <v>#N/D</v>
      </c>
      <c r="L316" s="26" t="str">
        <f>IF($AQ316,"#N/D",IFERROR(INDEX(Minculturas!$A$2:$A$48,MATCH($AO316,Minculturas!$C$2:$C$48,0)),"#N/D"))</f>
        <v>#N/D</v>
      </c>
      <c r="M316" s="26" t="str">
        <f>IF($AQ316,"#N/D",IFERROR(INDEX(Minculturas!$B$2:$B$48,MATCH($AO316,Minculturas!$C$2:$C$48,0)),"#N/D"))</f>
        <v>#N/D</v>
      </c>
      <c r="N316" s="27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7">
        <f t="shared" si="71"/>
        <v>0</v>
      </c>
      <c r="AH316" s="28"/>
      <c r="AI316" s="28"/>
      <c r="AJ316" s="28">
        <v>53.7</v>
      </c>
      <c r="AK316" s="28"/>
      <c r="AL316" s="28"/>
      <c r="AM316" s="29" t="s">
        <v>657</v>
      </c>
      <c r="AO316" t="str">
        <f t="shared" si="72"/>
        <v>el bagre</v>
      </c>
      <c r="AP316" t="str">
        <f t="shared" si="73"/>
        <v>antioquia</v>
      </c>
      <c r="AQ316" t="b">
        <f t="shared" si="74"/>
        <v>0</v>
      </c>
      <c r="AR316" t="str">
        <f t="shared" si="75"/>
        <v>el bagre</v>
      </c>
      <c r="AS316" s="30">
        <f t="shared" si="76"/>
        <v>0</v>
      </c>
      <c r="AT316" s="30">
        <f t="shared" si="77"/>
        <v>0</v>
      </c>
      <c r="AU316" s="30">
        <f t="shared" si="78"/>
        <v>0</v>
      </c>
      <c r="AV316" s="30">
        <f t="shared" si="79"/>
        <v>3</v>
      </c>
      <c r="AZ316" s="31">
        <f t="shared" si="80"/>
        <v>3</v>
      </c>
      <c r="BA316" s="31">
        <f t="shared" si="81"/>
        <v>3</v>
      </c>
      <c r="BB316" s="32">
        <f>IFERROR(INDEX('Análisis general'!$E$4:$E$28,MATCH($B316,'Análisis general'!$B$4:$B$28,0)),"")</f>
        <v>9.5</v>
      </c>
      <c r="BC316" s="31">
        <f t="shared" si="82"/>
        <v>3</v>
      </c>
      <c r="BD316" s="32">
        <f t="shared" si="83"/>
        <v>3.8571428571428568</v>
      </c>
      <c r="BE316" s="32">
        <f t="shared" si="84"/>
        <v>5.3999999999999995</v>
      </c>
    </row>
    <row r="317" spans="1:57" ht="25.5" customHeight="1" x14ac:dyDescent="0.25">
      <c r="A317" s="33" t="s">
        <v>910</v>
      </c>
      <c r="B317" s="11" t="s">
        <v>10</v>
      </c>
      <c r="C317" s="34" t="s">
        <v>112</v>
      </c>
      <c r="D317" s="24">
        <f t="shared" si="68"/>
        <v>3</v>
      </c>
      <c r="E317" s="59">
        <f t="shared" si="69"/>
        <v>3.8571428571428568</v>
      </c>
      <c r="F317" s="59">
        <f t="shared" si="70"/>
        <v>5.3999999999999995</v>
      </c>
      <c r="G317" s="11" t="s">
        <v>422</v>
      </c>
      <c r="H317" s="25" t="str">
        <f>IFERROR(IF($AQ317,INDEX(cpe!$C$2:$C$307,MATCH($AR317,cpe!$F$2:$F$307,0)),INDEX(cpe!$C$2:$C$307,MATCH($AR317,cpe!$D$2:$D$307,0))),"#N/D")</f>
        <v>#N/D</v>
      </c>
      <c r="I317" s="25" t="str">
        <f>IFERROR(IF($AQ317,INDEX(cpe!$B$2:$B$307,MATCH($AR317,cpe!$F$2:$F$307,0)),INDEX(cpe!$B$2:$B$307,MATCH($AR317,cpe!$D$2:$D$307,0))),"#N/D")</f>
        <v>#N/D</v>
      </c>
      <c r="J317" s="26" t="str">
        <f>IF($AQ317,"#N/D",IFERROR(INDEX(Olimpiadas!$B$2:$B$61,MATCH($AO317,Olimpiadas!$C$2:$C$61,0)),"#N/D"))</f>
        <v>#N/D</v>
      </c>
      <c r="K317" s="26" t="str">
        <f>IF($AQ317,"#N/D",IFERROR(INDEX(Olimpiadas!$A$2:$A$61,MATCH($AO317,Olimpiadas!$C$2:$C$61,0)),"#N/D"))</f>
        <v>#N/D</v>
      </c>
      <c r="L317" s="26" t="str">
        <f>IF($AQ317,"#N/D",IFERROR(INDEX(Minculturas!$A$2:$A$48,MATCH($AO317,Minculturas!$C$2:$C$48,0)),"#N/D"))</f>
        <v>#N/D</v>
      </c>
      <c r="M317" s="26" t="str">
        <f>IF($AQ317,"#N/D",IFERROR(INDEX(Minculturas!$B$2:$B$48,MATCH($AO317,Minculturas!$C$2:$C$48,0)),"#N/D"))</f>
        <v>#N/D</v>
      </c>
      <c r="N317" s="27">
        <v>1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1</v>
      </c>
      <c r="AC317" s="28">
        <v>0</v>
      </c>
      <c r="AD317" s="28">
        <v>0</v>
      </c>
      <c r="AE317" s="28">
        <v>0</v>
      </c>
      <c r="AF317" s="28">
        <v>0</v>
      </c>
      <c r="AG317" s="27">
        <f t="shared" si="71"/>
        <v>0</v>
      </c>
      <c r="AH317" s="28"/>
      <c r="AI317" s="28"/>
      <c r="AJ317" s="28">
        <v>20</v>
      </c>
      <c r="AK317" s="28"/>
      <c r="AL317" s="28"/>
      <c r="AM317" s="29" t="s">
        <v>114</v>
      </c>
      <c r="AO317" t="str">
        <f t="shared" si="72"/>
        <v>el penol</v>
      </c>
      <c r="AP317" t="str">
        <f t="shared" si="73"/>
        <v>antioquia</v>
      </c>
      <c r="AQ317" t="b">
        <f t="shared" si="74"/>
        <v>1</v>
      </c>
      <c r="AR317" t="str">
        <f t="shared" si="75"/>
        <v>el penol|antioquia</v>
      </c>
      <c r="AS317" s="30">
        <f t="shared" si="76"/>
        <v>0</v>
      </c>
      <c r="AT317" s="30">
        <f t="shared" si="77"/>
        <v>0</v>
      </c>
      <c r="AU317" s="30">
        <f t="shared" si="78"/>
        <v>0</v>
      </c>
      <c r="AV317" s="30">
        <f t="shared" si="79"/>
        <v>3</v>
      </c>
      <c r="AZ317" s="31">
        <f t="shared" si="80"/>
        <v>3</v>
      </c>
      <c r="BA317" s="31">
        <f t="shared" si="81"/>
        <v>3</v>
      </c>
      <c r="BB317" s="32">
        <f>IFERROR(INDEX('Análisis general'!$E$4:$E$28,MATCH($B317,'Análisis general'!$B$4:$B$28,0)),"")</f>
        <v>9.5</v>
      </c>
      <c r="BC317" s="31">
        <f t="shared" si="82"/>
        <v>3</v>
      </c>
      <c r="BD317" s="32">
        <f t="shared" si="83"/>
        <v>3.8571428571428568</v>
      </c>
      <c r="BE317" s="32">
        <f t="shared" si="84"/>
        <v>5.3999999999999995</v>
      </c>
    </row>
    <row r="318" spans="1:57" ht="25.5" customHeight="1" x14ac:dyDescent="0.25">
      <c r="A318" s="33" t="s">
        <v>911</v>
      </c>
      <c r="B318" s="11" t="s">
        <v>10</v>
      </c>
      <c r="C318" s="34" t="s">
        <v>112</v>
      </c>
      <c r="D318" s="24">
        <f t="shared" si="68"/>
        <v>3</v>
      </c>
      <c r="E318" s="59">
        <f t="shared" si="69"/>
        <v>3.8571428571428568</v>
      </c>
      <c r="F318" s="59">
        <f t="shared" si="70"/>
        <v>5.3999999999999995</v>
      </c>
      <c r="G318" s="11" t="s">
        <v>912</v>
      </c>
      <c r="H318" s="25" t="str">
        <f>IFERROR(IF($AQ318,INDEX(cpe!$C$2:$C$307,MATCH($AR318,cpe!$F$2:$F$307,0)),INDEX(cpe!$C$2:$C$307,MATCH($AR318,cpe!$D$2:$D$307,0))),"#N/D")</f>
        <v>#N/D</v>
      </c>
      <c r="I318" s="25" t="str">
        <f>IFERROR(IF($AQ318,INDEX(cpe!$B$2:$B$307,MATCH($AR318,cpe!$F$2:$F$307,0)),INDEX(cpe!$B$2:$B$307,MATCH($AR318,cpe!$D$2:$D$307,0))),"#N/D")</f>
        <v>#N/D</v>
      </c>
      <c r="J318" s="26" t="str">
        <f>IF($AQ318,"#N/D",IFERROR(INDEX(Olimpiadas!$B$2:$B$61,MATCH($AO318,Olimpiadas!$C$2:$C$61,0)),"#N/D"))</f>
        <v>#N/D</v>
      </c>
      <c r="K318" s="26" t="str">
        <f>IF($AQ318,"#N/D",IFERROR(INDEX(Olimpiadas!$A$2:$A$61,MATCH($AO318,Olimpiadas!$C$2:$C$61,0)),"#N/D"))</f>
        <v>#N/D</v>
      </c>
      <c r="L318" s="26" t="str">
        <f>IF($AQ318,"#N/D",IFERROR(INDEX(Minculturas!$A$2:$A$48,MATCH($AO318,Minculturas!$C$2:$C$48,0)),"#N/D"))</f>
        <v>#N/D</v>
      </c>
      <c r="M318" s="26" t="str">
        <f>IF($AQ318,"#N/D",IFERROR(INDEX(Minculturas!$B$2:$B$48,MATCH($AO318,Minculturas!$C$2:$C$48,0)),"#N/D"))</f>
        <v>#N/D</v>
      </c>
      <c r="N318" s="27">
        <v>1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1</v>
      </c>
      <c r="AC318" s="28">
        <v>0</v>
      </c>
      <c r="AD318" s="28">
        <v>0</v>
      </c>
      <c r="AE318" s="28">
        <v>0</v>
      </c>
      <c r="AF318" s="28">
        <v>0</v>
      </c>
      <c r="AG318" s="27">
        <f t="shared" si="71"/>
        <v>0</v>
      </c>
      <c r="AH318" s="28"/>
      <c r="AI318" s="28"/>
      <c r="AJ318" s="28">
        <v>22</v>
      </c>
      <c r="AK318" s="28"/>
      <c r="AL318" s="28"/>
      <c r="AM318" s="29" t="s">
        <v>114</v>
      </c>
      <c r="AO318" t="str">
        <f t="shared" si="72"/>
        <v>el santuario</v>
      </c>
      <c r="AP318" t="str">
        <f t="shared" si="73"/>
        <v>antioquia</v>
      </c>
      <c r="AQ318" t="b">
        <f t="shared" si="74"/>
        <v>0</v>
      </c>
      <c r="AR318" t="str">
        <f t="shared" si="75"/>
        <v>el santuario</v>
      </c>
      <c r="AS318" s="30">
        <f t="shared" si="76"/>
        <v>0</v>
      </c>
      <c r="AT318" s="30">
        <f t="shared" si="77"/>
        <v>0</v>
      </c>
      <c r="AU318" s="30">
        <f t="shared" si="78"/>
        <v>0</v>
      </c>
      <c r="AV318" s="30">
        <f t="shared" si="79"/>
        <v>3</v>
      </c>
      <c r="AZ318" s="31">
        <f t="shared" si="80"/>
        <v>3</v>
      </c>
      <c r="BA318" s="31">
        <f t="shared" si="81"/>
        <v>3</v>
      </c>
      <c r="BB318" s="32">
        <f>IFERROR(INDEX('Análisis general'!$E$4:$E$28,MATCH($B318,'Análisis general'!$B$4:$B$28,0)),"")</f>
        <v>9.5</v>
      </c>
      <c r="BC318" s="31">
        <f t="shared" si="82"/>
        <v>3</v>
      </c>
      <c r="BD318" s="32">
        <f t="shared" si="83"/>
        <v>3.8571428571428568</v>
      </c>
      <c r="BE318" s="32">
        <f t="shared" si="84"/>
        <v>5.3999999999999995</v>
      </c>
    </row>
    <row r="319" spans="1:57" ht="25.5" customHeight="1" x14ac:dyDescent="0.25">
      <c r="A319" s="33" t="s">
        <v>913</v>
      </c>
      <c r="B319" s="11" t="s">
        <v>10</v>
      </c>
      <c r="C319" s="34" t="s">
        <v>112</v>
      </c>
      <c r="D319" s="24">
        <f t="shared" si="68"/>
        <v>3</v>
      </c>
      <c r="E319" s="59">
        <f t="shared" si="69"/>
        <v>3.8571428571428568</v>
      </c>
      <c r="F319" s="59">
        <f t="shared" si="70"/>
        <v>5.3999999999999995</v>
      </c>
      <c r="G319" s="11" t="s">
        <v>914</v>
      </c>
      <c r="H319" s="25" t="str">
        <f>IFERROR(IF($AQ319,INDEX(cpe!$C$2:$C$307,MATCH($AR319,cpe!$F$2:$F$307,0)),INDEX(cpe!$C$2:$C$307,MATCH($AR319,cpe!$D$2:$D$307,0))),"#N/D")</f>
        <v>#N/D</v>
      </c>
      <c r="I319" s="25" t="str">
        <f>IFERROR(IF($AQ319,INDEX(cpe!$B$2:$B$307,MATCH($AR319,cpe!$F$2:$F$307,0)),INDEX(cpe!$B$2:$B$307,MATCH($AR319,cpe!$D$2:$D$307,0))),"#N/D")</f>
        <v>#N/D</v>
      </c>
      <c r="J319" s="26" t="str">
        <f>IF($AQ319,"#N/D",IFERROR(INDEX(Olimpiadas!$B$2:$B$61,MATCH($AO319,Olimpiadas!$C$2:$C$61,0)),"#N/D"))</f>
        <v>#N/D</v>
      </c>
      <c r="K319" s="26" t="str">
        <f>IF($AQ319,"#N/D",IFERROR(INDEX(Olimpiadas!$A$2:$A$61,MATCH($AO319,Olimpiadas!$C$2:$C$61,0)),"#N/D"))</f>
        <v>#N/D</v>
      </c>
      <c r="L319" s="26" t="str">
        <f>IF($AQ319,"#N/D",IFERROR(INDEX(Minculturas!$A$2:$A$48,MATCH($AO319,Minculturas!$C$2:$C$48,0)),"#N/D"))</f>
        <v>#N/D</v>
      </c>
      <c r="M319" s="26" t="str">
        <f>IF($AQ319,"#N/D",IFERROR(INDEX(Minculturas!$B$2:$B$48,MATCH($AO319,Minculturas!$C$2:$C$48,0)),"#N/D"))</f>
        <v>#N/D</v>
      </c>
      <c r="N319" s="27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7">
        <f t="shared" si="71"/>
        <v>0</v>
      </c>
      <c r="AH319" s="28"/>
      <c r="AI319" s="28"/>
      <c r="AJ319" s="28">
        <v>23.1</v>
      </c>
      <c r="AK319" s="28"/>
      <c r="AL319" s="28"/>
      <c r="AM319" s="29" t="s">
        <v>657</v>
      </c>
      <c r="AO319" t="str">
        <f t="shared" si="72"/>
        <v>entrerrios</v>
      </c>
      <c r="AP319" t="str">
        <f t="shared" si="73"/>
        <v>antioquia</v>
      </c>
      <c r="AQ319" t="b">
        <f t="shared" si="74"/>
        <v>0</v>
      </c>
      <c r="AR319" t="str">
        <f t="shared" si="75"/>
        <v>entrerrios</v>
      </c>
      <c r="AS319" s="30">
        <f t="shared" si="76"/>
        <v>0</v>
      </c>
      <c r="AT319" s="30">
        <f t="shared" si="77"/>
        <v>0</v>
      </c>
      <c r="AU319" s="30">
        <f t="shared" si="78"/>
        <v>0</v>
      </c>
      <c r="AV319" s="30">
        <f t="shared" si="79"/>
        <v>3</v>
      </c>
      <c r="AZ319" s="31">
        <f t="shared" si="80"/>
        <v>3</v>
      </c>
      <c r="BA319" s="31">
        <f t="shared" si="81"/>
        <v>3</v>
      </c>
      <c r="BB319" s="32">
        <f>IFERROR(INDEX('Análisis general'!$E$4:$E$28,MATCH($B319,'Análisis general'!$B$4:$B$28,0)),"")</f>
        <v>9.5</v>
      </c>
      <c r="BC319" s="31">
        <f t="shared" si="82"/>
        <v>3</v>
      </c>
      <c r="BD319" s="32">
        <f t="shared" si="83"/>
        <v>3.8571428571428568</v>
      </c>
      <c r="BE319" s="32">
        <f t="shared" si="84"/>
        <v>5.3999999999999995</v>
      </c>
    </row>
    <row r="320" spans="1:57" ht="25.5" customHeight="1" x14ac:dyDescent="0.25">
      <c r="A320" s="33" t="s">
        <v>915</v>
      </c>
      <c r="B320" s="11" t="s">
        <v>10</v>
      </c>
      <c r="C320" s="34" t="s">
        <v>112</v>
      </c>
      <c r="D320" s="24">
        <f t="shared" si="68"/>
        <v>3</v>
      </c>
      <c r="E320" s="59">
        <f t="shared" si="69"/>
        <v>3.8571428571428568</v>
      </c>
      <c r="F320" s="59">
        <f t="shared" si="70"/>
        <v>5.3999999999999995</v>
      </c>
      <c r="G320" s="11" t="s">
        <v>916</v>
      </c>
      <c r="H320" s="25" t="str">
        <f>IFERROR(IF($AQ320,INDEX(cpe!$C$2:$C$307,MATCH($AR320,cpe!$F$2:$F$307,0)),INDEX(cpe!$C$2:$C$307,MATCH($AR320,cpe!$D$2:$D$307,0))),"#N/D")</f>
        <v>#N/D</v>
      </c>
      <c r="I320" s="25" t="str">
        <f>IFERROR(IF($AQ320,INDEX(cpe!$B$2:$B$307,MATCH($AR320,cpe!$F$2:$F$307,0)),INDEX(cpe!$B$2:$B$307,MATCH($AR320,cpe!$D$2:$D$307,0))),"#N/D")</f>
        <v>#N/D</v>
      </c>
      <c r="J320" s="26" t="str">
        <f>IF($AQ320,"#N/D",IFERROR(INDEX(Olimpiadas!$B$2:$B$61,MATCH($AO320,Olimpiadas!$C$2:$C$61,0)),"#N/D"))</f>
        <v>#N/D</v>
      </c>
      <c r="K320" s="26" t="str">
        <f>IF($AQ320,"#N/D",IFERROR(INDEX(Olimpiadas!$A$2:$A$61,MATCH($AO320,Olimpiadas!$C$2:$C$61,0)),"#N/D"))</f>
        <v>#N/D</v>
      </c>
      <c r="L320" s="26" t="str">
        <f>IF($AQ320,"#N/D",IFERROR(INDEX(Minculturas!$A$2:$A$48,MATCH($AO320,Minculturas!$C$2:$C$48,0)),"#N/D"))</f>
        <v>#N/D</v>
      </c>
      <c r="M320" s="26" t="str">
        <f>IF($AQ320,"#N/D",IFERROR(INDEX(Minculturas!$B$2:$B$48,MATCH($AO320,Minculturas!$C$2:$C$48,0)),"#N/D"))</f>
        <v>#N/D</v>
      </c>
      <c r="N320" s="27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7">
        <f t="shared" si="71"/>
        <v>0</v>
      </c>
      <c r="AH320" s="28"/>
      <c r="AI320" s="28"/>
      <c r="AJ320" s="28">
        <v>51.3</v>
      </c>
      <c r="AK320" s="28"/>
      <c r="AL320" s="28"/>
      <c r="AM320" s="29" t="s">
        <v>365</v>
      </c>
      <c r="AO320" t="str">
        <f t="shared" si="72"/>
        <v>frontino</v>
      </c>
      <c r="AP320" t="str">
        <f t="shared" si="73"/>
        <v>antioquia</v>
      </c>
      <c r="AQ320" t="b">
        <f t="shared" si="74"/>
        <v>0</v>
      </c>
      <c r="AR320" t="str">
        <f t="shared" si="75"/>
        <v>frontino</v>
      </c>
      <c r="AS320" s="30">
        <f t="shared" si="76"/>
        <v>0</v>
      </c>
      <c r="AT320" s="30">
        <f t="shared" si="77"/>
        <v>0</v>
      </c>
      <c r="AU320" s="30">
        <f t="shared" si="78"/>
        <v>0</v>
      </c>
      <c r="AV320" s="30">
        <f t="shared" si="79"/>
        <v>3</v>
      </c>
      <c r="AZ320" s="31">
        <f t="shared" si="80"/>
        <v>3</v>
      </c>
      <c r="BA320" s="31">
        <f t="shared" si="81"/>
        <v>3</v>
      </c>
      <c r="BB320" s="32">
        <f>IFERROR(INDEX('Análisis general'!$E$4:$E$28,MATCH($B320,'Análisis general'!$B$4:$B$28,0)),"")</f>
        <v>9.5</v>
      </c>
      <c r="BC320" s="31">
        <f t="shared" si="82"/>
        <v>3</v>
      </c>
      <c r="BD320" s="32">
        <f t="shared" si="83"/>
        <v>3.8571428571428568</v>
      </c>
      <c r="BE320" s="32">
        <f t="shared" si="84"/>
        <v>5.3999999999999995</v>
      </c>
    </row>
    <row r="321" spans="1:57" ht="25.5" customHeight="1" x14ac:dyDescent="0.25">
      <c r="A321" s="33" t="s">
        <v>919</v>
      </c>
      <c r="B321" s="11" t="s">
        <v>10</v>
      </c>
      <c r="C321" s="34" t="s">
        <v>112</v>
      </c>
      <c r="D321" s="24">
        <f t="shared" si="68"/>
        <v>3</v>
      </c>
      <c r="E321" s="59">
        <f t="shared" si="69"/>
        <v>3.8571428571428568</v>
      </c>
      <c r="F321" s="59">
        <f t="shared" si="70"/>
        <v>5.3999999999999995</v>
      </c>
      <c r="G321" s="11" t="s">
        <v>920</v>
      </c>
      <c r="H321" s="25" t="str">
        <f>IFERROR(IF($AQ321,INDEX(cpe!$C$2:$C$307,MATCH($AR321,cpe!$F$2:$F$307,0)),INDEX(cpe!$C$2:$C$307,MATCH($AR321,cpe!$D$2:$D$307,0))),"#N/D")</f>
        <v>#N/D</v>
      </c>
      <c r="I321" s="25" t="str">
        <f>IFERROR(IF($AQ321,INDEX(cpe!$B$2:$B$307,MATCH($AR321,cpe!$F$2:$F$307,0)),INDEX(cpe!$B$2:$B$307,MATCH($AR321,cpe!$D$2:$D$307,0))),"#N/D")</f>
        <v>#N/D</v>
      </c>
      <c r="J321" s="26" t="str">
        <f>IF($AQ321,"#N/D",IFERROR(INDEX(Olimpiadas!$B$2:$B$61,MATCH($AO321,Olimpiadas!$C$2:$C$61,0)),"#N/D"))</f>
        <v>#N/D</v>
      </c>
      <c r="K321" s="26" t="str">
        <f>IF($AQ321,"#N/D",IFERROR(INDEX(Olimpiadas!$A$2:$A$61,MATCH($AO321,Olimpiadas!$C$2:$C$61,0)),"#N/D"))</f>
        <v>#N/D</v>
      </c>
      <c r="L321" s="26" t="str">
        <f>IF($AQ321,"#N/D",IFERROR(INDEX(Minculturas!$A$2:$A$48,MATCH($AO321,Minculturas!$C$2:$C$48,0)),"#N/D"))</f>
        <v>#N/D</v>
      </c>
      <c r="M321" s="26" t="str">
        <f>IF($AQ321,"#N/D",IFERROR(INDEX(Minculturas!$B$2:$B$48,MATCH($AO321,Minculturas!$C$2:$C$48,0)),"#N/D"))</f>
        <v>#N/D</v>
      </c>
      <c r="N321" s="27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7">
        <f t="shared" si="71"/>
        <v>0</v>
      </c>
      <c r="AH321" s="28"/>
      <c r="AI321" s="28"/>
      <c r="AJ321" s="28">
        <v>33.4</v>
      </c>
      <c r="AK321" s="28"/>
      <c r="AL321" s="28"/>
      <c r="AM321" s="29" t="s">
        <v>365</v>
      </c>
      <c r="AO321" t="str">
        <f t="shared" si="72"/>
        <v>giraldo</v>
      </c>
      <c r="AP321" t="str">
        <f t="shared" si="73"/>
        <v>antioquia</v>
      </c>
      <c r="AQ321" t="b">
        <f t="shared" si="74"/>
        <v>0</v>
      </c>
      <c r="AR321" t="str">
        <f t="shared" si="75"/>
        <v>giraldo</v>
      </c>
      <c r="AS321" s="30">
        <f t="shared" si="76"/>
        <v>0</v>
      </c>
      <c r="AT321" s="30">
        <f t="shared" si="77"/>
        <v>0</v>
      </c>
      <c r="AU321" s="30">
        <f t="shared" si="78"/>
        <v>0</v>
      </c>
      <c r="AV321" s="30">
        <f t="shared" si="79"/>
        <v>3</v>
      </c>
      <c r="AZ321" s="31">
        <f t="shared" si="80"/>
        <v>3</v>
      </c>
      <c r="BA321" s="31">
        <f t="shared" si="81"/>
        <v>3</v>
      </c>
      <c r="BB321" s="32">
        <f>IFERROR(INDEX('Análisis general'!$E$4:$E$28,MATCH($B321,'Análisis general'!$B$4:$B$28,0)),"")</f>
        <v>9.5</v>
      </c>
      <c r="BC321" s="31">
        <f t="shared" si="82"/>
        <v>3</v>
      </c>
      <c r="BD321" s="32">
        <f t="shared" si="83"/>
        <v>3.8571428571428568</v>
      </c>
      <c r="BE321" s="32">
        <f t="shared" si="84"/>
        <v>5.3999999999999995</v>
      </c>
    </row>
    <row r="322" spans="1:57" ht="25.5" customHeight="1" x14ac:dyDescent="0.25">
      <c r="A322" s="33" t="s">
        <v>921</v>
      </c>
      <c r="B322" s="11" t="s">
        <v>10</v>
      </c>
      <c r="C322" s="34" t="s">
        <v>112</v>
      </c>
      <c r="D322" s="24">
        <f t="shared" ref="D322:D385" si="85">AS322+AU322+AV322</f>
        <v>3</v>
      </c>
      <c r="E322" s="59">
        <f t="shared" ref="E322:E385" si="86">BD322</f>
        <v>3.8571428571428568</v>
      </c>
      <c r="F322" s="59">
        <f t="shared" ref="F322:F385" si="87">BE322</f>
        <v>5.3999999999999995</v>
      </c>
      <c r="G322" s="11" t="s">
        <v>922</v>
      </c>
      <c r="H322" s="25" t="str">
        <f>IFERROR(IF($AQ322,INDEX(cpe!$C$2:$C$307,MATCH($AR322,cpe!$F$2:$F$307,0)),INDEX(cpe!$C$2:$C$307,MATCH($AR322,cpe!$D$2:$D$307,0))),"#N/D")</f>
        <v>#N/D</v>
      </c>
      <c r="I322" s="25" t="str">
        <f>IFERROR(IF($AQ322,INDEX(cpe!$B$2:$B$307,MATCH($AR322,cpe!$F$2:$F$307,0)),INDEX(cpe!$B$2:$B$307,MATCH($AR322,cpe!$D$2:$D$307,0))),"#N/D")</f>
        <v>#N/D</v>
      </c>
      <c r="J322" s="26" t="str">
        <f>IF($AQ322,"#N/D",IFERROR(INDEX(Olimpiadas!$B$2:$B$61,MATCH($AO322,Olimpiadas!$C$2:$C$61,0)),"#N/D"))</f>
        <v>#N/D</v>
      </c>
      <c r="K322" s="26" t="str">
        <f>IF($AQ322,"#N/D",IFERROR(INDEX(Olimpiadas!$A$2:$A$61,MATCH($AO322,Olimpiadas!$C$2:$C$61,0)),"#N/D"))</f>
        <v>#N/D</v>
      </c>
      <c r="L322" s="26" t="str">
        <f>IF($AQ322,"#N/D",IFERROR(INDEX(Minculturas!$A$2:$A$48,MATCH($AO322,Minculturas!$C$2:$C$48,0)),"#N/D"))</f>
        <v>#N/D</v>
      </c>
      <c r="M322" s="26" t="str">
        <f>IF($AQ322,"#N/D",IFERROR(INDEX(Minculturas!$B$2:$B$48,MATCH($AO322,Minculturas!$C$2:$C$48,0)),"#N/D"))</f>
        <v>#N/D</v>
      </c>
      <c r="N322" s="27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7">
        <f t="shared" ref="AG322:AG385" si="88">SUM(O322:X322)</f>
        <v>0</v>
      </c>
      <c r="AH322" s="28"/>
      <c r="AI322" s="28"/>
      <c r="AJ322" s="28">
        <v>13.9</v>
      </c>
      <c r="AK322" s="28"/>
      <c r="AL322" s="28"/>
      <c r="AM322" s="29" t="s">
        <v>365</v>
      </c>
      <c r="AO322" t="str">
        <f t="shared" ref="AO322:AO385" si="89">TRIM(SUBSTITUTE(SUBSTITUTE(SUBSTITUTE(SUBSTITUTE(SUBSTITUTE(SUBSTITUTE(SUBSTITUTE(SUBSTITUTE(SUBSTITUTE(LOWER(G322),"á","a"),"é","e"),"í","i"),"ó","o"),"ú","u"),"ñ","n"),"-"," "),","," "),"."," "))</f>
        <v>girardota</v>
      </c>
      <c r="AP322" t="str">
        <f t="shared" ref="AP322:AP385" si="90">TRIM(SUBSTITUTE(SUBSTITUTE(SUBSTITUTE(SUBSTITUTE(SUBSTITUTE(SUBSTITUTE(SUBSTITUTE(SUBSTITUTE(SUBSTITUTE(LOWER(B322),"á","a"),"é","e"),"í","i"),"ó","o"),"ú","u"),"ñ","n"),"-"," "),","," "),"."," "))</f>
        <v>antioquia</v>
      </c>
      <c r="AQ322" t="b">
        <f t="shared" ref="AQ322:AQ385" si="91">COUNTIF($AO$2:$AO$433,AO322)&gt;COUNTIFS($AO$2:$AO$433,AO322,$AP$2:$AP$433,AP322)</f>
        <v>0</v>
      </c>
      <c r="AR322" t="str">
        <f t="shared" ref="AR322:AR385" si="92">IF(AQ322,AO322&amp;"|"&amp;AP322,AO322)</f>
        <v>girardota</v>
      </c>
      <c r="AS322" s="30">
        <f t="shared" ref="AS322:AS385" si="93">(I322&lt;&gt;"#N/D")+(J322&lt;&gt;"#N/D")+(L322&lt;&gt;"#N/D")</f>
        <v>0</v>
      </c>
      <c r="AT322" s="30">
        <f t="shared" ref="AT322:AT385" si="94">SUM(O322:X322)</f>
        <v>0</v>
      </c>
      <c r="AU322" s="30">
        <f t="shared" ref="AU322:AU385" si="95">IF(AT322&lt;=$AY$2,0,IF(AT322&lt;=$AY$3,1,IF(AT322&lt;=$AY$4,2,3)))</f>
        <v>0</v>
      </c>
      <c r="AV322" s="30">
        <f t="shared" ref="AV322:AV385" si="96">IF(Y322&lt;=$AY$7,3,IF(Y322&lt;=$AY$8,2,IF(Y322&lt;=$AY$9,1,0)))</f>
        <v>3</v>
      </c>
      <c r="AZ322" s="31">
        <f t="shared" ref="AZ322:AZ385" si="97">IF(Y322=0,3,0)</f>
        <v>3</v>
      </c>
      <c r="BA322" s="31">
        <f t="shared" ref="BA322:BA385" si="98">AS322+AU322+AZ322</f>
        <v>3</v>
      </c>
      <c r="BB322" s="32">
        <f>IFERROR(INDEX('Análisis general'!$E$4:$E$28,MATCH($B322,'Análisis general'!$B$4:$B$28,0)),"")</f>
        <v>9.5</v>
      </c>
      <c r="BC322" s="31">
        <f t="shared" ref="BC322:BC385" si="99">IF(BB322="","",IF(BB322&lt;=$BG$2,0,IF(BB322&lt;=$BG$3,1,IF(BB322&lt;=$BG$4,2,3))))</f>
        <v>3</v>
      </c>
      <c r="BD322" s="32">
        <f t="shared" ref="BD322:BD385" si="100">(AS322+AU322+AZ322+(BC322/2))*(9/10.5)</f>
        <v>3.8571428571428568</v>
      </c>
      <c r="BE322" s="32">
        <f t="shared" ref="BE322:BE385" si="101">(AU322+AZ322+(BC322/2))*(9/7.5)</f>
        <v>5.3999999999999995</v>
      </c>
    </row>
    <row r="323" spans="1:57" ht="25.5" customHeight="1" x14ac:dyDescent="0.25">
      <c r="A323" s="33" t="s">
        <v>923</v>
      </c>
      <c r="B323" s="11" t="s">
        <v>10</v>
      </c>
      <c r="C323" s="34" t="s">
        <v>112</v>
      </c>
      <c r="D323" s="24">
        <f t="shared" si="85"/>
        <v>3</v>
      </c>
      <c r="E323" s="59">
        <f t="shared" si="86"/>
        <v>3.8571428571428568</v>
      </c>
      <c r="F323" s="59">
        <f t="shared" si="87"/>
        <v>5.3999999999999995</v>
      </c>
      <c r="G323" s="11" t="s">
        <v>924</v>
      </c>
      <c r="H323" s="25" t="str">
        <f>IFERROR(IF($AQ323,INDEX(cpe!$C$2:$C$307,MATCH($AR323,cpe!$F$2:$F$307,0)),INDEX(cpe!$C$2:$C$307,MATCH($AR323,cpe!$D$2:$D$307,0))),"#N/D")</f>
        <v>#N/D</v>
      </c>
      <c r="I323" s="25" t="str">
        <f>IFERROR(IF($AQ323,INDEX(cpe!$B$2:$B$307,MATCH($AR323,cpe!$F$2:$F$307,0)),INDEX(cpe!$B$2:$B$307,MATCH($AR323,cpe!$D$2:$D$307,0))),"#N/D")</f>
        <v>#N/D</v>
      </c>
      <c r="J323" s="26" t="str">
        <f>IF($AQ323,"#N/D",IFERROR(INDEX(Olimpiadas!$B$2:$B$61,MATCH($AO323,Olimpiadas!$C$2:$C$61,0)),"#N/D"))</f>
        <v>#N/D</v>
      </c>
      <c r="K323" s="26" t="str">
        <f>IF($AQ323,"#N/D",IFERROR(INDEX(Olimpiadas!$A$2:$A$61,MATCH($AO323,Olimpiadas!$C$2:$C$61,0)),"#N/D"))</f>
        <v>#N/D</v>
      </c>
      <c r="L323" s="26" t="str">
        <f>IF($AQ323,"#N/D",IFERROR(INDEX(Minculturas!$A$2:$A$48,MATCH($AO323,Minculturas!$C$2:$C$48,0)),"#N/D"))</f>
        <v>#N/D</v>
      </c>
      <c r="M323" s="26" t="str">
        <f>IF($AQ323,"#N/D",IFERROR(INDEX(Minculturas!$B$2:$B$48,MATCH($AO323,Minculturas!$C$2:$C$48,0)),"#N/D"))</f>
        <v>#N/D</v>
      </c>
      <c r="N323" s="27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  <c r="AF323" s="28">
        <v>0</v>
      </c>
      <c r="AG323" s="27">
        <f t="shared" si="88"/>
        <v>0</v>
      </c>
      <c r="AH323" s="28"/>
      <c r="AI323" s="28"/>
      <c r="AJ323" s="28">
        <v>34.1</v>
      </c>
      <c r="AK323" s="28"/>
      <c r="AL323" s="28"/>
      <c r="AM323" s="29" t="s">
        <v>246</v>
      </c>
      <c r="AO323" t="str">
        <f t="shared" si="89"/>
        <v>gomez plata</v>
      </c>
      <c r="AP323" t="str">
        <f t="shared" si="90"/>
        <v>antioquia</v>
      </c>
      <c r="AQ323" t="b">
        <f t="shared" si="91"/>
        <v>0</v>
      </c>
      <c r="AR323" t="str">
        <f t="shared" si="92"/>
        <v>gomez plata</v>
      </c>
      <c r="AS323" s="30">
        <f t="shared" si="93"/>
        <v>0</v>
      </c>
      <c r="AT323" s="30">
        <f t="shared" si="94"/>
        <v>0</v>
      </c>
      <c r="AU323" s="30">
        <f t="shared" si="95"/>
        <v>0</v>
      </c>
      <c r="AV323" s="30">
        <f t="shared" si="96"/>
        <v>3</v>
      </c>
      <c r="AZ323" s="31">
        <f t="shared" si="97"/>
        <v>3</v>
      </c>
      <c r="BA323" s="31">
        <f t="shared" si="98"/>
        <v>3</v>
      </c>
      <c r="BB323" s="32">
        <f>IFERROR(INDEX('Análisis general'!$E$4:$E$28,MATCH($B323,'Análisis general'!$B$4:$B$28,0)),"")</f>
        <v>9.5</v>
      </c>
      <c r="BC323" s="31">
        <f t="shared" si="99"/>
        <v>3</v>
      </c>
      <c r="BD323" s="32">
        <f t="shared" si="100"/>
        <v>3.8571428571428568</v>
      </c>
      <c r="BE323" s="32">
        <f t="shared" si="101"/>
        <v>5.3999999999999995</v>
      </c>
    </row>
    <row r="324" spans="1:57" ht="25.5" customHeight="1" x14ac:dyDescent="0.25">
      <c r="A324" s="33" t="s">
        <v>925</v>
      </c>
      <c r="B324" s="11" t="s">
        <v>10</v>
      </c>
      <c r="C324" s="34" t="s">
        <v>112</v>
      </c>
      <c r="D324" s="24">
        <f t="shared" si="85"/>
        <v>3</v>
      </c>
      <c r="E324" s="59">
        <f t="shared" si="86"/>
        <v>3.8571428571428568</v>
      </c>
      <c r="F324" s="59">
        <f t="shared" si="87"/>
        <v>5.3999999999999995</v>
      </c>
      <c r="G324" s="11" t="s">
        <v>926</v>
      </c>
      <c r="H324" s="25" t="str">
        <f>IFERROR(IF($AQ324,INDEX(cpe!$C$2:$C$307,MATCH($AR324,cpe!$F$2:$F$307,0)),INDEX(cpe!$C$2:$C$307,MATCH($AR324,cpe!$D$2:$D$307,0))),"#N/D")</f>
        <v>#N/D</v>
      </c>
      <c r="I324" s="25" t="str">
        <f>IFERROR(IF($AQ324,INDEX(cpe!$B$2:$B$307,MATCH($AR324,cpe!$F$2:$F$307,0)),INDEX(cpe!$B$2:$B$307,MATCH($AR324,cpe!$D$2:$D$307,0))),"#N/D")</f>
        <v>#N/D</v>
      </c>
      <c r="J324" s="26" t="str">
        <f>IF($AQ324,"#N/D",IFERROR(INDEX(Olimpiadas!$B$2:$B$61,MATCH($AO324,Olimpiadas!$C$2:$C$61,0)),"#N/D"))</f>
        <v>#N/D</v>
      </c>
      <c r="K324" s="26" t="str">
        <f>IF($AQ324,"#N/D",IFERROR(INDEX(Olimpiadas!$A$2:$A$61,MATCH($AO324,Olimpiadas!$C$2:$C$61,0)),"#N/D"))</f>
        <v>#N/D</v>
      </c>
      <c r="L324" s="26" t="str">
        <f>IF($AQ324,"#N/D",IFERROR(INDEX(Minculturas!$A$2:$A$48,MATCH($AO324,Minculturas!$C$2:$C$48,0)),"#N/D"))</f>
        <v>#N/D</v>
      </c>
      <c r="M324" s="26" t="str">
        <f>IF($AQ324,"#N/D",IFERROR(INDEX(Minculturas!$B$2:$B$48,MATCH($AO324,Minculturas!$C$2:$C$48,0)),"#N/D"))</f>
        <v>#N/D</v>
      </c>
      <c r="N324" s="27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0</v>
      </c>
      <c r="AG324" s="27">
        <f t="shared" si="88"/>
        <v>0</v>
      </c>
      <c r="AH324" s="28"/>
      <c r="AI324" s="28"/>
      <c r="AJ324" s="28">
        <v>37.5</v>
      </c>
      <c r="AK324" s="28"/>
      <c r="AL324" s="28"/>
      <c r="AM324" s="29" t="s">
        <v>657</v>
      </c>
      <c r="AO324" t="str">
        <f t="shared" si="89"/>
        <v>heliconia</v>
      </c>
      <c r="AP324" t="str">
        <f t="shared" si="90"/>
        <v>antioquia</v>
      </c>
      <c r="AQ324" t="b">
        <f t="shared" si="91"/>
        <v>0</v>
      </c>
      <c r="AR324" t="str">
        <f t="shared" si="92"/>
        <v>heliconia</v>
      </c>
      <c r="AS324" s="30">
        <f t="shared" si="93"/>
        <v>0</v>
      </c>
      <c r="AT324" s="30">
        <f t="shared" si="94"/>
        <v>0</v>
      </c>
      <c r="AU324" s="30">
        <f t="shared" si="95"/>
        <v>0</v>
      </c>
      <c r="AV324" s="30">
        <f t="shared" si="96"/>
        <v>3</v>
      </c>
      <c r="AZ324" s="31">
        <f t="shared" si="97"/>
        <v>3</v>
      </c>
      <c r="BA324" s="31">
        <f t="shared" si="98"/>
        <v>3</v>
      </c>
      <c r="BB324" s="32">
        <f>IFERROR(INDEX('Análisis general'!$E$4:$E$28,MATCH($B324,'Análisis general'!$B$4:$B$28,0)),"")</f>
        <v>9.5</v>
      </c>
      <c r="BC324" s="31">
        <f t="shared" si="99"/>
        <v>3</v>
      </c>
      <c r="BD324" s="32">
        <f t="shared" si="100"/>
        <v>3.8571428571428568</v>
      </c>
      <c r="BE324" s="32">
        <f t="shared" si="101"/>
        <v>5.3999999999999995</v>
      </c>
    </row>
    <row r="325" spans="1:57" ht="25.5" customHeight="1" x14ac:dyDescent="0.25">
      <c r="A325" s="33" t="s">
        <v>929</v>
      </c>
      <c r="B325" s="11" t="s">
        <v>10</v>
      </c>
      <c r="C325" s="34" t="s">
        <v>112</v>
      </c>
      <c r="D325" s="24">
        <f t="shared" si="85"/>
        <v>3</v>
      </c>
      <c r="E325" s="59">
        <f t="shared" si="86"/>
        <v>3.8571428571428568</v>
      </c>
      <c r="F325" s="59">
        <f t="shared" si="87"/>
        <v>5.3999999999999995</v>
      </c>
      <c r="G325" s="11" t="s">
        <v>930</v>
      </c>
      <c r="H325" s="25" t="str">
        <f>IFERROR(IF($AQ325,INDEX(cpe!$C$2:$C$307,MATCH($AR325,cpe!$F$2:$F$307,0)),INDEX(cpe!$C$2:$C$307,MATCH($AR325,cpe!$D$2:$D$307,0))),"#N/D")</f>
        <v>#N/D</v>
      </c>
      <c r="I325" s="25" t="str">
        <f>IFERROR(IF($AQ325,INDEX(cpe!$B$2:$B$307,MATCH($AR325,cpe!$F$2:$F$307,0)),INDEX(cpe!$B$2:$B$307,MATCH($AR325,cpe!$D$2:$D$307,0))),"#N/D")</f>
        <v>#N/D</v>
      </c>
      <c r="J325" s="26" t="str">
        <f>IF($AQ325,"#N/D",IFERROR(INDEX(Olimpiadas!$B$2:$B$61,MATCH($AO325,Olimpiadas!$C$2:$C$61,0)),"#N/D"))</f>
        <v>#N/D</v>
      </c>
      <c r="K325" s="26" t="str">
        <f>IF($AQ325,"#N/D",IFERROR(INDEX(Olimpiadas!$A$2:$A$61,MATCH($AO325,Olimpiadas!$C$2:$C$61,0)),"#N/D"))</f>
        <v>#N/D</v>
      </c>
      <c r="L325" s="26" t="str">
        <f>IF($AQ325,"#N/D",IFERROR(INDEX(Minculturas!$A$2:$A$48,MATCH($AO325,Minculturas!$C$2:$C$48,0)),"#N/D"))</f>
        <v>#N/D</v>
      </c>
      <c r="M325" s="26" t="str">
        <f>IF($AQ325,"#N/D",IFERROR(INDEX(Minculturas!$B$2:$B$48,MATCH($AO325,Minculturas!$C$2:$C$48,0)),"#N/D"))</f>
        <v>#N/D</v>
      </c>
      <c r="N325" s="27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27">
        <f t="shared" si="88"/>
        <v>0</v>
      </c>
      <c r="AH325" s="28"/>
      <c r="AI325" s="28"/>
      <c r="AJ325" s="28">
        <v>43.3</v>
      </c>
      <c r="AK325" s="28"/>
      <c r="AL325" s="28"/>
      <c r="AM325" s="29" t="s">
        <v>365</v>
      </c>
      <c r="AO325" t="str">
        <f t="shared" si="89"/>
        <v>liborina</v>
      </c>
      <c r="AP325" t="str">
        <f t="shared" si="90"/>
        <v>antioquia</v>
      </c>
      <c r="AQ325" t="b">
        <f t="shared" si="91"/>
        <v>0</v>
      </c>
      <c r="AR325" t="str">
        <f t="shared" si="92"/>
        <v>liborina</v>
      </c>
      <c r="AS325" s="30">
        <f t="shared" si="93"/>
        <v>0</v>
      </c>
      <c r="AT325" s="30">
        <f t="shared" si="94"/>
        <v>0</v>
      </c>
      <c r="AU325" s="30">
        <f t="shared" si="95"/>
        <v>0</v>
      </c>
      <c r="AV325" s="30">
        <f t="shared" si="96"/>
        <v>3</v>
      </c>
      <c r="AZ325" s="31">
        <f t="shared" si="97"/>
        <v>3</v>
      </c>
      <c r="BA325" s="31">
        <f t="shared" si="98"/>
        <v>3</v>
      </c>
      <c r="BB325" s="32">
        <f>IFERROR(INDEX('Análisis general'!$E$4:$E$28,MATCH($B325,'Análisis general'!$B$4:$B$28,0)),"")</f>
        <v>9.5</v>
      </c>
      <c r="BC325" s="31">
        <f t="shared" si="99"/>
        <v>3</v>
      </c>
      <c r="BD325" s="32">
        <f t="shared" si="100"/>
        <v>3.8571428571428568</v>
      </c>
      <c r="BE325" s="32">
        <f t="shared" si="101"/>
        <v>5.3999999999999995</v>
      </c>
    </row>
    <row r="326" spans="1:57" ht="25.5" customHeight="1" x14ac:dyDescent="0.25">
      <c r="A326" s="33" t="s">
        <v>933</v>
      </c>
      <c r="B326" s="11" t="s">
        <v>10</v>
      </c>
      <c r="C326" s="34" t="s">
        <v>112</v>
      </c>
      <c r="D326" s="24">
        <f t="shared" si="85"/>
        <v>3</v>
      </c>
      <c r="E326" s="59">
        <f t="shared" si="86"/>
        <v>3.8571428571428568</v>
      </c>
      <c r="F326" s="59">
        <f t="shared" si="87"/>
        <v>5.3999999999999995</v>
      </c>
      <c r="G326" s="11" t="s">
        <v>41</v>
      </c>
      <c r="H326" s="25" t="str">
        <f>IFERROR(IF($AQ326,INDEX(cpe!$C$2:$C$307,MATCH($AR326,cpe!$F$2:$F$307,0)),INDEX(cpe!$C$2:$C$307,MATCH($AR326,cpe!$D$2:$D$307,0))),"#N/D")</f>
        <v>#N/D</v>
      </c>
      <c r="I326" s="25" t="str">
        <f>IFERROR(IF($AQ326,INDEX(cpe!$B$2:$B$307,MATCH($AR326,cpe!$F$2:$F$307,0)),INDEX(cpe!$B$2:$B$307,MATCH($AR326,cpe!$D$2:$D$307,0))),"#N/D")</f>
        <v>#N/D</v>
      </c>
      <c r="J326" s="26" t="str">
        <f>IF($AQ326,"#N/D",IFERROR(INDEX(Olimpiadas!$B$2:$B$61,MATCH($AO326,Olimpiadas!$C$2:$C$61,0)),"#N/D"))</f>
        <v>#N/D</v>
      </c>
      <c r="K326" s="26" t="str">
        <f>IF($AQ326,"#N/D",IFERROR(INDEX(Olimpiadas!$A$2:$A$61,MATCH($AO326,Olimpiadas!$C$2:$C$61,0)),"#N/D"))</f>
        <v>#N/D</v>
      </c>
      <c r="L326" s="26" t="str">
        <f>IF($AQ326,"#N/D",IFERROR(INDEX(Minculturas!$A$2:$A$48,MATCH($AO326,Minculturas!$C$2:$C$48,0)),"#N/D"))</f>
        <v>#N/D</v>
      </c>
      <c r="M326" s="26" t="str">
        <f>IF($AQ326,"#N/D",IFERROR(INDEX(Minculturas!$B$2:$B$48,MATCH($AO326,Minculturas!$C$2:$C$48,0)),"#N/D"))</f>
        <v>#N/D</v>
      </c>
      <c r="N326" s="27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27">
        <f t="shared" si="88"/>
        <v>0</v>
      </c>
      <c r="AH326" s="28"/>
      <c r="AI326" s="28"/>
      <c r="AJ326" s="28">
        <v>51.8</v>
      </c>
      <c r="AK326" s="28"/>
      <c r="AL326" s="28"/>
      <c r="AM326" s="29" t="s">
        <v>365</v>
      </c>
      <c r="AO326" t="str">
        <f t="shared" si="89"/>
        <v>narino</v>
      </c>
      <c r="AP326" t="str">
        <f t="shared" si="90"/>
        <v>antioquia</v>
      </c>
      <c r="AQ326" t="b">
        <f t="shared" si="91"/>
        <v>0</v>
      </c>
      <c r="AR326" t="str">
        <f t="shared" si="92"/>
        <v>narino</v>
      </c>
      <c r="AS326" s="30">
        <f t="shared" si="93"/>
        <v>0</v>
      </c>
      <c r="AT326" s="30">
        <f t="shared" si="94"/>
        <v>0</v>
      </c>
      <c r="AU326" s="30">
        <f t="shared" si="95"/>
        <v>0</v>
      </c>
      <c r="AV326" s="30">
        <f t="shared" si="96"/>
        <v>3</v>
      </c>
      <c r="AZ326" s="31">
        <f t="shared" si="97"/>
        <v>3</v>
      </c>
      <c r="BA326" s="31">
        <f t="shared" si="98"/>
        <v>3</v>
      </c>
      <c r="BB326" s="32">
        <f>IFERROR(INDEX('Análisis general'!$E$4:$E$28,MATCH($B326,'Análisis general'!$B$4:$B$28,0)),"")</f>
        <v>9.5</v>
      </c>
      <c r="BC326" s="31">
        <f t="shared" si="99"/>
        <v>3</v>
      </c>
      <c r="BD326" s="32">
        <f t="shared" si="100"/>
        <v>3.8571428571428568</v>
      </c>
      <c r="BE326" s="32">
        <f t="shared" si="101"/>
        <v>5.3999999999999995</v>
      </c>
    </row>
    <row r="327" spans="1:57" ht="25.5" customHeight="1" x14ac:dyDescent="0.25">
      <c r="A327" s="33" t="s">
        <v>934</v>
      </c>
      <c r="B327" s="11" t="s">
        <v>10</v>
      </c>
      <c r="C327" s="34" t="s">
        <v>112</v>
      </c>
      <c r="D327" s="24">
        <f t="shared" si="85"/>
        <v>3</v>
      </c>
      <c r="E327" s="59">
        <f t="shared" si="86"/>
        <v>3.8571428571428568</v>
      </c>
      <c r="F327" s="59">
        <f t="shared" si="87"/>
        <v>5.3999999999999995</v>
      </c>
      <c r="G327" s="11" t="s">
        <v>935</v>
      </c>
      <c r="H327" s="25" t="s">
        <v>106</v>
      </c>
      <c r="I327" s="25" t="s">
        <v>106</v>
      </c>
      <c r="J327" s="26" t="s">
        <v>106</v>
      </c>
      <c r="K327" s="26" t="str">
        <f>IF($AQ327,"#N/D",IFERROR(INDEX(Olimpiadas!$A$2:$A$61,MATCH($AO327,Olimpiadas!$C$2:$C$61,0)),"#N/D"))</f>
        <v>#N/D</v>
      </c>
      <c r="L327" s="26" t="str">
        <f>IF($AQ327,"#N/D",IFERROR(INDEX(Minculturas!$A$2:$A$48,MATCH($AO327,Minculturas!$C$2:$C$48,0)),"#N/D"))</f>
        <v>#N/D</v>
      </c>
      <c r="M327" s="26" t="str">
        <f>IF($AQ327,"#N/D",IFERROR(INDEX(Minculturas!$B$2:$B$48,MATCH($AO327,Minculturas!$C$2:$C$48,0)),"#N/D"))</f>
        <v>#N/D</v>
      </c>
      <c r="N327" s="27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27">
        <f t="shared" si="88"/>
        <v>0</v>
      </c>
      <c r="AH327" s="28"/>
      <c r="AI327" s="28"/>
      <c r="AJ327" s="28">
        <v>53.5</v>
      </c>
      <c r="AK327" s="28"/>
      <c r="AL327" s="28"/>
      <c r="AM327" s="29" t="s">
        <v>365</v>
      </c>
      <c r="AO327" t="str">
        <f t="shared" si="89"/>
        <v>peque</v>
      </c>
      <c r="AP327" t="str">
        <f t="shared" si="90"/>
        <v>antioquia</v>
      </c>
      <c r="AQ327" t="b">
        <f t="shared" si="91"/>
        <v>0</v>
      </c>
      <c r="AR327" t="str">
        <f t="shared" si="92"/>
        <v>peque</v>
      </c>
      <c r="AS327" s="30">
        <f t="shared" si="93"/>
        <v>0</v>
      </c>
      <c r="AT327" s="30">
        <f t="shared" si="94"/>
        <v>0</v>
      </c>
      <c r="AU327" s="30">
        <f t="shared" si="95"/>
        <v>0</v>
      </c>
      <c r="AV327" s="30">
        <f t="shared" si="96"/>
        <v>3</v>
      </c>
      <c r="AZ327" s="31">
        <f t="shared" si="97"/>
        <v>3</v>
      </c>
      <c r="BA327" s="31">
        <f t="shared" si="98"/>
        <v>3</v>
      </c>
      <c r="BB327" s="32">
        <f>IFERROR(INDEX('Análisis general'!$E$4:$E$28,MATCH($B327,'Análisis general'!$B$4:$B$28,0)),"")</f>
        <v>9.5</v>
      </c>
      <c r="BC327" s="31">
        <f t="shared" si="99"/>
        <v>3</v>
      </c>
      <c r="BD327" s="32">
        <f t="shared" si="100"/>
        <v>3.8571428571428568</v>
      </c>
      <c r="BE327" s="32">
        <f t="shared" si="101"/>
        <v>5.3999999999999995</v>
      </c>
    </row>
    <row r="328" spans="1:57" ht="25.5" customHeight="1" x14ac:dyDescent="0.25">
      <c r="A328" s="33" t="s">
        <v>936</v>
      </c>
      <c r="B328" s="11" t="s">
        <v>10</v>
      </c>
      <c r="C328" s="34" t="s">
        <v>112</v>
      </c>
      <c r="D328" s="24">
        <f t="shared" si="85"/>
        <v>3</v>
      </c>
      <c r="E328" s="59">
        <f t="shared" si="86"/>
        <v>3.8571428571428568</v>
      </c>
      <c r="F328" s="59">
        <f t="shared" si="87"/>
        <v>5.3999999999999995</v>
      </c>
      <c r="G328" s="11" t="s">
        <v>937</v>
      </c>
      <c r="H328" s="25" t="s">
        <v>106</v>
      </c>
      <c r="I328" s="25" t="s">
        <v>106</v>
      </c>
      <c r="J328" s="26" t="s">
        <v>106</v>
      </c>
      <c r="K328" s="26" t="str">
        <f>IF($AQ328,"#N/D",IFERROR(INDEX(Olimpiadas!$A$2:$A$61,MATCH($AO328,Olimpiadas!$C$2:$C$61,0)),"#N/D"))</f>
        <v>#N/D</v>
      </c>
      <c r="L328" s="26" t="str">
        <f>IF($AQ328,"#N/D",IFERROR(INDEX(Minculturas!$A$2:$A$48,MATCH($AO328,Minculturas!$C$2:$C$48,0)),"#N/D"))</f>
        <v>#N/D</v>
      </c>
      <c r="M328" s="26" t="str">
        <f>IF($AQ328,"#N/D",IFERROR(INDEX(Minculturas!$B$2:$B$48,MATCH($AO328,Minculturas!$C$2:$C$48,0)),"#N/D"))</f>
        <v>#N/D</v>
      </c>
      <c r="N328" s="27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27">
        <f t="shared" si="88"/>
        <v>0</v>
      </c>
      <c r="AH328" s="28"/>
      <c r="AI328" s="28"/>
      <c r="AJ328" s="28">
        <v>33.1</v>
      </c>
      <c r="AK328" s="28"/>
      <c r="AL328" s="28"/>
      <c r="AM328" s="29" t="s">
        <v>657</v>
      </c>
      <c r="AO328" t="str">
        <f t="shared" si="89"/>
        <v>puerto nare</v>
      </c>
      <c r="AP328" t="str">
        <f t="shared" si="90"/>
        <v>antioquia</v>
      </c>
      <c r="AQ328" t="b">
        <f t="shared" si="91"/>
        <v>0</v>
      </c>
      <c r="AR328" t="str">
        <f t="shared" si="92"/>
        <v>puerto nare</v>
      </c>
      <c r="AS328" s="30">
        <f t="shared" si="93"/>
        <v>0</v>
      </c>
      <c r="AT328" s="30">
        <f t="shared" si="94"/>
        <v>0</v>
      </c>
      <c r="AU328" s="30">
        <f t="shared" si="95"/>
        <v>0</v>
      </c>
      <c r="AV328" s="30">
        <f t="shared" si="96"/>
        <v>3</v>
      </c>
      <c r="AZ328" s="31">
        <f t="shared" si="97"/>
        <v>3</v>
      </c>
      <c r="BA328" s="31">
        <f t="shared" si="98"/>
        <v>3</v>
      </c>
      <c r="BB328" s="32">
        <f>IFERROR(INDEX('Análisis general'!$E$4:$E$28,MATCH($B328,'Análisis general'!$B$4:$B$28,0)),"")</f>
        <v>9.5</v>
      </c>
      <c r="BC328" s="31">
        <f t="shared" si="99"/>
        <v>3</v>
      </c>
      <c r="BD328" s="32">
        <f t="shared" si="100"/>
        <v>3.8571428571428568</v>
      </c>
      <c r="BE328" s="32">
        <f t="shared" si="101"/>
        <v>5.3999999999999995</v>
      </c>
    </row>
    <row r="329" spans="1:57" ht="25.5" customHeight="1" x14ac:dyDescent="0.25">
      <c r="A329" s="33" t="s">
        <v>938</v>
      </c>
      <c r="B329" s="11" t="s">
        <v>10</v>
      </c>
      <c r="C329" s="34" t="s">
        <v>112</v>
      </c>
      <c r="D329" s="24">
        <f t="shared" si="85"/>
        <v>3</v>
      </c>
      <c r="E329" s="59">
        <f t="shared" si="86"/>
        <v>3.8571428571428568</v>
      </c>
      <c r="F329" s="59">
        <f t="shared" si="87"/>
        <v>5.3999999999999995</v>
      </c>
      <c r="G329" s="11" t="s">
        <v>939</v>
      </c>
      <c r="H329" s="25" t="s">
        <v>106</v>
      </c>
      <c r="I329" s="25" t="s">
        <v>106</v>
      </c>
      <c r="J329" s="26" t="s">
        <v>106</v>
      </c>
      <c r="K329" s="26" t="str">
        <f>IF($AQ329,"#N/D",IFERROR(INDEX(Olimpiadas!$A$2:$A$61,MATCH($AO329,Olimpiadas!$C$2:$C$61,0)),"#N/D"))</f>
        <v>#N/D</v>
      </c>
      <c r="L329" s="26" t="str">
        <f>IF($AQ329,"#N/D",IFERROR(INDEX(Minculturas!$A$2:$A$48,MATCH($AO329,Minculturas!$C$2:$C$48,0)),"#N/D"))</f>
        <v>#N/D</v>
      </c>
      <c r="M329" s="26" t="str">
        <f>IF($AQ329,"#N/D",IFERROR(INDEX(Minculturas!$B$2:$B$48,MATCH($AO329,Minculturas!$C$2:$C$48,0)),"#N/D"))</f>
        <v>#N/D</v>
      </c>
      <c r="N329" s="27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8">
        <v>0</v>
      </c>
      <c r="AF329" s="28">
        <v>0</v>
      </c>
      <c r="AG329" s="27">
        <f t="shared" si="88"/>
        <v>0</v>
      </c>
      <c r="AH329" s="28"/>
      <c r="AI329" s="28"/>
      <c r="AJ329" s="28">
        <v>29.3</v>
      </c>
      <c r="AK329" s="28"/>
      <c r="AL329" s="28"/>
      <c r="AM329" s="29" t="s">
        <v>657</v>
      </c>
      <c r="AO329" t="str">
        <f t="shared" si="89"/>
        <v>puerto triunfo</v>
      </c>
      <c r="AP329" t="str">
        <f t="shared" si="90"/>
        <v>antioquia</v>
      </c>
      <c r="AQ329" t="b">
        <f t="shared" si="91"/>
        <v>0</v>
      </c>
      <c r="AR329" t="str">
        <f t="shared" si="92"/>
        <v>puerto triunfo</v>
      </c>
      <c r="AS329" s="30">
        <f t="shared" si="93"/>
        <v>0</v>
      </c>
      <c r="AT329" s="30">
        <f t="shared" si="94"/>
        <v>0</v>
      </c>
      <c r="AU329" s="30">
        <f t="shared" si="95"/>
        <v>0</v>
      </c>
      <c r="AV329" s="30">
        <f t="shared" si="96"/>
        <v>3</v>
      </c>
      <c r="AZ329" s="31">
        <f t="shared" si="97"/>
        <v>3</v>
      </c>
      <c r="BA329" s="31">
        <f t="shared" si="98"/>
        <v>3</v>
      </c>
      <c r="BB329" s="32">
        <f>IFERROR(INDEX('Análisis general'!$E$4:$E$28,MATCH($B329,'Análisis general'!$B$4:$B$28,0)),"")</f>
        <v>9.5</v>
      </c>
      <c r="BC329" s="31">
        <f t="shared" si="99"/>
        <v>3</v>
      </c>
      <c r="BD329" s="32">
        <f t="shared" si="100"/>
        <v>3.8571428571428568</v>
      </c>
      <c r="BE329" s="32">
        <f t="shared" si="101"/>
        <v>5.3999999999999995</v>
      </c>
    </row>
    <row r="330" spans="1:57" ht="25.5" customHeight="1" x14ac:dyDescent="0.25">
      <c r="A330" s="33" t="s">
        <v>948</v>
      </c>
      <c r="B330" s="11" t="s">
        <v>10</v>
      </c>
      <c r="C330" s="34" t="s">
        <v>112</v>
      </c>
      <c r="D330" s="24">
        <f t="shared" si="85"/>
        <v>3</v>
      </c>
      <c r="E330" s="59">
        <f t="shared" si="86"/>
        <v>3.8571428571428568</v>
      </c>
      <c r="F330" s="59">
        <f t="shared" si="87"/>
        <v>5.3999999999999995</v>
      </c>
      <c r="G330" s="11" t="s">
        <v>544</v>
      </c>
      <c r="H330" s="25" t="s">
        <v>106</v>
      </c>
      <c r="I330" s="25" t="s">
        <v>106</v>
      </c>
      <c r="J330" s="26" t="s">
        <v>106</v>
      </c>
      <c r="K330" s="26" t="str">
        <f>IF($AQ330,"#N/D",IFERROR(INDEX(Olimpiadas!$A$2:$A$61,MATCH($AO330,Olimpiadas!$C$2:$C$61,0)),"#N/D"))</f>
        <v>#N/D</v>
      </c>
      <c r="L330" s="26" t="str">
        <f>IF($AQ330,"#N/D",IFERROR(INDEX(Minculturas!$A$2:$A$48,MATCH($AO330,Minculturas!$C$2:$C$48,0)),"#N/D"))</f>
        <v>#N/D</v>
      </c>
      <c r="M330" s="26" t="str">
        <f>IF($AQ330,"#N/D",IFERROR(INDEX(Minculturas!$B$2:$B$48,MATCH($AO330,Minculturas!$C$2:$C$48,0)),"#N/D"))</f>
        <v>#N/D</v>
      </c>
      <c r="N330" s="27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  <c r="AF330" s="28">
        <v>0</v>
      </c>
      <c r="AG330" s="27">
        <f t="shared" si="88"/>
        <v>0</v>
      </c>
      <c r="AH330" s="28"/>
      <c r="AI330" s="28"/>
      <c r="AJ330" s="28">
        <v>46.4</v>
      </c>
      <c r="AK330" s="28"/>
      <c r="AL330" s="28"/>
      <c r="AM330" s="29" t="s">
        <v>365</v>
      </c>
      <c r="AO330" t="str">
        <f t="shared" si="89"/>
        <v>san francisco</v>
      </c>
      <c r="AP330" t="str">
        <f t="shared" si="90"/>
        <v>antioquia</v>
      </c>
      <c r="AQ330" t="b">
        <f t="shared" si="91"/>
        <v>1</v>
      </c>
      <c r="AR330" t="str">
        <f t="shared" si="92"/>
        <v>san francisco|antioquia</v>
      </c>
      <c r="AS330" s="30">
        <f t="shared" si="93"/>
        <v>0</v>
      </c>
      <c r="AT330" s="30">
        <f t="shared" si="94"/>
        <v>0</v>
      </c>
      <c r="AU330" s="30">
        <f t="shared" si="95"/>
        <v>0</v>
      </c>
      <c r="AV330" s="30">
        <f t="shared" si="96"/>
        <v>3</v>
      </c>
      <c r="AZ330" s="31">
        <f t="shared" si="97"/>
        <v>3</v>
      </c>
      <c r="BA330" s="31">
        <f t="shared" si="98"/>
        <v>3</v>
      </c>
      <c r="BB330" s="32">
        <f>IFERROR(INDEX('Análisis general'!$E$4:$E$28,MATCH($B330,'Análisis general'!$B$4:$B$28,0)),"")</f>
        <v>9.5</v>
      </c>
      <c r="BC330" s="31">
        <f t="shared" si="99"/>
        <v>3</v>
      </c>
      <c r="BD330" s="32">
        <f t="shared" si="100"/>
        <v>3.8571428571428568</v>
      </c>
      <c r="BE330" s="32">
        <f t="shared" si="101"/>
        <v>5.3999999999999995</v>
      </c>
    </row>
    <row r="331" spans="1:57" ht="25.5" customHeight="1" x14ac:dyDescent="0.25">
      <c r="A331" s="33" t="s">
        <v>949</v>
      </c>
      <c r="B331" s="11" t="s">
        <v>10</v>
      </c>
      <c r="C331" s="34" t="s">
        <v>112</v>
      </c>
      <c r="D331" s="24">
        <f t="shared" si="85"/>
        <v>3</v>
      </c>
      <c r="E331" s="59">
        <f t="shared" si="86"/>
        <v>3.8571428571428568</v>
      </c>
      <c r="F331" s="59">
        <f t="shared" si="87"/>
        <v>5.3999999999999995</v>
      </c>
      <c r="G331" s="11" t="s">
        <v>140</v>
      </c>
      <c r="H331" s="25" t="s">
        <v>106</v>
      </c>
      <c r="I331" s="25" t="s">
        <v>106</v>
      </c>
      <c r="J331" s="26" t="s">
        <v>106</v>
      </c>
      <c r="K331" s="26" t="str">
        <f>IF($AQ331,"#N/D",IFERROR(INDEX(Olimpiadas!$A$2:$A$61,MATCH($AO331,Olimpiadas!$C$2:$C$61,0)),"#N/D"))</f>
        <v>#N/D</v>
      </c>
      <c r="L331" s="26" t="str">
        <f>IF($AQ331,"#N/D",IFERROR(INDEX(Minculturas!$A$2:$A$48,MATCH($AO331,Minculturas!$C$2:$C$48,0)),"#N/D"))</f>
        <v>#N/D</v>
      </c>
      <c r="M331" s="26" t="str">
        <f>IF($AQ331,"#N/D",IFERROR(INDEX(Minculturas!$B$2:$B$48,MATCH($AO331,Minculturas!$C$2:$C$48,0)),"#N/D"))</f>
        <v>#N/D</v>
      </c>
      <c r="N331" s="27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0</v>
      </c>
      <c r="AG331" s="27">
        <f t="shared" si="88"/>
        <v>0</v>
      </c>
      <c r="AH331" s="28"/>
      <c r="AI331" s="28"/>
      <c r="AJ331" s="28">
        <v>32.4</v>
      </c>
      <c r="AK331" s="28"/>
      <c r="AL331" s="28"/>
      <c r="AM331" s="29" t="s">
        <v>365</v>
      </c>
      <c r="AO331" t="str">
        <f t="shared" si="89"/>
        <v>san luis</v>
      </c>
      <c r="AP331" t="str">
        <f t="shared" si="90"/>
        <v>antioquia</v>
      </c>
      <c r="AQ331" t="b">
        <f t="shared" si="91"/>
        <v>1</v>
      </c>
      <c r="AR331" t="str">
        <f t="shared" si="92"/>
        <v>san luis|antioquia</v>
      </c>
      <c r="AS331" s="30">
        <f t="shared" si="93"/>
        <v>0</v>
      </c>
      <c r="AT331" s="30">
        <f t="shared" si="94"/>
        <v>0</v>
      </c>
      <c r="AU331" s="30">
        <f t="shared" si="95"/>
        <v>0</v>
      </c>
      <c r="AV331" s="30">
        <f t="shared" si="96"/>
        <v>3</v>
      </c>
      <c r="AZ331" s="31">
        <f t="shared" si="97"/>
        <v>3</v>
      </c>
      <c r="BA331" s="31">
        <f t="shared" si="98"/>
        <v>3</v>
      </c>
      <c r="BB331" s="32">
        <f>IFERROR(INDEX('Análisis general'!$E$4:$E$28,MATCH($B331,'Análisis general'!$B$4:$B$28,0)),"")</f>
        <v>9.5</v>
      </c>
      <c r="BC331" s="31">
        <f t="shared" si="99"/>
        <v>3</v>
      </c>
      <c r="BD331" s="32">
        <f t="shared" si="100"/>
        <v>3.8571428571428568</v>
      </c>
      <c r="BE331" s="32">
        <f t="shared" si="101"/>
        <v>5.3999999999999995</v>
      </c>
    </row>
    <row r="332" spans="1:57" ht="25.5" customHeight="1" x14ac:dyDescent="0.25">
      <c r="A332" s="33" t="s">
        <v>950</v>
      </c>
      <c r="B332" s="11" t="s">
        <v>10</v>
      </c>
      <c r="C332" s="34" t="s">
        <v>112</v>
      </c>
      <c r="D332" s="24">
        <f t="shared" si="85"/>
        <v>3</v>
      </c>
      <c r="E332" s="59">
        <f t="shared" si="86"/>
        <v>3.8571428571428568</v>
      </c>
      <c r="F332" s="59">
        <f t="shared" si="87"/>
        <v>5.3999999999999995</v>
      </c>
      <c r="G332" s="11" t="s">
        <v>951</v>
      </c>
      <c r="H332" s="25" t="s">
        <v>106</v>
      </c>
      <c r="I332" s="25" t="s">
        <v>106</v>
      </c>
      <c r="J332" s="26" t="s">
        <v>106</v>
      </c>
      <c r="K332" s="26" t="str">
        <f>IF($AQ332,"#N/D",IFERROR(INDEX(Olimpiadas!$A$2:$A$61,MATCH($AO332,Olimpiadas!$C$2:$C$61,0)),"#N/D"))</f>
        <v>#N/D</v>
      </c>
      <c r="L332" s="26" t="str">
        <f>IF($AQ332,"#N/D",IFERROR(INDEX(Minculturas!$A$2:$A$48,MATCH($AO332,Minculturas!$C$2:$C$48,0)),"#N/D"))</f>
        <v>#N/D</v>
      </c>
      <c r="M332" s="26" t="str">
        <f>IF($AQ332,"#N/D",IFERROR(INDEX(Minculturas!$B$2:$B$48,MATCH($AO332,Minculturas!$C$2:$C$48,0)),"#N/D"))</f>
        <v>#N/D</v>
      </c>
      <c r="N332" s="27">
        <v>1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1</v>
      </c>
      <c r="AC332" s="28">
        <v>0</v>
      </c>
      <c r="AD332" s="28">
        <v>0</v>
      </c>
      <c r="AE332" s="28">
        <v>0</v>
      </c>
      <c r="AF332" s="28">
        <v>0</v>
      </c>
      <c r="AG332" s="27">
        <f t="shared" si="88"/>
        <v>0</v>
      </c>
      <c r="AH332" s="28"/>
      <c r="AI332" s="28"/>
      <c r="AJ332" s="28">
        <v>62.3</v>
      </c>
      <c r="AK332" s="28"/>
      <c r="AL332" s="28"/>
      <c r="AM332" s="29" t="s">
        <v>114</v>
      </c>
      <c r="AO332" t="str">
        <f t="shared" si="89"/>
        <v>san pedro de uraba</v>
      </c>
      <c r="AP332" t="str">
        <f t="shared" si="90"/>
        <v>antioquia</v>
      </c>
      <c r="AQ332" t="b">
        <f t="shared" si="91"/>
        <v>0</v>
      </c>
      <c r="AR332" t="str">
        <f t="shared" si="92"/>
        <v>san pedro de uraba</v>
      </c>
      <c r="AS332" s="30">
        <f t="shared" si="93"/>
        <v>0</v>
      </c>
      <c r="AT332" s="30">
        <f t="shared" si="94"/>
        <v>0</v>
      </c>
      <c r="AU332" s="30">
        <f t="shared" si="95"/>
        <v>0</v>
      </c>
      <c r="AV332" s="30">
        <f t="shared" si="96"/>
        <v>3</v>
      </c>
      <c r="AZ332" s="31">
        <f t="shared" si="97"/>
        <v>3</v>
      </c>
      <c r="BA332" s="31">
        <f t="shared" si="98"/>
        <v>3</v>
      </c>
      <c r="BB332" s="32">
        <f>IFERROR(INDEX('Análisis general'!$E$4:$E$28,MATCH($B332,'Análisis general'!$B$4:$B$28,0)),"")</f>
        <v>9.5</v>
      </c>
      <c r="BC332" s="31">
        <f t="shared" si="99"/>
        <v>3</v>
      </c>
      <c r="BD332" s="32">
        <f t="shared" si="100"/>
        <v>3.8571428571428568</v>
      </c>
      <c r="BE332" s="32">
        <f t="shared" si="101"/>
        <v>5.3999999999999995</v>
      </c>
    </row>
    <row r="333" spans="1:57" ht="25.5" customHeight="1" x14ac:dyDescent="0.25">
      <c r="A333" s="33" t="s">
        <v>952</v>
      </c>
      <c r="B333" s="11" t="s">
        <v>10</v>
      </c>
      <c r="C333" s="34" t="s">
        <v>112</v>
      </c>
      <c r="D333" s="24">
        <f t="shared" si="85"/>
        <v>3</v>
      </c>
      <c r="E333" s="59">
        <f t="shared" si="86"/>
        <v>3.8571428571428568</v>
      </c>
      <c r="F333" s="59">
        <f t="shared" si="87"/>
        <v>5.3999999999999995</v>
      </c>
      <c r="G333" s="11" t="s">
        <v>953</v>
      </c>
      <c r="H333" s="25" t="s">
        <v>106</v>
      </c>
      <c r="I333" s="25" t="s">
        <v>106</v>
      </c>
      <c r="J333" s="26" t="s">
        <v>106</v>
      </c>
      <c r="K333" s="26" t="str">
        <f>IF($AQ333,"#N/D",IFERROR(INDEX(Olimpiadas!$A$2:$A$61,MATCH($AO333,Olimpiadas!$C$2:$C$61,0)),"#N/D"))</f>
        <v>#N/D</v>
      </c>
      <c r="L333" s="26" t="str">
        <f>IF($AQ333,"#N/D",IFERROR(INDEX(Minculturas!$A$2:$A$48,MATCH($AO333,Minculturas!$C$2:$C$48,0)),"#N/D"))</f>
        <v>#N/D</v>
      </c>
      <c r="M333" s="26" t="str">
        <f>IF($AQ333,"#N/D",IFERROR(INDEX(Minculturas!$B$2:$B$48,MATCH($AO333,Minculturas!$C$2:$C$48,0)),"#N/D"))</f>
        <v>#N/D</v>
      </c>
      <c r="N333" s="27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27">
        <f t="shared" si="88"/>
        <v>0</v>
      </c>
      <c r="AH333" s="28"/>
      <c r="AI333" s="28"/>
      <c r="AJ333" s="28">
        <v>27.8</v>
      </c>
      <c r="AK333" s="28"/>
      <c r="AL333" s="28"/>
      <c r="AM333" s="29" t="s">
        <v>954</v>
      </c>
      <c r="AO333" t="str">
        <f t="shared" si="89"/>
        <v>san vicente ferrer</v>
      </c>
      <c r="AP333" t="str">
        <f t="shared" si="90"/>
        <v>antioquia</v>
      </c>
      <c r="AQ333" t="b">
        <f t="shared" si="91"/>
        <v>0</v>
      </c>
      <c r="AR333" t="str">
        <f t="shared" si="92"/>
        <v>san vicente ferrer</v>
      </c>
      <c r="AS333" s="30">
        <f t="shared" si="93"/>
        <v>0</v>
      </c>
      <c r="AT333" s="30">
        <f t="shared" si="94"/>
        <v>0</v>
      </c>
      <c r="AU333" s="30">
        <f t="shared" si="95"/>
        <v>0</v>
      </c>
      <c r="AV333" s="30">
        <f t="shared" si="96"/>
        <v>3</v>
      </c>
      <c r="AZ333" s="31">
        <f t="shared" si="97"/>
        <v>3</v>
      </c>
      <c r="BA333" s="31">
        <f t="shared" si="98"/>
        <v>3</v>
      </c>
      <c r="BB333" s="32">
        <f>IFERROR(INDEX('Análisis general'!$E$4:$E$28,MATCH($B333,'Análisis general'!$B$4:$B$28,0)),"")</f>
        <v>9.5</v>
      </c>
      <c r="BC333" s="31">
        <f t="shared" si="99"/>
        <v>3</v>
      </c>
      <c r="BD333" s="32">
        <f t="shared" si="100"/>
        <v>3.8571428571428568</v>
      </c>
      <c r="BE333" s="32">
        <f t="shared" si="101"/>
        <v>5.3999999999999995</v>
      </c>
    </row>
    <row r="334" spans="1:57" ht="25.5" customHeight="1" x14ac:dyDescent="0.25">
      <c r="A334" s="33" t="s">
        <v>955</v>
      </c>
      <c r="B334" s="11" t="s">
        <v>10</v>
      </c>
      <c r="C334" s="34" t="s">
        <v>112</v>
      </c>
      <c r="D334" s="24">
        <f t="shared" si="85"/>
        <v>3</v>
      </c>
      <c r="E334" s="59">
        <f t="shared" si="86"/>
        <v>3.8571428571428568</v>
      </c>
      <c r="F334" s="59">
        <f t="shared" si="87"/>
        <v>5.3999999999999995</v>
      </c>
      <c r="G334" s="11" t="s">
        <v>956</v>
      </c>
      <c r="H334" s="25" t="s">
        <v>106</v>
      </c>
      <c r="I334" s="25" t="s">
        <v>106</v>
      </c>
      <c r="J334" s="26" t="s">
        <v>106</v>
      </c>
      <c r="K334" s="26" t="str">
        <f>IF($AQ334,"#N/D",IFERROR(INDEX(Olimpiadas!$A$2:$A$61,MATCH($AO334,Olimpiadas!$C$2:$C$61,0)),"#N/D"))</f>
        <v>#N/D</v>
      </c>
      <c r="L334" s="26" t="str">
        <f>IF($AQ334,"#N/D",IFERROR(INDEX(Minculturas!$A$2:$A$48,MATCH($AO334,Minculturas!$C$2:$C$48,0)),"#N/D"))</f>
        <v>#N/D</v>
      </c>
      <c r="M334" s="26" t="str">
        <f>IF($AQ334,"#N/D",IFERROR(INDEX(Minculturas!$B$2:$B$48,MATCH($AO334,Minculturas!$C$2:$C$48,0)),"#N/D"))</f>
        <v>#N/D</v>
      </c>
      <c r="N334" s="27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</v>
      </c>
      <c r="AG334" s="27">
        <f t="shared" si="88"/>
        <v>0</v>
      </c>
      <c r="AH334" s="28"/>
      <c r="AI334" s="28"/>
      <c r="AJ334" s="28">
        <v>28.1</v>
      </c>
      <c r="AK334" s="28"/>
      <c r="AL334" s="28"/>
      <c r="AM334" s="29" t="s">
        <v>365</v>
      </c>
      <c r="AO334" t="str">
        <f t="shared" si="89"/>
        <v>santa barbara</v>
      </c>
      <c r="AP334" t="str">
        <f t="shared" si="90"/>
        <v>antioquia</v>
      </c>
      <c r="AQ334" t="b">
        <f t="shared" si="91"/>
        <v>0</v>
      </c>
      <c r="AR334" t="str">
        <f t="shared" si="92"/>
        <v>santa barbara</v>
      </c>
      <c r="AS334" s="30">
        <f t="shared" si="93"/>
        <v>0</v>
      </c>
      <c r="AT334" s="30">
        <f t="shared" si="94"/>
        <v>0</v>
      </c>
      <c r="AU334" s="30">
        <f t="shared" si="95"/>
        <v>0</v>
      </c>
      <c r="AV334" s="30">
        <f t="shared" si="96"/>
        <v>3</v>
      </c>
      <c r="AZ334" s="31">
        <f t="shared" si="97"/>
        <v>3</v>
      </c>
      <c r="BA334" s="31">
        <f t="shared" si="98"/>
        <v>3</v>
      </c>
      <c r="BB334" s="32">
        <f>IFERROR(INDEX('Análisis general'!$E$4:$E$28,MATCH($B334,'Análisis general'!$B$4:$B$28,0)),"")</f>
        <v>9.5</v>
      </c>
      <c r="BC334" s="31">
        <f t="shared" si="99"/>
        <v>3</v>
      </c>
      <c r="BD334" s="32">
        <f t="shared" si="100"/>
        <v>3.8571428571428568</v>
      </c>
      <c r="BE334" s="32">
        <f t="shared" si="101"/>
        <v>5.3999999999999995</v>
      </c>
    </row>
    <row r="335" spans="1:57" ht="25.5" customHeight="1" x14ac:dyDescent="0.25">
      <c r="A335" s="33" t="s">
        <v>957</v>
      </c>
      <c r="B335" s="11" t="s">
        <v>10</v>
      </c>
      <c r="C335" s="34" t="s">
        <v>112</v>
      </c>
      <c r="D335" s="24">
        <f t="shared" si="85"/>
        <v>3</v>
      </c>
      <c r="E335" s="59">
        <f t="shared" si="86"/>
        <v>3.8571428571428568</v>
      </c>
      <c r="F335" s="59">
        <f t="shared" si="87"/>
        <v>5.3999999999999995</v>
      </c>
      <c r="G335" s="11" t="s">
        <v>958</v>
      </c>
      <c r="H335" s="25" t="s">
        <v>106</v>
      </c>
      <c r="I335" s="25" t="s">
        <v>106</v>
      </c>
      <c r="J335" s="26" t="s">
        <v>106</v>
      </c>
      <c r="K335" s="26" t="str">
        <f>IF($AQ335,"#N/D",IFERROR(INDEX(Olimpiadas!$A$2:$A$61,MATCH($AO335,Olimpiadas!$C$2:$C$61,0)),"#N/D"))</f>
        <v>#N/D</v>
      </c>
      <c r="L335" s="26" t="str">
        <f>IF($AQ335,"#N/D",IFERROR(INDEX(Minculturas!$A$2:$A$48,MATCH($AO335,Minculturas!$C$2:$C$48,0)),"#N/D"))</f>
        <v>#N/D</v>
      </c>
      <c r="M335" s="26" t="str">
        <f>IF($AQ335,"#N/D",IFERROR(INDEX(Minculturas!$B$2:$B$48,MATCH($AO335,Minculturas!$C$2:$C$48,0)),"#N/D"))</f>
        <v>#N/D</v>
      </c>
      <c r="N335" s="27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27">
        <f t="shared" si="88"/>
        <v>0</v>
      </c>
      <c r="AH335" s="28"/>
      <c r="AI335" s="28"/>
      <c r="AJ335" s="28">
        <v>41.5</v>
      </c>
      <c r="AK335" s="28"/>
      <c r="AL335" s="28"/>
      <c r="AM335" s="29" t="s">
        <v>365</v>
      </c>
      <c r="AO335" t="str">
        <f t="shared" si="89"/>
        <v>santo domingo</v>
      </c>
      <c r="AP335" t="str">
        <f t="shared" si="90"/>
        <v>antioquia</v>
      </c>
      <c r="AQ335" t="b">
        <f t="shared" si="91"/>
        <v>0</v>
      </c>
      <c r="AR335" t="str">
        <f t="shared" si="92"/>
        <v>santo domingo</v>
      </c>
      <c r="AS335" s="30">
        <f t="shared" si="93"/>
        <v>0</v>
      </c>
      <c r="AT335" s="30">
        <f t="shared" si="94"/>
        <v>0</v>
      </c>
      <c r="AU335" s="30">
        <f t="shared" si="95"/>
        <v>0</v>
      </c>
      <c r="AV335" s="30">
        <f t="shared" si="96"/>
        <v>3</v>
      </c>
      <c r="AZ335" s="31">
        <f t="shared" si="97"/>
        <v>3</v>
      </c>
      <c r="BA335" s="31">
        <f t="shared" si="98"/>
        <v>3</v>
      </c>
      <c r="BB335" s="32">
        <f>IFERROR(INDEX('Análisis general'!$E$4:$E$28,MATCH($B335,'Análisis general'!$B$4:$B$28,0)),"")</f>
        <v>9.5</v>
      </c>
      <c r="BC335" s="31">
        <f t="shared" si="99"/>
        <v>3</v>
      </c>
      <c r="BD335" s="32">
        <f t="shared" si="100"/>
        <v>3.8571428571428568</v>
      </c>
      <c r="BE335" s="32">
        <f t="shared" si="101"/>
        <v>5.3999999999999995</v>
      </c>
    </row>
    <row r="336" spans="1:57" ht="25.5" customHeight="1" x14ac:dyDescent="0.25">
      <c r="A336" s="33" t="s">
        <v>959</v>
      </c>
      <c r="B336" s="11" t="s">
        <v>10</v>
      </c>
      <c r="C336" s="34" t="s">
        <v>112</v>
      </c>
      <c r="D336" s="24">
        <f t="shared" si="85"/>
        <v>3</v>
      </c>
      <c r="E336" s="59">
        <f t="shared" si="86"/>
        <v>3.8571428571428568</v>
      </c>
      <c r="F336" s="59">
        <f t="shared" si="87"/>
        <v>5.3999999999999995</v>
      </c>
      <c r="G336" s="11" t="s">
        <v>960</v>
      </c>
      <c r="H336" s="25" t="s">
        <v>106</v>
      </c>
      <c r="I336" s="25" t="s">
        <v>106</v>
      </c>
      <c r="J336" s="26" t="s">
        <v>106</v>
      </c>
      <c r="K336" s="26" t="str">
        <f>IF($AQ336,"#N/D",IFERROR(INDEX(Olimpiadas!$A$2:$A$61,MATCH($AO336,Olimpiadas!$C$2:$C$61,0)),"#N/D"))</f>
        <v>#N/D</v>
      </c>
      <c r="L336" s="26" t="str">
        <f>IF($AQ336,"#N/D",IFERROR(INDEX(Minculturas!$A$2:$A$48,MATCH($AO336,Minculturas!$C$2:$C$48,0)),"#N/D"))</f>
        <v>#N/D</v>
      </c>
      <c r="M336" s="26" t="str">
        <f>IF($AQ336,"#N/D",IFERROR(INDEX(Minculturas!$B$2:$B$48,MATCH($AO336,Minculturas!$C$2:$C$48,0)),"#N/D"))</f>
        <v>#N/D</v>
      </c>
      <c r="N336" s="27">
        <v>1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1</v>
      </c>
      <c r="AC336" s="28">
        <v>0</v>
      </c>
      <c r="AD336" s="28">
        <v>0</v>
      </c>
      <c r="AE336" s="28">
        <v>0</v>
      </c>
      <c r="AF336" s="28">
        <v>0</v>
      </c>
      <c r="AG336" s="27">
        <f t="shared" si="88"/>
        <v>0</v>
      </c>
      <c r="AH336" s="28"/>
      <c r="AI336" s="28"/>
      <c r="AJ336" s="28">
        <v>42.6</v>
      </c>
      <c r="AK336" s="28"/>
      <c r="AL336" s="28"/>
      <c r="AM336" s="29" t="s">
        <v>114</v>
      </c>
      <c r="AO336" t="str">
        <f t="shared" si="89"/>
        <v>tarso</v>
      </c>
      <c r="AP336" t="str">
        <f t="shared" si="90"/>
        <v>antioquia</v>
      </c>
      <c r="AQ336" t="b">
        <f t="shared" si="91"/>
        <v>0</v>
      </c>
      <c r="AR336" t="str">
        <f t="shared" si="92"/>
        <v>tarso</v>
      </c>
      <c r="AS336" s="30">
        <f t="shared" si="93"/>
        <v>0</v>
      </c>
      <c r="AT336" s="30">
        <f t="shared" si="94"/>
        <v>0</v>
      </c>
      <c r="AU336" s="30">
        <f t="shared" si="95"/>
        <v>0</v>
      </c>
      <c r="AV336" s="30">
        <f t="shared" si="96"/>
        <v>3</v>
      </c>
      <c r="AZ336" s="31">
        <f t="shared" si="97"/>
        <v>3</v>
      </c>
      <c r="BA336" s="31">
        <f t="shared" si="98"/>
        <v>3</v>
      </c>
      <c r="BB336" s="32">
        <f>IFERROR(INDEX('Análisis general'!$E$4:$E$28,MATCH($B336,'Análisis general'!$B$4:$B$28,0)),"")</f>
        <v>9.5</v>
      </c>
      <c r="BC336" s="31">
        <f t="shared" si="99"/>
        <v>3</v>
      </c>
      <c r="BD336" s="32">
        <f t="shared" si="100"/>
        <v>3.8571428571428568</v>
      </c>
      <c r="BE336" s="32">
        <f t="shared" si="101"/>
        <v>5.3999999999999995</v>
      </c>
    </row>
    <row r="337" spans="1:57" ht="25.5" customHeight="1" x14ac:dyDescent="0.25">
      <c r="A337" s="33" t="s">
        <v>961</v>
      </c>
      <c r="B337" s="11" t="s">
        <v>10</v>
      </c>
      <c r="C337" s="34" t="s">
        <v>112</v>
      </c>
      <c r="D337" s="24">
        <f t="shared" si="85"/>
        <v>3</v>
      </c>
      <c r="E337" s="59">
        <f t="shared" si="86"/>
        <v>3.8571428571428568</v>
      </c>
      <c r="F337" s="59">
        <f t="shared" si="87"/>
        <v>5.3999999999999995</v>
      </c>
      <c r="G337" s="11" t="s">
        <v>962</v>
      </c>
      <c r="H337" s="25" t="s">
        <v>106</v>
      </c>
      <c r="I337" s="25" t="s">
        <v>106</v>
      </c>
      <c r="J337" s="26" t="s">
        <v>106</v>
      </c>
      <c r="K337" s="26" t="str">
        <f>IF($AQ337,"#N/D",IFERROR(INDEX(Olimpiadas!$A$2:$A$61,MATCH($AO337,Olimpiadas!$C$2:$C$61,0)),"#N/D"))</f>
        <v>#N/D</v>
      </c>
      <c r="L337" s="26" t="str">
        <f>IF($AQ337,"#N/D",IFERROR(INDEX(Minculturas!$A$2:$A$48,MATCH($AO337,Minculturas!$C$2:$C$48,0)),"#N/D"))</f>
        <v>#N/D</v>
      </c>
      <c r="M337" s="26" t="str">
        <f>IF($AQ337,"#N/D",IFERROR(INDEX(Minculturas!$B$2:$B$48,MATCH($AO337,Minculturas!$C$2:$C$48,0)),"#N/D"))</f>
        <v>#N/D</v>
      </c>
      <c r="N337" s="27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8">
        <v>0</v>
      </c>
      <c r="AF337" s="28">
        <v>0</v>
      </c>
      <c r="AG337" s="27">
        <f t="shared" si="88"/>
        <v>0</v>
      </c>
      <c r="AH337" s="28"/>
      <c r="AI337" s="28"/>
      <c r="AJ337" s="28">
        <v>55.6</v>
      </c>
      <c r="AK337" s="28"/>
      <c r="AL337" s="28"/>
      <c r="AM337" s="29" t="s">
        <v>365</v>
      </c>
      <c r="AO337" t="str">
        <f t="shared" si="89"/>
        <v>uramita</v>
      </c>
      <c r="AP337" t="str">
        <f t="shared" si="90"/>
        <v>antioquia</v>
      </c>
      <c r="AQ337" t="b">
        <f t="shared" si="91"/>
        <v>0</v>
      </c>
      <c r="AR337" t="str">
        <f t="shared" si="92"/>
        <v>uramita</v>
      </c>
      <c r="AS337" s="30">
        <f t="shared" si="93"/>
        <v>0</v>
      </c>
      <c r="AT337" s="30">
        <f t="shared" si="94"/>
        <v>0</v>
      </c>
      <c r="AU337" s="30">
        <f t="shared" si="95"/>
        <v>0</v>
      </c>
      <c r="AV337" s="30">
        <f t="shared" si="96"/>
        <v>3</v>
      </c>
      <c r="AZ337" s="31">
        <f t="shared" si="97"/>
        <v>3</v>
      </c>
      <c r="BA337" s="31">
        <f t="shared" si="98"/>
        <v>3</v>
      </c>
      <c r="BB337" s="32">
        <f>IFERROR(INDEX('Análisis general'!$E$4:$E$28,MATCH($B337,'Análisis general'!$B$4:$B$28,0)),"")</f>
        <v>9.5</v>
      </c>
      <c r="BC337" s="31">
        <f t="shared" si="99"/>
        <v>3</v>
      </c>
      <c r="BD337" s="32">
        <f t="shared" si="100"/>
        <v>3.8571428571428568</v>
      </c>
      <c r="BE337" s="32">
        <f t="shared" si="101"/>
        <v>5.3999999999999995</v>
      </c>
    </row>
    <row r="338" spans="1:57" ht="25.5" customHeight="1" x14ac:dyDescent="0.25">
      <c r="A338" s="33" t="s">
        <v>963</v>
      </c>
      <c r="B338" s="11" t="s">
        <v>10</v>
      </c>
      <c r="C338" s="34" t="s">
        <v>112</v>
      </c>
      <c r="D338" s="24">
        <f t="shared" si="85"/>
        <v>3</v>
      </c>
      <c r="E338" s="59">
        <f t="shared" si="86"/>
        <v>3.8571428571428568</v>
      </c>
      <c r="F338" s="59">
        <f t="shared" si="87"/>
        <v>5.3999999999999995</v>
      </c>
      <c r="G338" s="11" t="s">
        <v>964</v>
      </c>
      <c r="H338" s="25" t="s">
        <v>106</v>
      </c>
      <c r="I338" s="25" t="s">
        <v>106</v>
      </c>
      <c r="J338" s="26" t="s">
        <v>106</v>
      </c>
      <c r="K338" s="26" t="str">
        <f>IF($AQ338,"#N/D",IFERROR(INDEX(Olimpiadas!$A$2:$A$61,MATCH($AO338,Olimpiadas!$C$2:$C$61,0)),"#N/D"))</f>
        <v>#N/D</v>
      </c>
      <c r="L338" s="26" t="str">
        <f>IF($AQ338,"#N/D",IFERROR(INDEX(Minculturas!$A$2:$A$48,MATCH($AO338,Minculturas!$C$2:$C$48,0)),"#N/D"))</f>
        <v>#N/D</v>
      </c>
      <c r="M338" s="26" t="str">
        <f>IF($AQ338,"#N/D",IFERROR(INDEX(Minculturas!$B$2:$B$48,MATCH($AO338,Minculturas!$C$2:$C$48,0)),"#N/D"))</f>
        <v>#N/D</v>
      </c>
      <c r="N338" s="27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  <c r="AF338" s="28">
        <v>0</v>
      </c>
      <c r="AG338" s="27">
        <f t="shared" si="88"/>
        <v>0</v>
      </c>
      <c r="AH338" s="28"/>
      <c r="AI338" s="28"/>
      <c r="AJ338" s="28">
        <v>59.3</v>
      </c>
      <c r="AK338" s="28"/>
      <c r="AL338" s="28"/>
      <c r="AM338" s="29" t="s">
        <v>657</v>
      </c>
      <c r="AO338" t="str">
        <f t="shared" si="89"/>
        <v>valdivia</v>
      </c>
      <c r="AP338" t="str">
        <f t="shared" si="90"/>
        <v>antioquia</v>
      </c>
      <c r="AQ338" t="b">
        <f t="shared" si="91"/>
        <v>0</v>
      </c>
      <c r="AR338" t="str">
        <f t="shared" si="92"/>
        <v>valdivia</v>
      </c>
      <c r="AS338" s="30">
        <f t="shared" si="93"/>
        <v>0</v>
      </c>
      <c r="AT338" s="30">
        <f t="shared" si="94"/>
        <v>0</v>
      </c>
      <c r="AU338" s="30">
        <f t="shared" si="95"/>
        <v>0</v>
      </c>
      <c r="AV338" s="30">
        <f t="shared" si="96"/>
        <v>3</v>
      </c>
      <c r="AZ338" s="31">
        <f t="shared" si="97"/>
        <v>3</v>
      </c>
      <c r="BA338" s="31">
        <f t="shared" si="98"/>
        <v>3</v>
      </c>
      <c r="BB338" s="32">
        <f>IFERROR(INDEX('Análisis general'!$E$4:$E$28,MATCH($B338,'Análisis general'!$B$4:$B$28,0)),"")</f>
        <v>9.5</v>
      </c>
      <c r="BC338" s="31">
        <f t="shared" si="99"/>
        <v>3</v>
      </c>
      <c r="BD338" s="32">
        <f t="shared" si="100"/>
        <v>3.8571428571428568</v>
      </c>
      <c r="BE338" s="32">
        <f t="shared" si="101"/>
        <v>5.3999999999999995</v>
      </c>
    </row>
    <row r="339" spans="1:57" ht="25.5" customHeight="1" x14ac:dyDescent="0.25">
      <c r="A339" s="33" t="s">
        <v>965</v>
      </c>
      <c r="B339" s="11" t="s">
        <v>10</v>
      </c>
      <c r="C339" s="34" t="s">
        <v>112</v>
      </c>
      <c r="D339" s="24">
        <f t="shared" si="85"/>
        <v>3</v>
      </c>
      <c r="E339" s="59">
        <f t="shared" si="86"/>
        <v>3.8571428571428568</v>
      </c>
      <c r="F339" s="59">
        <f t="shared" si="87"/>
        <v>5.3999999999999995</v>
      </c>
      <c r="G339" s="11" t="s">
        <v>966</v>
      </c>
      <c r="H339" s="25" t="s">
        <v>106</v>
      </c>
      <c r="I339" s="25" t="s">
        <v>106</v>
      </c>
      <c r="J339" s="26" t="s">
        <v>106</v>
      </c>
      <c r="K339" s="26" t="str">
        <f>IF($AQ339,"#N/D",IFERROR(INDEX(Olimpiadas!$A$2:$A$61,MATCH($AO339,Olimpiadas!$C$2:$C$61,0)),"#N/D"))</f>
        <v>#N/D</v>
      </c>
      <c r="L339" s="26" t="str">
        <f>IF($AQ339,"#N/D",IFERROR(INDEX(Minculturas!$A$2:$A$48,MATCH($AO339,Minculturas!$C$2:$C$48,0)),"#N/D"))</f>
        <v>#N/D</v>
      </c>
      <c r="M339" s="26" t="str">
        <f>IF($AQ339,"#N/D",IFERROR(INDEX(Minculturas!$B$2:$B$48,MATCH($AO339,Minculturas!$C$2:$C$48,0)),"#N/D"))</f>
        <v>#N/D</v>
      </c>
      <c r="N339" s="27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8">
        <v>0</v>
      </c>
      <c r="AG339" s="27">
        <f t="shared" si="88"/>
        <v>0</v>
      </c>
      <c r="AH339" s="28"/>
      <c r="AI339" s="28"/>
      <c r="AJ339" s="28">
        <v>25.9</v>
      </c>
      <c r="AK339" s="28"/>
      <c r="AL339" s="28"/>
      <c r="AM339" s="29" t="s">
        <v>365</v>
      </c>
      <c r="AO339" t="str">
        <f t="shared" si="89"/>
        <v>valparaiso</v>
      </c>
      <c r="AP339" t="str">
        <f t="shared" si="90"/>
        <v>antioquia</v>
      </c>
      <c r="AQ339" t="b">
        <f t="shared" si="91"/>
        <v>0</v>
      </c>
      <c r="AR339" t="str">
        <f t="shared" si="92"/>
        <v>valparaiso</v>
      </c>
      <c r="AS339" s="30">
        <f t="shared" si="93"/>
        <v>0</v>
      </c>
      <c r="AT339" s="30">
        <f t="shared" si="94"/>
        <v>0</v>
      </c>
      <c r="AU339" s="30">
        <f t="shared" si="95"/>
        <v>0</v>
      </c>
      <c r="AV339" s="30">
        <f t="shared" si="96"/>
        <v>3</v>
      </c>
      <c r="AZ339" s="31">
        <f t="shared" si="97"/>
        <v>3</v>
      </c>
      <c r="BA339" s="31">
        <f t="shared" si="98"/>
        <v>3</v>
      </c>
      <c r="BB339" s="32">
        <f>IFERROR(INDEX('Análisis general'!$E$4:$E$28,MATCH($B339,'Análisis general'!$B$4:$B$28,0)),"")</f>
        <v>9.5</v>
      </c>
      <c r="BC339" s="31">
        <f t="shared" si="99"/>
        <v>3</v>
      </c>
      <c r="BD339" s="32">
        <f t="shared" si="100"/>
        <v>3.8571428571428568</v>
      </c>
      <c r="BE339" s="32">
        <f t="shared" si="101"/>
        <v>5.3999999999999995</v>
      </c>
    </row>
    <row r="340" spans="1:57" ht="25.5" customHeight="1" x14ac:dyDescent="0.25">
      <c r="A340" s="33" t="s">
        <v>967</v>
      </c>
      <c r="B340" s="11" t="s">
        <v>10</v>
      </c>
      <c r="C340" s="34" t="s">
        <v>112</v>
      </c>
      <c r="D340" s="24">
        <f t="shared" si="85"/>
        <v>3</v>
      </c>
      <c r="E340" s="59">
        <f t="shared" si="86"/>
        <v>3.8571428571428568</v>
      </c>
      <c r="F340" s="59">
        <f t="shared" si="87"/>
        <v>5.3999999999999995</v>
      </c>
      <c r="G340" s="11" t="s">
        <v>968</v>
      </c>
      <c r="H340" s="25" t="s">
        <v>106</v>
      </c>
      <c r="I340" s="25" t="s">
        <v>106</v>
      </c>
      <c r="J340" s="26" t="s">
        <v>106</v>
      </c>
      <c r="K340" s="26" t="str">
        <f>IF($AQ340,"#N/D",IFERROR(INDEX(Olimpiadas!$A$2:$A$61,MATCH($AO340,Olimpiadas!$C$2:$C$61,0)),"#N/D"))</f>
        <v>#N/D</v>
      </c>
      <c r="L340" s="26" t="str">
        <f>IF($AQ340,"#N/D",IFERROR(INDEX(Minculturas!$A$2:$A$48,MATCH($AO340,Minculturas!$C$2:$C$48,0)),"#N/D"))</f>
        <v>#N/D</v>
      </c>
      <c r="M340" s="26" t="str">
        <f>IF($AQ340,"#N/D",IFERROR(INDEX(Minculturas!$B$2:$B$48,MATCH($AO340,Minculturas!$C$2:$C$48,0)),"#N/D"))</f>
        <v>#N/D</v>
      </c>
      <c r="N340" s="27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8">
        <v>0</v>
      </c>
      <c r="AG340" s="27">
        <f t="shared" si="88"/>
        <v>0</v>
      </c>
      <c r="AH340" s="28"/>
      <c r="AI340" s="28"/>
      <c r="AJ340" s="28">
        <v>41</v>
      </c>
      <c r="AK340" s="28"/>
      <c r="AL340" s="28"/>
      <c r="AM340" s="29" t="s">
        <v>365</v>
      </c>
      <c r="AO340" t="str">
        <f t="shared" si="89"/>
        <v>vegachi</v>
      </c>
      <c r="AP340" t="str">
        <f t="shared" si="90"/>
        <v>antioquia</v>
      </c>
      <c r="AQ340" t="b">
        <f t="shared" si="91"/>
        <v>0</v>
      </c>
      <c r="AR340" t="str">
        <f t="shared" si="92"/>
        <v>vegachi</v>
      </c>
      <c r="AS340" s="30">
        <f t="shared" si="93"/>
        <v>0</v>
      </c>
      <c r="AT340" s="30">
        <f t="shared" si="94"/>
        <v>0</v>
      </c>
      <c r="AU340" s="30">
        <f t="shared" si="95"/>
        <v>0</v>
      </c>
      <c r="AV340" s="30">
        <f t="shared" si="96"/>
        <v>3</v>
      </c>
      <c r="AZ340" s="31">
        <f t="shared" si="97"/>
        <v>3</v>
      </c>
      <c r="BA340" s="31">
        <f t="shared" si="98"/>
        <v>3</v>
      </c>
      <c r="BB340" s="32">
        <f>IFERROR(INDEX('Análisis general'!$E$4:$E$28,MATCH($B340,'Análisis general'!$B$4:$B$28,0)),"")</f>
        <v>9.5</v>
      </c>
      <c r="BC340" s="31">
        <f t="shared" si="99"/>
        <v>3</v>
      </c>
      <c r="BD340" s="32">
        <f t="shared" si="100"/>
        <v>3.8571428571428568</v>
      </c>
      <c r="BE340" s="32">
        <f t="shared" si="101"/>
        <v>5.3999999999999995</v>
      </c>
    </row>
    <row r="341" spans="1:57" ht="25.5" customHeight="1" x14ac:dyDescent="0.25">
      <c r="A341" s="33" t="s">
        <v>969</v>
      </c>
      <c r="B341" s="11" t="s">
        <v>10</v>
      </c>
      <c r="C341" s="34" t="s">
        <v>112</v>
      </c>
      <c r="D341" s="24">
        <f t="shared" si="85"/>
        <v>3</v>
      </c>
      <c r="E341" s="59">
        <f t="shared" si="86"/>
        <v>3.8571428571428568</v>
      </c>
      <c r="F341" s="59">
        <f t="shared" si="87"/>
        <v>5.3999999999999995</v>
      </c>
      <c r="G341" s="11" t="s">
        <v>970</v>
      </c>
      <c r="H341" s="25" t="s">
        <v>106</v>
      </c>
      <c r="I341" s="25" t="s">
        <v>106</v>
      </c>
      <c r="J341" s="26" t="s">
        <v>106</v>
      </c>
      <c r="K341" s="26" t="str">
        <f>IF($AQ341,"#N/D",IFERROR(INDEX(Olimpiadas!$A$2:$A$61,MATCH($AO341,Olimpiadas!$C$2:$C$61,0)),"#N/D"))</f>
        <v>#N/D</v>
      </c>
      <c r="L341" s="26" t="str">
        <f>IF($AQ341,"#N/D",IFERROR(INDEX(Minculturas!$A$2:$A$48,MATCH($AO341,Minculturas!$C$2:$C$48,0)),"#N/D"))</f>
        <v>#N/D</v>
      </c>
      <c r="M341" s="26" t="str">
        <f>IF($AQ341,"#N/D",IFERROR(INDEX(Minculturas!$B$2:$B$48,MATCH($AO341,Minculturas!$C$2:$C$48,0)),"#N/D"))</f>
        <v>#N/D</v>
      </c>
      <c r="N341" s="27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8">
        <v>0</v>
      </c>
      <c r="AG341" s="27">
        <f t="shared" si="88"/>
        <v>0</v>
      </c>
      <c r="AH341" s="28"/>
      <c r="AI341" s="28"/>
      <c r="AJ341" s="28">
        <v>33.799999999999997</v>
      </c>
      <c r="AK341" s="28"/>
      <c r="AL341" s="28"/>
      <c r="AM341" s="29" t="s">
        <v>657</v>
      </c>
      <c r="AO341" t="str">
        <f t="shared" si="89"/>
        <v>yarumal</v>
      </c>
      <c r="AP341" t="str">
        <f t="shared" si="90"/>
        <v>antioquia</v>
      </c>
      <c r="AQ341" t="b">
        <f t="shared" si="91"/>
        <v>0</v>
      </c>
      <c r="AR341" t="str">
        <f t="shared" si="92"/>
        <v>yarumal</v>
      </c>
      <c r="AS341" s="30">
        <f t="shared" si="93"/>
        <v>0</v>
      </c>
      <c r="AT341" s="30">
        <f t="shared" si="94"/>
        <v>0</v>
      </c>
      <c r="AU341" s="30">
        <f t="shared" si="95"/>
        <v>0</v>
      </c>
      <c r="AV341" s="30">
        <f t="shared" si="96"/>
        <v>3</v>
      </c>
      <c r="AZ341" s="31">
        <f t="shared" si="97"/>
        <v>3</v>
      </c>
      <c r="BA341" s="31">
        <f t="shared" si="98"/>
        <v>3</v>
      </c>
      <c r="BB341" s="32">
        <f>IFERROR(INDEX('Análisis general'!$E$4:$E$28,MATCH($B341,'Análisis general'!$B$4:$B$28,0)),"")</f>
        <v>9.5</v>
      </c>
      <c r="BC341" s="31">
        <f t="shared" si="99"/>
        <v>3</v>
      </c>
      <c r="BD341" s="32">
        <f t="shared" si="100"/>
        <v>3.8571428571428568</v>
      </c>
      <c r="BE341" s="32">
        <f t="shared" si="101"/>
        <v>5.3999999999999995</v>
      </c>
    </row>
    <row r="342" spans="1:57" ht="25.5" customHeight="1" x14ac:dyDescent="0.25">
      <c r="A342" s="33" t="s">
        <v>251</v>
      </c>
      <c r="B342" s="11" t="s">
        <v>49</v>
      </c>
      <c r="C342" s="62" t="s">
        <v>1216</v>
      </c>
      <c r="D342" s="24">
        <f t="shared" si="85"/>
        <v>5</v>
      </c>
      <c r="E342" s="59">
        <f t="shared" si="86"/>
        <v>5.5714285714285712</v>
      </c>
      <c r="F342" s="59">
        <f t="shared" si="87"/>
        <v>5.3999999999999995</v>
      </c>
      <c r="G342" s="11" t="s">
        <v>253</v>
      </c>
      <c r="H342" s="25" t="str">
        <f>IFERROR(IF($AQ342,INDEX(cpe!$C$2:$C$307,MATCH($AR342,cpe!$F$2:$F$307,0)),INDEX(cpe!$C$2:$C$307,MATCH($AR342,cpe!$D$2:$D$307,0))),"#N/D")</f>
        <v>Inst Tec Jorge Gaitan Duran</v>
      </c>
      <c r="I342" s="25" t="str">
        <f>IFERROR(IF($AQ342,INDEX(cpe!$B$2:$B$307,MATCH($AR342,cpe!$F$2:$F$307,0)),INDEX(cpe!$B$2:$B$307,MATCH($AR342,cpe!$D$2:$D$307,0))),"#N/D")</f>
        <v>Cali</v>
      </c>
      <c r="J342" s="26" t="str">
        <f>IF($AQ342,"#N/D",IFERROR(INDEX(Olimpiadas!$B$2:$B$61,MATCH($AO342,Olimpiadas!$C$2:$C$61,0)),"#N/D"))</f>
        <v>Cali</v>
      </c>
      <c r="K342" s="42" t="str">
        <f>IF($AQ342,"#N/D",IFERROR(INDEX(Olimpiadas!$A$2:$A$61,MATCH($AO342,Olimpiadas!$C$2:$C$61,0)),"#N/D"))</f>
        <v>INSTITUCIÓN EDUCATIVA JUAN DE AMPUDIA</v>
      </c>
      <c r="L342" s="42" t="str">
        <f>IF($AQ342,"#N/D",IFERROR(INDEX(Minculturas!$A$2:$A$48,MATCH($AO342,Minculturas!$C$2:$C$48,0)),"#N/D"))</f>
        <v>#N/D</v>
      </c>
      <c r="M342" s="42" t="str">
        <f>IF($AQ342,"#N/D",IFERROR(INDEX(Minculturas!$B$2:$B$48,MATCH($AO342,Minculturas!$C$2:$C$48,0)),"#N/D"))</f>
        <v>#N/D</v>
      </c>
      <c r="N342" s="27">
        <v>466</v>
      </c>
      <c r="O342" s="28">
        <v>48</v>
      </c>
      <c r="P342" s="28">
        <v>81</v>
      </c>
      <c r="Q342" s="28">
        <v>11</v>
      </c>
      <c r="R342" s="28">
        <v>45</v>
      </c>
      <c r="S342" s="28">
        <v>14</v>
      </c>
      <c r="T342" s="28">
        <v>17</v>
      </c>
      <c r="U342" s="28">
        <v>93</v>
      </c>
      <c r="V342" s="28">
        <v>4</v>
      </c>
      <c r="W342" s="28">
        <v>0</v>
      </c>
      <c r="X342" s="28">
        <v>11</v>
      </c>
      <c r="Y342" s="28">
        <v>46</v>
      </c>
      <c r="Z342" s="28">
        <v>3</v>
      </c>
      <c r="AA342" s="28">
        <v>37</v>
      </c>
      <c r="AB342" s="28">
        <v>54</v>
      </c>
      <c r="AC342" s="28">
        <v>0</v>
      </c>
      <c r="AD342" s="28">
        <v>0</v>
      </c>
      <c r="AE342" s="28">
        <v>2</v>
      </c>
      <c r="AF342" s="28">
        <v>0</v>
      </c>
      <c r="AG342" s="27">
        <f t="shared" si="88"/>
        <v>324</v>
      </c>
      <c r="AH342" s="28" t="s">
        <v>254</v>
      </c>
      <c r="AI342" s="28" t="s">
        <v>255</v>
      </c>
      <c r="AJ342" s="28">
        <v>11.9</v>
      </c>
      <c r="AK342" s="28"/>
      <c r="AL342" s="28"/>
      <c r="AM342" s="29" t="s">
        <v>256</v>
      </c>
      <c r="AO342" t="str">
        <f t="shared" si="89"/>
        <v>cali</v>
      </c>
      <c r="AP342" t="str">
        <f t="shared" si="90"/>
        <v>valle del cauca</v>
      </c>
      <c r="AQ342" t="b">
        <f t="shared" si="91"/>
        <v>0</v>
      </c>
      <c r="AR342" t="str">
        <f t="shared" si="92"/>
        <v>cali</v>
      </c>
      <c r="AS342" s="30">
        <f t="shared" si="93"/>
        <v>2</v>
      </c>
      <c r="AT342" s="30">
        <f t="shared" si="94"/>
        <v>324</v>
      </c>
      <c r="AU342" s="30">
        <f t="shared" si="95"/>
        <v>3</v>
      </c>
      <c r="AV342" s="30">
        <f t="shared" si="96"/>
        <v>0</v>
      </c>
      <c r="AZ342" s="31">
        <f t="shared" si="97"/>
        <v>0</v>
      </c>
      <c r="BA342" s="31">
        <f t="shared" si="98"/>
        <v>5</v>
      </c>
      <c r="BB342" s="32">
        <f>IFERROR(INDEX('Análisis general'!$E$4:$E$28,MATCH($B342,'Análisis general'!$B$4:$B$28,0)),"")</f>
        <v>4.9000000000000004</v>
      </c>
      <c r="BC342" s="32">
        <f t="shared" si="99"/>
        <v>3</v>
      </c>
      <c r="BD342" s="32">
        <f t="shared" si="100"/>
        <v>5.5714285714285712</v>
      </c>
      <c r="BE342" s="32">
        <f t="shared" si="101"/>
        <v>5.3999999999999995</v>
      </c>
    </row>
    <row r="343" spans="1:57" ht="25.5" customHeight="1" x14ac:dyDescent="0.25">
      <c r="A343" s="33" t="s">
        <v>983</v>
      </c>
      <c r="B343" s="11" t="s">
        <v>17</v>
      </c>
      <c r="C343" s="34" t="s">
        <v>112</v>
      </c>
      <c r="D343" s="24">
        <f t="shared" si="85"/>
        <v>5</v>
      </c>
      <c r="E343" s="59">
        <f t="shared" si="86"/>
        <v>5.5714285714285712</v>
      </c>
      <c r="F343" s="59">
        <f t="shared" si="87"/>
        <v>5.3999999999999995</v>
      </c>
      <c r="G343" s="11" t="s">
        <v>17</v>
      </c>
      <c r="H343" s="25" t="str">
        <f>IFERROR(IF($AQ343,INDEX(cpe!$C$2:$C$307,MATCH($AR343,cpe!$F$2:$F$307,0)),INDEX(cpe!$C$2:$C$307,MATCH($AR343,cpe!$D$2:$D$307,0))),"#N/D")</f>
        <v>Institucion Educativa el Cruce de Santa Rosa</v>
      </c>
      <c r="I343" s="25" t="str">
        <f>IFERROR(IF($AQ343,INDEX(cpe!$B$2:$B$307,MATCH($AR343,cpe!$F$2:$F$307,0)),INDEX(cpe!$B$2:$B$307,MATCH($AR343,cpe!$D$2:$D$307,0))),"#N/D")</f>
        <v>Bogotá D.C.</v>
      </c>
      <c r="J343" s="26" t="str">
        <f>IF($AQ343,"#N/D",IFERROR(INDEX(Olimpiadas!$B$2:$B$61,MATCH($AO343,Olimpiadas!$C$2:$C$61,0)),"#N/D"))</f>
        <v>Bogotá D.C.</v>
      </c>
      <c r="K343" s="26" t="str">
        <f>IF($AQ343,"#N/D",IFERROR(INDEX(Olimpiadas!$A$2:$A$61,MATCH($AO343,Olimpiadas!$C$2:$C$61,0)),"#N/D"))</f>
        <v xml:space="preserve">INSTITUCIÓN EDUCATIVA DISTRITAL COLEGIO NUEVA DELHI </v>
      </c>
      <c r="L343" s="26" t="str">
        <f>IF($AQ343,"#N/D",IFERROR(INDEX(Minculturas!$A$2:$A$48,MATCH($AO343,Minculturas!$C$2:$C$48,0)),"#N/D"))</f>
        <v>#N/D</v>
      </c>
      <c r="M343" s="26" t="str">
        <f>IF($AQ343,"#N/D",IFERROR(INDEX(Minculturas!$B$2:$B$48,MATCH($AO343,Minculturas!$C$2:$C$48,0)),"#N/D"))</f>
        <v>#N/D</v>
      </c>
      <c r="N343" s="27">
        <v>109</v>
      </c>
      <c r="O343" s="28">
        <v>0</v>
      </c>
      <c r="P343" s="28">
        <v>8</v>
      </c>
      <c r="Q343" s="28">
        <v>0</v>
      </c>
      <c r="R343" s="28">
        <v>0</v>
      </c>
      <c r="S343" s="28">
        <v>0</v>
      </c>
      <c r="T343" s="28">
        <v>0</v>
      </c>
      <c r="U343" s="28">
        <v>7</v>
      </c>
      <c r="V343" s="28">
        <v>2</v>
      </c>
      <c r="W343" s="28">
        <v>0</v>
      </c>
      <c r="X343" s="28">
        <v>0</v>
      </c>
      <c r="Y343" s="28">
        <v>89</v>
      </c>
      <c r="Z343" s="28">
        <v>2</v>
      </c>
      <c r="AA343" s="28">
        <v>0</v>
      </c>
      <c r="AB343" s="28">
        <v>1</v>
      </c>
      <c r="AC343" s="28">
        <v>0</v>
      </c>
      <c r="AD343" s="28">
        <v>0</v>
      </c>
      <c r="AE343" s="28">
        <v>0</v>
      </c>
      <c r="AF343" s="28">
        <v>0</v>
      </c>
      <c r="AG343" s="27">
        <f t="shared" si="88"/>
        <v>17</v>
      </c>
      <c r="AH343" s="28"/>
      <c r="AI343" s="28"/>
      <c r="AJ343" s="28">
        <v>5.4</v>
      </c>
      <c r="AK343" s="28"/>
      <c r="AL343" s="28"/>
      <c r="AM343" s="29" t="s">
        <v>114</v>
      </c>
      <c r="AO343" t="str">
        <f t="shared" si="89"/>
        <v>bogota d c</v>
      </c>
      <c r="AP343" t="str">
        <f t="shared" si="90"/>
        <v>bogota d c</v>
      </c>
      <c r="AQ343" t="b">
        <f t="shared" si="91"/>
        <v>0</v>
      </c>
      <c r="AR343" t="str">
        <f t="shared" si="92"/>
        <v>bogota d c</v>
      </c>
      <c r="AS343" s="30">
        <f t="shared" si="93"/>
        <v>2</v>
      </c>
      <c r="AT343" s="30">
        <f t="shared" si="94"/>
        <v>17</v>
      </c>
      <c r="AU343" s="30">
        <f t="shared" si="95"/>
        <v>3</v>
      </c>
      <c r="AV343" s="30">
        <f t="shared" si="96"/>
        <v>0</v>
      </c>
      <c r="AZ343" s="31">
        <f t="shared" si="97"/>
        <v>0</v>
      </c>
      <c r="BA343" s="31">
        <f t="shared" si="98"/>
        <v>5</v>
      </c>
      <c r="BB343" s="32">
        <f>IFERROR(INDEX('Análisis general'!$E$4:$E$28,MATCH($B343,'Análisis general'!$B$4:$B$28,0)),"")</f>
        <v>2.2000000000000002</v>
      </c>
      <c r="BC343" s="31">
        <f t="shared" si="99"/>
        <v>3</v>
      </c>
      <c r="BD343" s="32">
        <f t="shared" si="100"/>
        <v>5.5714285714285712</v>
      </c>
      <c r="BE343" s="32">
        <f t="shared" si="101"/>
        <v>5.3999999999999995</v>
      </c>
    </row>
    <row r="344" spans="1:57" ht="25.5" customHeight="1" x14ac:dyDescent="0.25">
      <c r="A344" s="33" t="s">
        <v>978</v>
      </c>
      <c r="B344" s="11" t="s">
        <v>49</v>
      </c>
      <c r="C344" s="60" t="s">
        <v>1214</v>
      </c>
      <c r="D344" s="24">
        <f t="shared" si="85"/>
        <v>6</v>
      </c>
      <c r="E344" s="59">
        <f t="shared" si="86"/>
        <v>5.5714285714285712</v>
      </c>
      <c r="F344" s="59">
        <f t="shared" si="87"/>
        <v>5.3999999999999995</v>
      </c>
      <c r="G344" s="11" t="s">
        <v>979</v>
      </c>
      <c r="H344" s="25" t="s">
        <v>980</v>
      </c>
      <c r="I344" s="25" t="s">
        <v>979</v>
      </c>
      <c r="J344" s="26" t="s">
        <v>979</v>
      </c>
      <c r="K344" s="42" t="str">
        <f>IF($AQ344,"#N/D",IFERROR(INDEX(Olimpiadas!$A$2:$A$61,MATCH($AO344,Olimpiadas!$C$2:$C$61,0)),"#N/D"))</f>
        <v>INSTITUCIÓN EDUCATIVA GENERAL SANTANDER</v>
      </c>
      <c r="L344" s="42" t="str">
        <f>IF($AQ344,"#N/D",IFERROR(INDEX(Minculturas!$A$2:$A$48,MATCH($AO344,Minculturas!$C$2:$C$48,0)),"#N/D"))</f>
        <v>#N/D</v>
      </c>
      <c r="M344" s="42" t="str">
        <f>IF($AQ344,"#N/D",IFERROR(INDEX(Minculturas!$B$2:$B$48,MATCH($AO344,Minculturas!$C$2:$C$48,0)),"#N/D"))</f>
        <v>#N/D</v>
      </c>
      <c r="N344" s="27">
        <v>18</v>
      </c>
      <c r="O344" s="28">
        <v>0</v>
      </c>
      <c r="P344" s="28">
        <v>0</v>
      </c>
      <c r="Q344" s="28">
        <v>1</v>
      </c>
      <c r="R344" s="28">
        <v>1</v>
      </c>
      <c r="S344" s="28">
        <v>3</v>
      </c>
      <c r="T344" s="28">
        <v>1</v>
      </c>
      <c r="U344" s="28">
        <v>6</v>
      </c>
      <c r="V344" s="28">
        <v>1</v>
      </c>
      <c r="W344" s="28">
        <v>0</v>
      </c>
      <c r="X344" s="28">
        <v>0</v>
      </c>
      <c r="Y344" s="28">
        <v>1</v>
      </c>
      <c r="Z344" s="28">
        <v>0</v>
      </c>
      <c r="AA344" s="28">
        <v>0</v>
      </c>
      <c r="AB344" s="28">
        <v>4</v>
      </c>
      <c r="AC344" s="28">
        <v>0</v>
      </c>
      <c r="AD344" s="28">
        <v>0</v>
      </c>
      <c r="AE344" s="28">
        <v>0</v>
      </c>
      <c r="AF344" s="28">
        <v>0</v>
      </c>
      <c r="AG344" s="27">
        <f t="shared" si="88"/>
        <v>13</v>
      </c>
      <c r="AH344" s="28" t="s">
        <v>383</v>
      </c>
      <c r="AI344" s="28" t="s">
        <v>981</v>
      </c>
      <c r="AJ344" s="28">
        <v>15.6</v>
      </c>
      <c r="AK344" s="28"/>
      <c r="AL344" s="28"/>
      <c r="AM344" s="29" t="s">
        <v>982</v>
      </c>
      <c r="AO344" t="str">
        <f t="shared" si="89"/>
        <v>yumbo</v>
      </c>
      <c r="AP344" t="str">
        <f t="shared" si="90"/>
        <v>valle del cauca</v>
      </c>
      <c r="AQ344" t="b">
        <f t="shared" si="91"/>
        <v>0</v>
      </c>
      <c r="AR344" t="str">
        <f t="shared" si="92"/>
        <v>yumbo</v>
      </c>
      <c r="AS344" s="30">
        <f t="shared" si="93"/>
        <v>2</v>
      </c>
      <c r="AT344" s="30">
        <f t="shared" si="94"/>
        <v>13</v>
      </c>
      <c r="AU344" s="30">
        <f t="shared" si="95"/>
        <v>3</v>
      </c>
      <c r="AV344" s="30">
        <f t="shared" si="96"/>
        <v>1</v>
      </c>
      <c r="AZ344" s="31">
        <f t="shared" si="97"/>
        <v>0</v>
      </c>
      <c r="BA344" s="31">
        <f t="shared" si="98"/>
        <v>5</v>
      </c>
      <c r="BB344" s="32">
        <f>IFERROR(INDEX('Análisis general'!$E$4:$E$28,MATCH($B344,'Análisis general'!$B$4:$B$28,0)),"")</f>
        <v>4.9000000000000004</v>
      </c>
      <c r="BC344" s="31">
        <f t="shared" si="99"/>
        <v>3</v>
      </c>
      <c r="BD344" s="32">
        <f t="shared" si="100"/>
        <v>5.5714285714285712</v>
      </c>
      <c r="BE344" s="32">
        <f t="shared" si="101"/>
        <v>5.3999999999999995</v>
      </c>
    </row>
    <row r="345" spans="1:57" ht="25.5" customHeight="1" x14ac:dyDescent="0.25">
      <c r="A345" s="33" t="s">
        <v>984</v>
      </c>
      <c r="B345" s="11" t="s">
        <v>45</v>
      </c>
      <c r="C345" s="62" t="s">
        <v>1216</v>
      </c>
      <c r="D345" s="24">
        <f t="shared" si="85"/>
        <v>4</v>
      </c>
      <c r="E345" s="59">
        <f t="shared" si="86"/>
        <v>4.7142857142857144</v>
      </c>
      <c r="F345" s="59">
        <f t="shared" si="87"/>
        <v>5.3999999999999995</v>
      </c>
      <c r="G345" s="11" t="s">
        <v>985</v>
      </c>
      <c r="H345" s="25" t="s">
        <v>106</v>
      </c>
      <c r="I345" s="25" t="s">
        <v>106</v>
      </c>
      <c r="J345" s="26" t="s">
        <v>985</v>
      </c>
      <c r="K345" s="42" t="str">
        <f>IF($AQ345,"#N/D",IFERROR(INDEX(Olimpiadas!$A$2:$A$61,MATCH($AO345,Olimpiadas!$C$2:$C$61,0)),"#N/D"))</f>
        <v>INSTITUCIÓN EDUCATIVA BYRON GAVIRIA</v>
      </c>
      <c r="L345" s="42" t="str">
        <f>IF($AQ345,"#N/D",IFERROR(INDEX(Minculturas!$A$2:$A$48,MATCH($AO345,Minculturas!$C$2:$C$48,0)),"#N/D"))</f>
        <v>#N/D</v>
      </c>
      <c r="M345" s="42" t="str">
        <f>IF($AQ345,"#N/D",IFERROR(INDEX(Minculturas!$B$2:$B$48,MATCH($AO345,Minculturas!$C$2:$C$48,0)),"#N/D"))</f>
        <v>#N/D</v>
      </c>
      <c r="N345" s="27">
        <v>275</v>
      </c>
      <c r="O345" s="28">
        <v>34</v>
      </c>
      <c r="P345" s="28">
        <v>62</v>
      </c>
      <c r="Q345" s="28">
        <v>19</v>
      </c>
      <c r="R345" s="28">
        <v>16</v>
      </c>
      <c r="S345" s="28">
        <v>11</v>
      </c>
      <c r="T345" s="28">
        <v>11</v>
      </c>
      <c r="U345" s="28">
        <v>27</v>
      </c>
      <c r="V345" s="28">
        <v>2</v>
      </c>
      <c r="W345" s="28">
        <v>5</v>
      </c>
      <c r="X345" s="28">
        <v>20</v>
      </c>
      <c r="Y345" s="28">
        <v>32</v>
      </c>
      <c r="Z345" s="28">
        <v>3</v>
      </c>
      <c r="AA345" s="28">
        <v>10</v>
      </c>
      <c r="AB345" s="28">
        <v>19</v>
      </c>
      <c r="AC345" s="28">
        <v>0</v>
      </c>
      <c r="AD345" s="28">
        <v>0</v>
      </c>
      <c r="AE345" s="28">
        <v>4</v>
      </c>
      <c r="AF345" s="28">
        <v>0</v>
      </c>
      <c r="AG345" s="27">
        <f t="shared" si="88"/>
        <v>207</v>
      </c>
      <c r="AH345" s="28"/>
      <c r="AI345" s="28"/>
      <c r="AJ345" s="28">
        <v>15.1</v>
      </c>
      <c r="AK345" s="28"/>
      <c r="AL345" s="28"/>
      <c r="AM345" s="29" t="s">
        <v>986</v>
      </c>
      <c r="AO345" t="str">
        <f t="shared" si="89"/>
        <v>pereira</v>
      </c>
      <c r="AP345" t="str">
        <f t="shared" si="90"/>
        <v>risaralda</v>
      </c>
      <c r="AQ345" t="b">
        <f t="shared" si="91"/>
        <v>0</v>
      </c>
      <c r="AR345" t="str">
        <f t="shared" si="92"/>
        <v>pereira</v>
      </c>
      <c r="AS345" s="30">
        <f t="shared" si="93"/>
        <v>1</v>
      </c>
      <c r="AT345" s="30">
        <f t="shared" si="94"/>
        <v>207</v>
      </c>
      <c r="AU345" s="30">
        <f t="shared" si="95"/>
        <v>3</v>
      </c>
      <c r="AV345" s="30">
        <f t="shared" si="96"/>
        <v>0</v>
      </c>
      <c r="AZ345" s="31">
        <f t="shared" si="97"/>
        <v>0</v>
      </c>
      <c r="BA345" s="31">
        <f t="shared" si="98"/>
        <v>4</v>
      </c>
      <c r="BB345" s="32">
        <f>IFERROR(INDEX('Análisis general'!$E$4:$E$28,MATCH($B345,'Análisis general'!$B$4:$B$28,0)),"")</f>
        <v>4.9000000000000004</v>
      </c>
      <c r="BC345" s="31">
        <f t="shared" si="99"/>
        <v>3</v>
      </c>
      <c r="BD345" s="32">
        <f t="shared" si="100"/>
        <v>4.7142857142857144</v>
      </c>
      <c r="BE345" s="32">
        <f t="shared" si="101"/>
        <v>5.3999999999999995</v>
      </c>
    </row>
    <row r="346" spans="1:57" ht="25.5" customHeight="1" x14ac:dyDescent="0.25">
      <c r="A346" s="33" t="s">
        <v>987</v>
      </c>
      <c r="B346" s="11" t="s">
        <v>49</v>
      </c>
      <c r="C346" s="63" t="s">
        <v>1217</v>
      </c>
      <c r="D346" s="24">
        <f t="shared" si="85"/>
        <v>4</v>
      </c>
      <c r="E346" s="59">
        <f t="shared" si="86"/>
        <v>4.7142857142857144</v>
      </c>
      <c r="F346" s="59">
        <f t="shared" si="87"/>
        <v>5.3999999999999995</v>
      </c>
      <c r="G346" s="11" t="s">
        <v>988</v>
      </c>
      <c r="H346" s="25" t="str">
        <f>IFERROR(IF($AQ346,INDEX(cpe!$C$2:$C$307,MATCH($AR346,cpe!$F$2:$F$307,0)),INDEX(cpe!$C$2:$C$307,MATCH($AR346,cpe!$D$2:$D$307,0))),"#N/D")</f>
        <v>Institucion Educativa Indigena No. 3</v>
      </c>
      <c r="I346" s="25" t="str">
        <f>IFERROR(IF($AQ346,INDEX(cpe!$B$2:$B$307,MATCH($AR346,cpe!$F$2:$F$307,0)),INDEX(cpe!$B$2:$B$307,MATCH($AR346,cpe!$D$2:$D$307,0))),"#N/D")</f>
        <v>Buenaventura</v>
      </c>
      <c r="J346" s="26" t="str">
        <f>IF($AQ346,"#N/D",IFERROR(INDEX(Olimpiadas!$B$2:$B$61,MATCH($AO346,Olimpiadas!$C$2:$C$61,0)),"#N/D"))</f>
        <v>#N/D</v>
      </c>
      <c r="K346" s="26" t="str">
        <f>IF($AQ346,"#N/D",IFERROR(INDEX(Olimpiadas!$A$2:$A$61,MATCH($AO346,Olimpiadas!$C$2:$C$61,0)),"#N/D"))</f>
        <v>#N/D</v>
      </c>
      <c r="L346" s="26" t="str">
        <f>IF($AQ346,"#N/D",IFERROR(INDEX(Minculturas!$A$2:$A$48,MATCH($AO346,Minculturas!$C$2:$C$48,0)),"#N/D"))</f>
        <v>#N/D</v>
      </c>
      <c r="M346" s="26" t="str">
        <f>IF($AQ346,"#N/D",IFERROR(INDEX(Minculturas!$B$2:$B$48,MATCH($AO346,Minculturas!$C$2:$C$48,0)),"#N/D"))</f>
        <v>#N/D</v>
      </c>
      <c r="N346" s="27">
        <v>132</v>
      </c>
      <c r="O346" s="28">
        <v>3</v>
      </c>
      <c r="P346" s="28">
        <v>18</v>
      </c>
      <c r="Q346" s="28">
        <v>30</v>
      </c>
      <c r="R346" s="28">
        <v>6</v>
      </c>
      <c r="S346" s="28">
        <v>31</v>
      </c>
      <c r="T346" s="28">
        <v>3</v>
      </c>
      <c r="U346" s="28">
        <v>7</v>
      </c>
      <c r="V346" s="28">
        <v>5</v>
      </c>
      <c r="W346" s="28">
        <v>0</v>
      </c>
      <c r="X346" s="28">
        <v>2</v>
      </c>
      <c r="Y346" s="28">
        <v>5</v>
      </c>
      <c r="Z346" s="28">
        <v>1</v>
      </c>
      <c r="AA346" s="28">
        <v>2</v>
      </c>
      <c r="AB346" s="28">
        <v>15</v>
      </c>
      <c r="AC346" s="28">
        <v>2</v>
      </c>
      <c r="AD346" s="28">
        <v>1</v>
      </c>
      <c r="AE346" s="28">
        <v>1</v>
      </c>
      <c r="AF346" s="28">
        <v>0</v>
      </c>
      <c r="AG346" s="27">
        <f t="shared" si="88"/>
        <v>105</v>
      </c>
      <c r="AH346" s="28" t="s">
        <v>328</v>
      </c>
      <c r="AI346" s="28" t="s">
        <v>989</v>
      </c>
      <c r="AJ346" s="28">
        <v>41</v>
      </c>
      <c r="AK346" s="28"/>
      <c r="AL346" s="28"/>
      <c r="AM346" s="29" t="s">
        <v>990</v>
      </c>
      <c r="AO346" t="str">
        <f t="shared" si="89"/>
        <v>buenaventura</v>
      </c>
      <c r="AP346" t="str">
        <f t="shared" si="90"/>
        <v>valle del cauca</v>
      </c>
      <c r="AQ346" t="b">
        <f t="shared" si="91"/>
        <v>0</v>
      </c>
      <c r="AR346" t="str">
        <f t="shared" si="92"/>
        <v>buenaventura</v>
      </c>
      <c r="AS346" s="30">
        <f t="shared" si="93"/>
        <v>1</v>
      </c>
      <c r="AT346" s="30">
        <f t="shared" si="94"/>
        <v>105</v>
      </c>
      <c r="AU346" s="30">
        <f t="shared" si="95"/>
        <v>3</v>
      </c>
      <c r="AV346" s="30">
        <f t="shared" si="96"/>
        <v>0</v>
      </c>
      <c r="AZ346" s="31">
        <f t="shared" si="97"/>
        <v>0</v>
      </c>
      <c r="BA346" s="31">
        <f t="shared" si="98"/>
        <v>4</v>
      </c>
      <c r="BB346" s="32">
        <f>IFERROR(INDEX('Análisis general'!$E$4:$E$28,MATCH($B346,'Análisis general'!$B$4:$B$28,0)),"")</f>
        <v>4.9000000000000004</v>
      </c>
      <c r="BC346" s="31">
        <f t="shared" si="99"/>
        <v>3</v>
      </c>
      <c r="BD346" s="32">
        <f t="shared" si="100"/>
        <v>4.7142857142857144</v>
      </c>
      <c r="BE346" s="32">
        <f t="shared" si="101"/>
        <v>5.3999999999999995</v>
      </c>
    </row>
    <row r="347" spans="1:57" ht="25.5" customHeight="1" x14ac:dyDescent="0.25">
      <c r="A347" s="33" t="s">
        <v>997</v>
      </c>
      <c r="B347" s="11" t="s">
        <v>49</v>
      </c>
      <c r="C347" s="60" t="s">
        <v>1214</v>
      </c>
      <c r="D347" s="24">
        <f t="shared" si="85"/>
        <v>4</v>
      </c>
      <c r="E347" s="59">
        <f t="shared" si="86"/>
        <v>4.7142857142857144</v>
      </c>
      <c r="F347" s="59">
        <f t="shared" si="87"/>
        <v>5.3999999999999995</v>
      </c>
      <c r="G347" s="11" t="s">
        <v>998</v>
      </c>
      <c r="H347" s="25" t="str">
        <f>IFERROR(IF($AQ347,INDEX(cpe!$C$2:$C$307,MATCH($AR347,cpe!$F$2:$F$307,0)),INDEX(cpe!$C$2:$C$307,MATCH($AR347,cpe!$D$2:$D$307,0))),"#N/D")</f>
        <v>Institucion Educativa Distrital la Luz</v>
      </c>
      <c r="I347" s="25" t="str">
        <f>IFERROR(IF($AQ347,INDEX(cpe!$B$2:$B$307,MATCH($AR347,cpe!$F$2:$F$307,0)),INDEX(cpe!$B$2:$B$307,MATCH($AR347,cpe!$D$2:$D$307,0))),"#N/D")</f>
        <v>Buga</v>
      </c>
      <c r="J347" s="26" t="str">
        <f>IF($AQ347,"#N/D",IFERROR(INDEX(Olimpiadas!$B$2:$B$61,MATCH($AO347,Olimpiadas!$C$2:$C$61,0)),"#N/D"))</f>
        <v>#N/D</v>
      </c>
      <c r="K347" s="26" t="str">
        <f>IF($AQ347,"#N/D",IFERROR(INDEX(Olimpiadas!$A$2:$A$61,MATCH($AO347,Olimpiadas!$C$2:$C$61,0)),"#N/D"))</f>
        <v>#N/D</v>
      </c>
      <c r="L347" s="26" t="str">
        <f>IF($AQ347,"#N/D",IFERROR(INDEX(Minculturas!$A$2:$A$48,MATCH($AO347,Minculturas!$C$2:$C$48,0)),"#N/D"))</f>
        <v>#N/D</v>
      </c>
      <c r="M347" s="26" t="str">
        <f>IF($AQ347,"#N/D",IFERROR(INDEX(Minculturas!$B$2:$B$48,MATCH($AO347,Minculturas!$C$2:$C$48,0)),"#N/D"))</f>
        <v>#N/D</v>
      </c>
      <c r="N347" s="27">
        <v>44</v>
      </c>
      <c r="O347" s="28">
        <v>0</v>
      </c>
      <c r="P347" s="28">
        <v>8</v>
      </c>
      <c r="Q347" s="28">
        <v>0</v>
      </c>
      <c r="R347" s="28">
        <v>5</v>
      </c>
      <c r="S347" s="28">
        <v>3</v>
      </c>
      <c r="T347" s="28">
        <v>5</v>
      </c>
      <c r="U347" s="28">
        <v>1</v>
      </c>
      <c r="V347" s="28">
        <v>4</v>
      </c>
      <c r="W347" s="28">
        <v>3</v>
      </c>
      <c r="X347" s="28">
        <v>1</v>
      </c>
      <c r="Y347" s="28">
        <v>3</v>
      </c>
      <c r="Z347" s="28">
        <v>2</v>
      </c>
      <c r="AA347" s="28">
        <v>0</v>
      </c>
      <c r="AB347" s="28">
        <v>8</v>
      </c>
      <c r="AC347" s="28">
        <v>1</v>
      </c>
      <c r="AD347" s="28">
        <v>0</v>
      </c>
      <c r="AE347" s="28">
        <v>0</v>
      </c>
      <c r="AF347" s="28">
        <v>0</v>
      </c>
      <c r="AG347" s="27">
        <f t="shared" si="88"/>
        <v>30</v>
      </c>
      <c r="AH347" s="28"/>
      <c r="AI347" s="28"/>
      <c r="AJ347" s="28">
        <v>12.3</v>
      </c>
      <c r="AK347" s="28"/>
      <c r="AL347" s="28"/>
      <c r="AM347" s="29" t="s">
        <v>999</v>
      </c>
      <c r="AO347" t="str">
        <f t="shared" si="89"/>
        <v>buga</v>
      </c>
      <c r="AP347" t="str">
        <f t="shared" si="90"/>
        <v>valle del cauca</v>
      </c>
      <c r="AQ347" t="b">
        <f t="shared" si="91"/>
        <v>0</v>
      </c>
      <c r="AR347" t="str">
        <f t="shared" si="92"/>
        <v>buga</v>
      </c>
      <c r="AS347" s="30">
        <f t="shared" si="93"/>
        <v>1</v>
      </c>
      <c r="AT347" s="30">
        <f t="shared" si="94"/>
        <v>30</v>
      </c>
      <c r="AU347" s="30">
        <f t="shared" si="95"/>
        <v>3</v>
      </c>
      <c r="AV347" s="30">
        <f t="shared" si="96"/>
        <v>0</v>
      </c>
      <c r="AZ347" s="31">
        <f t="shared" si="97"/>
        <v>0</v>
      </c>
      <c r="BA347" s="31">
        <f t="shared" si="98"/>
        <v>4</v>
      </c>
      <c r="BB347" s="32">
        <f>IFERROR(INDEX('Análisis general'!$E$4:$E$28,MATCH($B347,'Análisis general'!$B$4:$B$28,0)),"")</f>
        <v>4.9000000000000004</v>
      </c>
      <c r="BC347" s="31">
        <f t="shared" si="99"/>
        <v>3</v>
      </c>
      <c r="BD347" s="32">
        <f t="shared" si="100"/>
        <v>4.7142857142857144</v>
      </c>
      <c r="BE347" s="32">
        <f t="shared" si="101"/>
        <v>5.3999999999999995</v>
      </c>
    </row>
    <row r="348" spans="1:57" ht="25.5" customHeight="1" x14ac:dyDescent="0.25">
      <c r="A348" s="33" t="s">
        <v>1012</v>
      </c>
      <c r="B348" s="11" t="s">
        <v>49</v>
      </c>
      <c r="C348" s="34" t="s">
        <v>112</v>
      </c>
      <c r="D348" s="24">
        <f t="shared" si="85"/>
        <v>4</v>
      </c>
      <c r="E348" s="59">
        <f t="shared" si="86"/>
        <v>4.7142857142857144</v>
      </c>
      <c r="F348" s="59">
        <f t="shared" si="87"/>
        <v>5.3999999999999995</v>
      </c>
      <c r="G348" s="11" t="s">
        <v>1013</v>
      </c>
      <c r="H348" s="25" t="s">
        <v>1014</v>
      </c>
      <c r="I348" s="25" t="s">
        <v>1013</v>
      </c>
      <c r="J348" s="26" t="s">
        <v>106</v>
      </c>
      <c r="K348" s="26" t="str">
        <f>IF($AQ348,"#N/D",IFERROR(INDEX(Olimpiadas!$A$2:$A$61,MATCH($AO348,Olimpiadas!$C$2:$C$61,0)),"#N/D"))</f>
        <v>#N/D</v>
      </c>
      <c r="L348" s="26" t="str">
        <f>IF($AQ348,"#N/D",IFERROR(INDEX(Minculturas!$A$2:$A$48,MATCH($AO348,Minculturas!$C$2:$C$48,0)),"#N/D"))</f>
        <v>#N/D</v>
      </c>
      <c r="M348" s="26" t="str">
        <f>IF($AQ348,"#N/D",IFERROR(INDEX(Minculturas!$B$2:$B$48,MATCH($AO348,Minculturas!$C$2:$C$48,0)),"#N/D"))</f>
        <v>#N/D</v>
      </c>
      <c r="N348" s="27">
        <v>35</v>
      </c>
      <c r="O348" s="28">
        <v>0</v>
      </c>
      <c r="P348" s="28">
        <v>9</v>
      </c>
      <c r="Q348" s="28">
        <v>9</v>
      </c>
      <c r="R348" s="28">
        <v>1</v>
      </c>
      <c r="S348" s="28">
        <v>1</v>
      </c>
      <c r="T348" s="28">
        <v>7</v>
      </c>
      <c r="U348" s="28">
        <v>1</v>
      </c>
      <c r="V348" s="28">
        <v>0</v>
      </c>
      <c r="W348" s="28">
        <v>0</v>
      </c>
      <c r="X348" s="28">
        <v>0</v>
      </c>
      <c r="Y348" s="28">
        <v>4</v>
      </c>
      <c r="Z348" s="28">
        <v>0</v>
      </c>
      <c r="AA348" s="28">
        <v>0</v>
      </c>
      <c r="AB348" s="28">
        <v>3</v>
      </c>
      <c r="AC348" s="28">
        <v>0</v>
      </c>
      <c r="AD348" s="28">
        <v>0</v>
      </c>
      <c r="AE348" s="28">
        <v>0</v>
      </c>
      <c r="AF348" s="28">
        <v>0</v>
      </c>
      <c r="AG348" s="27">
        <f t="shared" si="88"/>
        <v>28</v>
      </c>
      <c r="AH348" s="28" t="s">
        <v>1015</v>
      </c>
      <c r="AI348" s="28" t="s">
        <v>1016</v>
      </c>
      <c r="AJ348" s="28">
        <v>13.7</v>
      </c>
      <c r="AK348" s="28"/>
      <c r="AL348" s="28"/>
      <c r="AM348" s="29" t="s">
        <v>114</v>
      </c>
      <c r="AO348" t="str">
        <f t="shared" si="89"/>
        <v>tulua</v>
      </c>
      <c r="AP348" t="str">
        <f t="shared" si="90"/>
        <v>valle del cauca</v>
      </c>
      <c r="AQ348" t="b">
        <f t="shared" si="91"/>
        <v>0</v>
      </c>
      <c r="AR348" t="str">
        <f t="shared" si="92"/>
        <v>tulua</v>
      </c>
      <c r="AS348" s="30">
        <f t="shared" si="93"/>
        <v>1</v>
      </c>
      <c r="AT348" s="30">
        <f t="shared" si="94"/>
        <v>28</v>
      </c>
      <c r="AU348" s="30">
        <f t="shared" si="95"/>
        <v>3</v>
      </c>
      <c r="AV348" s="30">
        <f t="shared" si="96"/>
        <v>0</v>
      </c>
      <c r="AZ348" s="31">
        <f t="shared" si="97"/>
        <v>0</v>
      </c>
      <c r="BA348" s="31">
        <f t="shared" si="98"/>
        <v>4</v>
      </c>
      <c r="BB348" s="32">
        <f>IFERROR(INDEX('Análisis general'!$E$4:$E$28,MATCH($B348,'Análisis general'!$B$4:$B$28,0)),"")</f>
        <v>4.9000000000000004</v>
      </c>
      <c r="BC348" s="31">
        <f t="shared" si="99"/>
        <v>3</v>
      </c>
      <c r="BD348" s="32">
        <f t="shared" si="100"/>
        <v>4.7142857142857144</v>
      </c>
      <c r="BE348" s="32">
        <f t="shared" si="101"/>
        <v>5.3999999999999995</v>
      </c>
    </row>
    <row r="349" spans="1:57" ht="25.5" customHeight="1" x14ac:dyDescent="0.25">
      <c r="A349" s="33" t="s">
        <v>1000</v>
      </c>
      <c r="B349" s="11" t="s">
        <v>49</v>
      </c>
      <c r="C349" s="60" t="s">
        <v>1214</v>
      </c>
      <c r="D349" s="24">
        <f t="shared" si="85"/>
        <v>5</v>
      </c>
      <c r="E349" s="59">
        <f t="shared" si="86"/>
        <v>4.7142857142857144</v>
      </c>
      <c r="F349" s="59">
        <f t="shared" si="87"/>
        <v>5.3999999999999995</v>
      </c>
      <c r="G349" s="11" t="s">
        <v>1001</v>
      </c>
      <c r="H349" s="25" t="str">
        <f>IFERROR(IF($AQ349,INDEX(cpe!$C$2:$C$307,MATCH($AR349,cpe!$F$2:$F$307,0)),INDEX(cpe!$C$2:$C$307,MATCH($AR349,cpe!$D$2:$D$307,0))),"#N/D")</f>
        <v>Colegio San Francisco de Asis</v>
      </c>
      <c r="I349" s="25" t="str">
        <f>IFERROR(IF($AQ349,INDEX(cpe!$B$2:$B$307,MATCH($AR349,cpe!$F$2:$F$307,0)),INDEX(cpe!$B$2:$B$307,MATCH($AR349,cpe!$D$2:$D$307,0))),"#N/D")</f>
        <v>Cartago</v>
      </c>
      <c r="J349" s="26" t="str">
        <f>IF($AQ349,"#N/D",IFERROR(INDEX(Olimpiadas!$B$2:$B$61,MATCH($AO349,Olimpiadas!$C$2:$C$61,0)),"#N/D"))</f>
        <v>#N/D</v>
      </c>
      <c r="K349" s="26" t="str">
        <f>IF($AQ349,"#N/D",IFERROR(INDEX(Olimpiadas!$A$2:$A$61,MATCH($AO349,Olimpiadas!$C$2:$C$61,0)),"#N/D"))</f>
        <v>#N/D</v>
      </c>
      <c r="L349" s="26" t="str">
        <f>IF($AQ349,"#N/D",IFERROR(INDEX(Minculturas!$A$2:$A$48,MATCH($AO349,Minculturas!$C$2:$C$48,0)),"#N/D"))</f>
        <v>#N/D</v>
      </c>
      <c r="M349" s="26" t="str">
        <f>IF($AQ349,"#N/D",IFERROR(INDEX(Minculturas!$B$2:$B$48,MATCH($AO349,Minculturas!$C$2:$C$48,0)),"#N/D"))</f>
        <v>#N/D</v>
      </c>
      <c r="N349" s="27">
        <v>29</v>
      </c>
      <c r="O349" s="28">
        <v>1</v>
      </c>
      <c r="P349" s="28">
        <v>8</v>
      </c>
      <c r="Q349" s="28">
        <v>1</v>
      </c>
      <c r="R349" s="28">
        <v>2</v>
      </c>
      <c r="S349" s="28">
        <v>1</v>
      </c>
      <c r="T349" s="28">
        <v>3</v>
      </c>
      <c r="U349" s="28">
        <v>2</v>
      </c>
      <c r="V349" s="28">
        <v>1</v>
      </c>
      <c r="W349" s="28">
        <v>1</v>
      </c>
      <c r="X349" s="28">
        <v>1</v>
      </c>
      <c r="Y349" s="28">
        <v>1</v>
      </c>
      <c r="Z349" s="28">
        <v>0</v>
      </c>
      <c r="AA349" s="28">
        <v>1</v>
      </c>
      <c r="AB349" s="28">
        <v>5</v>
      </c>
      <c r="AC349" s="28">
        <v>1</v>
      </c>
      <c r="AD349" s="28">
        <v>0</v>
      </c>
      <c r="AE349" s="28">
        <v>0</v>
      </c>
      <c r="AF349" s="28">
        <v>0</v>
      </c>
      <c r="AG349" s="27">
        <f t="shared" si="88"/>
        <v>21</v>
      </c>
      <c r="AH349" s="28">
        <v>225</v>
      </c>
      <c r="AI349" s="28" t="s">
        <v>1002</v>
      </c>
      <c r="AJ349" s="28">
        <v>16.600000000000001</v>
      </c>
      <c r="AK349" s="28"/>
      <c r="AL349" s="28"/>
      <c r="AM349" s="29" t="s">
        <v>1003</v>
      </c>
      <c r="AO349" t="str">
        <f t="shared" si="89"/>
        <v>cartago</v>
      </c>
      <c r="AP349" t="str">
        <f t="shared" si="90"/>
        <v>valle del cauca</v>
      </c>
      <c r="AQ349" t="b">
        <f t="shared" si="91"/>
        <v>0</v>
      </c>
      <c r="AR349" t="str">
        <f t="shared" si="92"/>
        <v>cartago</v>
      </c>
      <c r="AS349" s="30">
        <f t="shared" si="93"/>
        <v>1</v>
      </c>
      <c r="AT349" s="30">
        <f t="shared" si="94"/>
        <v>21</v>
      </c>
      <c r="AU349" s="30">
        <f t="shared" si="95"/>
        <v>3</v>
      </c>
      <c r="AV349" s="30">
        <f t="shared" si="96"/>
        <v>1</v>
      </c>
      <c r="AZ349" s="31">
        <f t="shared" si="97"/>
        <v>0</v>
      </c>
      <c r="BA349" s="31">
        <f t="shared" si="98"/>
        <v>4</v>
      </c>
      <c r="BB349" s="32">
        <f>IFERROR(INDEX('Análisis general'!$E$4:$E$28,MATCH($B349,'Análisis general'!$B$4:$B$28,0)),"")</f>
        <v>4.9000000000000004</v>
      </c>
      <c r="BC349" s="31">
        <f t="shared" si="99"/>
        <v>3</v>
      </c>
      <c r="BD349" s="32">
        <f t="shared" si="100"/>
        <v>4.7142857142857144</v>
      </c>
      <c r="BE349" s="32">
        <f t="shared" si="101"/>
        <v>5.3999999999999995</v>
      </c>
    </row>
    <row r="350" spans="1:57" ht="25.5" customHeight="1" x14ac:dyDescent="0.25">
      <c r="A350" s="33" t="s">
        <v>1004</v>
      </c>
      <c r="B350" s="11" t="s">
        <v>49</v>
      </c>
      <c r="C350" s="60" t="s">
        <v>1214</v>
      </c>
      <c r="D350" s="24">
        <f t="shared" si="85"/>
        <v>4</v>
      </c>
      <c r="E350" s="59">
        <f t="shared" si="86"/>
        <v>4.7142857142857144</v>
      </c>
      <c r="F350" s="59">
        <f t="shared" si="87"/>
        <v>5.3999999999999995</v>
      </c>
      <c r="G350" s="11" t="s">
        <v>1005</v>
      </c>
      <c r="H350" s="25" t="str">
        <f>IFERROR(IF($AQ350,INDEX(cpe!$C$2:$C$307,MATCH($AR350,cpe!$F$2:$F$307,0)),INDEX(cpe!$C$2:$C$307,MATCH($AR350,cpe!$D$2:$D$307,0))),"#N/D")</f>
        <v>Institucion Educativa el Morro</v>
      </c>
      <c r="I350" s="25" t="str">
        <f>IFERROR(IF($AQ350,INDEX(cpe!$B$2:$B$307,MATCH($AR350,cpe!$F$2:$F$307,0)),INDEX(cpe!$B$2:$B$307,MATCH($AR350,cpe!$D$2:$D$307,0))),"#N/D")</f>
        <v>El Águila</v>
      </c>
      <c r="J350" s="26" t="str">
        <f>IF($AQ350,"#N/D",IFERROR(INDEX(Olimpiadas!$B$2:$B$61,MATCH($AO350,Olimpiadas!$C$2:$C$61,0)),"#N/D"))</f>
        <v>#N/D</v>
      </c>
      <c r="K350" s="26" t="str">
        <f>IF($AQ350,"#N/D",IFERROR(INDEX(Olimpiadas!$A$2:$A$61,MATCH($AO350,Olimpiadas!$C$2:$C$61,0)),"#N/D"))</f>
        <v>#N/D</v>
      </c>
      <c r="L350" s="26" t="str">
        <f>IF($AQ350,"#N/D",IFERROR(INDEX(Minculturas!$A$2:$A$48,MATCH($AO350,Minculturas!$C$2:$C$48,0)),"#N/D"))</f>
        <v>#N/D</v>
      </c>
      <c r="M350" s="26" t="str">
        <f>IF($AQ350,"#N/D",IFERROR(INDEX(Minculturas!$B$2:$B$48,MATCH($AO350,Minculturas!$C$2:$C$48,0)),"#N/D"))</f>
        <v>#N/D</v>
      </c>
      <c r="N350" s="27">
        <v>15</v>
      </c>
      <c r="O350" s="28">
        <v>1</v>
      </c>
      <c r="P350" s="28">
        <v>1</v>
      </c>
      <c r="Q350" s="28">
        <v>1</v>
      </c>
      <c r="R350" s="28">
        <v>3</v>
      </c>
      <c r="S350" s="28">
        <v>2</v>
      </c>
      <c r="T350" s="28">
        <v>1</v>
      </c>
      <c r="U350" s="28">
        <v>1</v>
      </c>
      <c r="V350" s="28">
        <v>2</v>
      </c>
      <c r="W350" s="28">
        <v>0</v>
      </c>
      <c r="X350" s="28">
        <v>0</v>
      </c>
      <c r="Y350" s="28">
        <v>3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8">
        <v>0</v>
      </c>
      <c r="AG350" s="27">
        <f t="shared" si="88"/>
        <v>12</v>
      </c>
      <c r="AH350" s="28" t="s">
        <v>1006</v>
      </c>
      <c r="AI350" s="28" t="s">
        <v>1007</v>
      </c>
      <c r="AJ350" s="28">
        <v>43.5</v>
      </c>
      <c r="AK350" s="28"/>
      <c r="AL350" s="28"/>
      <c r="AM350" s="29" t="s">
        <v>1008</v>
      </c>
      <c r="AO350" t="str">
        <f t="shared" si="89"/>
        <v>el aguila</v>
      </c>
      <c r="AP350" t="str">
        <f t="shared" si="90"/>
        <v>valle del cauca</v>
      </c>
      <c r="AQ350" t="b">
        <f t="shared" si="91"/>
        <v>0</v>
      </c>
      <c r="AR350" t="str">
        <f t="shared" si="92"/>
        <v>el aguila</v>
      </c>
      <c r="AS350" s="30">
        <f t="shared" si="93"/>
        <v>1</v>
      </c>
      <c r="AT350" s="30">
        <f t="shared" si="94"/>
        <v>12</v>
      </c>
      <c r="AU350" s="30">
        <f t="shared" si="95"/>
        <v>3</v>
      </c>
      <c r="AV350" s="30">
        <f t="shared" si="96"/>
        <v>0</v>
      </c>
      <c r="AZ350" s="31">
        <f t="shared" si="97"/>
        <v>0</v>
      </c>
      <c r="BA350" s="31">
        <f t="shared" si="98"/>
        <v>4</v>
      </c>
      <c r="BB350" s="32">
        <f>IFERROR(INDEX('Análisis general'!$E$4:$E$28,MATCH($B350,'Análisis general'!$B$4:$B$28,0)),"")</f>
        <v>4.9000000000000004</v>
      </c>
      <c r="BC350" s="31">
        <f t="shared" si="99"/>
        <v>3</v>
      </c>
      <c r="BD350" s="32">
        <f t="shared" si="100"/>
        <v>4.7142857142857144</v>
      </c>
      <c r="BE350" s="32">
        <f t="shared" si="101"/>
        <v>5.3999999999999995</v>
      </c>
    </row>
    <row r="351" spans="1:57" ht="25.5" customHeight="1" x14ac:dyDescent="0.25">
      <c r="A351" s="33" t="s">
        <v>991</v>
      </c>
      <c r="B351" s="11" t="s">
        <v>49</v>
      </c>
      <c r="C351" s="63" t="s">
        <v>1217</v>
      </c>
      <c r="D351" s="24">
        <f t="shared" si="85"/>
        <v>4</v>
      </c>
      <c r="E351" s="59">
        <f t="shared" si="86"/>
        <v>4.7142857142857144</v>
      </c>
      <c r="F351" s="59">
        <f t="shared" si="87"/>
        <v>5.3999999999999995</v>
      </c>
      <c r="G351" s="11" t="s">
        <v>992</v>
      </c>
      <c r="H351" s="25" t="s">
        <v>993</v>
      </c>
      <c r="I351" s="25" t="s">
        <v>992</v>
      </c>
      <c r="J351" s="26" t="s">
        <v>106</v>
      </c>
      <c r="K351" s="26" t="str">
        <f>IF($AQ351,"#N/D",IFERROR(INDEX(Olimpiadas!$A$2:$A$61,MATCH($AO351,Olimpiadas!$C$2:$C$61,0)),"#N/D"))</f>
        <v>#N/D</v>
      </c>
      <c r="L351" s="26" t="str">
        <f>IF($AQ351,"#N/D",IFERROR(INDEX(Minculturas!$A$2:$A$48,MATCH($AO351,Minculturas!$C$2:$C$48,0)),"#N/D"))</f>
        <v>#N/D</v>
      </c>
      <c r="M351" s="26" t="str">
        <f>IF($AQ351,"#N/D",IFERROR(INDEX(Minculturas!$B$2:$B$48,MATCH($AO351,Minculturas!$C$2:$C$48,0)),"#N/D"))</f>
        <v>#N/D</v>
      </c>
      <c r="N351" s="27">
        <v>17</v>
      </c>
      <c r="O351" s="28">
        <v>0</v>
      </c>
      <c r="P351" s="28">
        <v>5</v>
      </c>
      <c r="Q351" s="28">
        <v>2</v>
      </c>
      <c r="R351" s="28">
        <v>1</v>
      </c>
      <c r="S351" s="28">
        <v>1</v>
      </c>
      <c r="T351" s="28">
        <v>0</v>
      </c>
      <c r="U351" s="28">
        <v>2</v>
      </c>
      <c r="V351" s="28">
        <v>0</v>
      </c>
      <c r="W351" s="28">
        <v>0</v>
      </c>
      <c r="X351" s="28">
        <v>0</v>
      </c>
      <c r="Y351" s="28">
        <v>3</v>
      </c>
      <c r="Z351" s="28">
        <v>1</v>
      </c>
      <c r="AA351" s="28">
        <v>1</v>
      </c>
      <c r="AB351" s="28">
        <v>1</v>
      </c>
      <c r="AC351" s="28">
        <v>0</v>
      </c>
      <c r="AD351" s="28">
        <v>0</v>
      </c>
      <c r="AE351" s="28">
        <v>0</v>
      </c>
      <c r="AF351" s="28">
        <v>0</v>
      </c>
      <c r="AG351" s="27">
        <f t="shared" si="88"/>
        <v>11</v>
      </c>
      <c r="AH351" s="28" t="s">
        <v>994</v>
      </c>
      <c r="AI351" s="28" t="s">
        <v>995</v>
      </c>
      <c r="AJ351" s="28">
        <v>27.4</v>
      </c>
      <c r="AK351" s="28"/>
      <c r="AL351" s="28"/>
      <c r="AM351" s="29" t="s">
        <v>996</v>
      </c>
      <c r="AO351" t="str">
        <f t="shared" si="89"/>
        <v>sevilla</v>
      </c>
      <c r="AP351" t="str">
        <f t="shared" si="90"/>
        <v>valle del cauca</v>
      </c>
      <c r="AQ351" t="b">
        <f t="shared" si="91"/>
        <v>0</v>
      </c>
      <c r="AR351" t="str">
        <f t="shared" si="92"/>
        <v>sevilla</v>
      </c>
      <c r="AS351" s="30">
        <f t="shared" si="93"/>
        <v>1</v>
      </c>
      <c r="AT351" s="30">
        <f t="shared" si="94"/>
        <v>11</v>
      </c>
      <c r="AU351" s="30">
        <f t="shared" si="95"/>
        <v>3</v>
      </c>
      <c r="AV351" s="30">
        <f t="shared" si="96"/>
        <v>0</v>
      </c>
      <c r="AZ351" s="31">
        <f t="shared" si="97"/>
        <v>0</v>
      </c>
      <c r="BA351" s="31">
        <f t="shared" si="98"/>
        <v>4</v>
      </c>
      <c r="BB351" s="32">
        <f>IFERROR(INDEX('Análisis general'!$E$4:$E$28,MATCH($B351,'Análisis general'!$B$4:$B$28,0)),"")</f>
        <v>4.9000000000000004</v>
      </c>
      <c r="BC351" s="31">
        <f t="shared" si="99"/>
        <v>3</v>
      </c>
      <c r="BD351" s="32">
        <f t="shared" si="100"/>
        <v>4.7142857142857144</v>
      </c>
      <c r="BE351" s="32">
        <f t="shared" si="101"/>
        <v>5.3999999999999995</v>
      </c>
    </row>
    <row r="352" spans="1:57" ht="25.5" customHeight="1" x14ac:dyDescent="0.25">
      <c r="A352" s="33" t="s">
        <v>1009</v>
      </c>
      <c r="B352" s="11" t="s">
        <v>49</v>
      </c>
      <c r="C352" s="34" t="s">
        <v>112</v>
      </c>
      <c r="D352" s="24">
        <f t="shared" si="85"/>
        <v>5</v>
      </c>
      <c r="E352" s="59">
        <f t="shared" si="86"/>
        <v>4.7142857142857144</v>
      </c>
      <c r="F352" s="59">
        <f t="shared" si="87"/>
        <v>5.3999999999999995</v>
      </c>
      <c r="G352" s="11" t="s">
        <v>1010</v>
      </c>
      <c r="H352" s="25" t="str">
        <f>IFERROR(IF($AQ352,INDEX(cpe!$C$2:$C$307,MATCH($AR352,cpe!$F$2:$F$307,0)),INDEX(cpe!$C$2:$C$307,MATCH($AR352,cpe!$D$2:$D$307,0))),"#N/D")</f>
        <v>Institucion Educativa Rural Departamental Limoncitos</v>
      </c>
      <c r="I352" s="25" t="str">
        <f>IFERROR(IF($AQ352,INDEX(cpe!$B$2:$B$307,MATCH($AR352,cpe!$F$2:$F$307,0)),INDEX(cpe!$B$2:$B$307,MATCH($AR352,cpe!$D$2:$D$307,0))),"#N/D")</f>
        <v>La Victoria</v>
      </c>
      <c r="J352" s="26" t="str">
        <f>IF($AQ352,"#N/D",IFERROR(INDEX(Olimpiadas!$B$2:$B$61,MATCH($AO352,Olimpiadas!$C$2:$C$61,0)),"#N/D"))</f>
        <v>#N/D</v>
      </c>
      <c r="K352" s="26" t="str">
        <f>IF($AQ352,"#N/D",IFERROR(INDEX(Olimpiadas!$A$2:$A$61,MATCH($AO352,Olimpiadas!$C$2:$C$61,0)),"#N/D"))</f>
        <v>#N/D</v>
      </c>
      <c r="L352" s="26" t="str">
        <f>IF($AQ352,"#N/D",IFERROR(INDEX(Minculturas!$A$2:$A$48,MATCH($AO352,Minculturas!$C$2:$C$48,0)),"#N/D"))</f>
        <v>#N/D</v>
      </c>
      <c r="M352" s="26" t="str">
        <f>IF($AQ352,"#N/D",IFERROR(INDEX(Minculturas!$B$2:$B$48,MATCH($AO352,Minculturas!$C$2:$C$48,0)),"#N/D"))</f>
        <v>#N/D</v>
      </c>
      <c r="N352" s="27">
        <v>13</v>
      </c>
      <c r="O352" s="28">
        <v>0</v>
      </c>
      <c r="P352" s="28">
        <v>2</v>
      </c>
      <c r="Q352" s="28">
        <v>1</v>
      </c>
      <c r="R352" s="28">
        <v>1</v>
      </c>
      <c r="S352" s="28">
        <v>1</v>
      </c>
      <c r="T352" s="28">
        <v>1</v>
      </c>
      <c r="U352" s="28">
        <v>4</v>
      </c>
      <c r="V352" s="28">
        <v>0</v>
      </c>
      <c r="W352" s="28">
        <v>0</v>
      </c>
      <c r="X352" s="28">
        <v>1</v>
      </c>
      <c r="Y352" s="28">
        <v>1</v>
      </c>
      <c r="Z352" s="28">
        <v>0</v>
      </c>
      <c r="AA352" s="28">
        <v>0</v>
      </c>
      <c r="AB352" s="28">
        <v>0</v>
      </c>
      <c r="AC352" s="28">
        <v>1</v>
      </c>
      <c r="AD352" s="28">
        <v>0</v>
      </c>
      <c r="AE352" s="28">
        <v>0</v>
      </c>
      <c r="AF352" s="28">
        <v>0</v>
      </c>
      <c r="AG352" s="27">
        <f t="shared" si="88"/>
        <v>11</v>
      </c>
      <c r="AH352" s="28" t="s">
        <v>1011</v>
      </c>
      <c r="AI352" s="28" t="s">
        <v>790</v>
      </c>
      <c r="AJ352" s="28">
        <v>22.9</v>
      </c>
      <c r="AK352" s="28"/>
      <c r="AL352" s="28"/>
      <c r="AM352" s="29" t="s">
        <v>114</v>
      </c>
      <c r="AO352" t="str">
        <f t="shared" si="89"/>
        <v>la victoria</v>
      </c>
      <c r="AP352" t="str">
        <f t="shared" si="90"/>
        <v>valle del cauca</v>
      </c>
      <c r="AQ352" t="b">
        <f t="shared" si="91"/>
        <v>0</v>
      </c>
      <c r="AR352" t="str">
        <f t="shared" si="92"/>
        <v>la victoria</v>
      </c>
      <c r="AS352" s="30">
        <f t="shared" si="93"/>
        <v>1</v>
      </c>
      <c r="AT352" s="30">
        <f t="shared" si="94"/>
        <v>11</v>
      </c>
      <c r="AU352" s="30">
        <f t="shared" si="95"/>
        <v>3</v>
      </c>
      <c r="AV352" s="30">
        <f t="shared" si="96"/>
        <v>1</v>
      </c>
      <c r="AZ352" s="31">
        <f t="shared" si="97"/>
        <v>0</v>
      </c>
      <c r="BA352" s="31">
        <f t="shared" si="98"/>
        <v>4</v>
      </c>
      <c r="BB352" s="32">
        <f>IFERROR(INDEX('Análisis general'!$E$4:$E$28,MATCH($B352,'Análisis general'!$B$4:$B$28,0)),"")</f>
        <v>4.9000000000000004</v>
      </c>
      <c r="BC352" s="31">
        <f t="shared" si="99"/>
        <v>3</v>
      </c>
      <c r="BD352" s="32">
        <f t="shared" si="100"/>
        <v>4.7142857142857144</v>
      </c>
      <c r="BE352" s="32">
        <f t="shared" si="101"/>
        <v>5.3999999999999995</v>
      </c>
    </row>
    <row r="353" spans="1:57" ht="25.5" customHeight="1" x14ac:dyDescent="0.25">
      <c r="A353" s="33" t="s">
        <v>1025</v>
      </c>
      <c r="B353" s="11" t="s">
        <v>45</v>
      </c>
      <c r="C353" s="60" t="s">
        <v>1214</v>
      </c>
      <c r="D353" s="24">
        <f t="shared" si="85"/>
        <v>3</v>
      </c>
      <c r="E353" s="59">
        <f t="shared" si="86"/>
        <v>3.8571428571428568</v>
      </c>
      <c r="F353" s="59">
        <f t="shared" si="87"/>
        <v>5.3999999999999995</v>
      </c>
      <c r="G353" s="11" t="s">
        <v>1026</v>
      </c>
      <c r="H353" s="25" t="str">
        <f>IFERROR(IF($AQ353,INDEX(cpe!$C$2:$C$307,MATCH($AR353,cpe!$F$2:$F$307,0)),INDEX(cpe!$C$2:$C$307,MATCH($AR353,cpe!$D$2:$D$307,0))),"#N/D")</f>
        <v>#N/D</v>
      </c>
      <c r="I353" s="25" t="str">
        <f>IFERROR(IF($AQ353,INDEX(cpe!$B$2:$B$307,MATCH($AR353,cpe!$F$2:$F$307,0)),INDEX(cpe!$B$2:$B$307,MATCH($AR353,cpe!$D$2:$D$307,0))),"#N/D")</f>
        <v>#N/D</v>
      </c>
      <c r="J353" s="26" t="str">
        <f>IF($AQ353,"#N/D",IFERROR(INDEX(Olimpiadas!$B$2:$B$61,MATCH($AO353,Olimpiadas!$C$2:$C$61,0)),"#N/D"))</f>
        <v>#N/D</v>
      </c>
      <c r="K353" s="26" t="str">
        <f>IF($AQ353,"#N/D",IFERROR(INDEX(Olimpiadas!$A$2:$A$61,MATCH($AO353,Olimpiadas!$C$2:$C$61,0)),"#N/D"))</f>
        <v>#N/D</v>
      </c>
      <c r="L353" s="26" t="str">
        <f>IF($AQ353,"#N/D",IFERROR(INDEX(Minculturas!$A$2:$A$48,MATCH($AO353,Minculturas!$C$2:$C$48,0)),"#N/D"))</f>
        <v>#N/D</v>
      </c>
      <c r="M353" s="26" t="str">
        <f>IF($AQ353,"#N/D",IFERROR(INDEX(Minculturas!$B$2:$B$48,MATCH($AO353,Minculturas!$C$2:$C$48,0)),"#N/D"))</f>
        <v>#N/D</v>
      </c>
      <c r="N353" s="27">
        <v>68</v>
      </c>
      <c r="O353" s="28">
        <v>4</v>
      </c>
      <c r="P353" s="28">
        <v>10</v>
      </c>
      <c r="Q353" s="28">
        <v>6</v>
      </c>
      <c r="R353" s="28">
        <v>3</v>
      </c>
      <c r="S353" s="28">
        <v>18</v>
      </c>
      <c r="T353" s="28">
        <v>1</v>
      </c>
      <c r="U353" s="28">
        <v>5</v>
      </c>
      <c r="V353" s="28">
        <v>0</v>
      </c>
      <c r="W353" s="28">
        <v>0</v>
      </c>
      <c r="X353" s="28">
        <v>5</v>
      </c>
      <c r="Y353" s="28">
        <v>9</v>
      </c>
      <c r="Z353" s="28">
        <v>0</v>
      </c>
      <c r="AA353" s="28">
        <v>2</v>
      </c>
      <c r="AB353" s="28">
        <v>4</v>
      </c>
      <c r="AC353" s="28">
        <v>1</v>
      </c>
      <c r="AD353" s="28">
        <v>0</v>
      </c>
      <c r="AE353" s="28">
        <v>0</v>
      </c>
      <c r="AF353" s="28">
        <v>0</v>
      </c>
      <c r="AG353" s="27">
        <f t="shared" si="88"/>
        <v>52</v>
      </c>
      <c r="AH353" s="28" t="s">
        <v>1027</v>
      </c>
      <c r="AI353" s="28" t="s">
        <v>1028</v>
      </c>
      <c r="AJ353" s="28">
        <v>13.7</v>
      </c>
      <c r="AK353" s="28"/>
      <c r="AL353" s="28"/>
      <c r="AM353" s="29" t="s">
        <v>1029</v>
      </c>
      <c r="AO353" t="str">
        <f t="shared" si="89"/>
        <v>dosquebradas</v>
      </c>
      <c r="AP353" t="str">
        <f t="shared" si="90"/>
        <v>risaralda</v>
      </c>
      <c r="AQ353" t="b">
        <f t="shared" si="91"/>
        <v>0</v>
      </c>
      <c r="AR353" t="str">
        <f t="shared" si="92"/>
        <v>dosquebradas</v>
      </c>
      <c r="AS353" s="30">
        <f t="shared" si="93"/>
        <v>0</v>
      </c>
      <c r="AT353" s="30">
        <f t="shared" si="94"/>
        <v>52</v>
      </c>
      <c r="AU353" s="30">
        <f t="shared" si="95"/>
        <v>3</v>
      </c>
      <c r="AV353" s="30">
        <f t="shared" si="96"/>
        <v>0</v>
      </c>
      <c r="AZ353" s="31">
        <f t="shared" si="97"/>
        <v>0</v>
      </c>
      <c r="BA353" s="31">
        <f t="shared" si="98"/>
        <v>3</v>
      </c>
      <c r="BB353" s="32">
        <f>IFERROR(INDEX('Análisis general'!$E$4:$E$28,MATCH($B353,'Análisis general'!$B$4:$B$28,0)),"")</f>
        <v>4.9000000000000004</v>
      </c>
      <c r="BC353" s="31">
        <f t="shared" si="99"/>
        <v>3</v>
      </c>
      <c r="BD353" s="32">
        <f t="shared" si="100"/>
        <v>3.8571428571428568</v>
      </c>
      <c r="BE353" s="32">
        <f t="shared" si="101"/>
        <v>5.3999999999999995</v>
      </c>
    </row>
    <row r="354" spans="1:57" ht="25.5" customHeight="1" x14ac:dyDescent="0.25">
      <c r="A354" s="33" t="s">
        <v>1033</v>
      </c>
      <c r="B354" s="11" t="s">
        <v>49</v>
      </c>
      <c r="C354" s="60" t="s">
        <v>1214</v>
      </c>
      <c r="D354" s="24">
        <f t="shared" si="85"/>
        <v>3</v>
      </c>
      <c r="E354" s="59">
        <f t="shared" si="86"/>
        <v>3.8571428571428568</v>
      </c>
      <c r="F354" s="59">
        <f t="shared" si="87"/>
        <v>5.3999999999999995</v>
      </c>
      <c r="G354" s="11" t="s">
        <v>1034</v>
      </c>
      <c r="H354" s="25" t="s">
        <v>106</v>
      </c>
      <c r="I354" s="25" t="s">
        <v>106</v>
      </c>
      <c r="J354" s="26" t="s">
        <v>106</v>
      </c>
      <c r="K354" s="26" t="str">
        <f>IF($AQ354,"#N/D",IFERROR(INDEX(Olimpiadas!$A$2:$A$61,MATCH($AO354,Olimpiadas!$C$2:$C$61,0)),"#N/D"))</f>
        <v>#N/D</v>
      </c>
      <c r="L354" s="26" t="str">
        <f>IF($AQ354,"#N/D",IFERROR(INDEX(Minculturas!$A$2:$A$48,MATCH($AO354,Minculturas!$C$2:$C$48,0)),"#N/D"))</f>
        <v>#N/D</v>
      </c>
      <c r="M354" s="26" t="str">
        <f>IF($AQ354,"#N/D",IFERROR(INDEX(Minculturas!$B$2:$B$48,MATCH($AO354,Minculturas!$C$2:$C$48,0)),"#N/D"))</f>
        <v>#N/D</v>
      </c>
      <c r="N354" s="27">
        <v>34</v>
      </c>
      <c r="O354" s="28">
        <v>2</v>
      </c>
      <c r="P354" s="28">
        <v>13</v>
      </c>
      <c r="Q354" s="28">
        <v>2</v>
      </c>
      <c r="R354" s="28">
        <v>1</v>
      </c>
      <c r="S354" s="28">
        <v>1</v>
      </c>
      <c r="T354" s="28">
        <v>3</v>
      </c>
      <c r="U354" s="28">
        <v>2</v>
      </c>
      <c r="V354" s="28">
        <v>1</v>
      </c>
      <c r="W354" s="28">
        <v>0</v>
      </c>
      <c r="X354" s="28">
        <v>1</v>
      </c>
      <c r="Y354" s="28">
        <v>2</v>
      </c>
      <c r="Z354" s="28">
        <v>1</v>
      </c>
      <c r="AA354" s="28">
        <v>1</v>
      </c>
      <c r="AB354" s="28">
        <v>3</v>
      </c>
      <c r="AC354" s="28">
        <v>1</v>
      </c>
      <c r="AD354" s="28">
        <v>0</v>
      </c>
      <c r="AE354" s="28">
        <v>0</v>
      </c>
      <c r="AF354" s="28">
        <v>0</v>
      </c>
      <c r="AG354" s="27">
        <f t="shared" si="88"/>
        <v>26</v>
      </c>
      <c r="AH354" s="28" t="s">
        <v>1035</v>
      </c>
      <c r="AI354" s="28" t="s">
        <v>1036</v>
      </c>
      <c r="AJ354" s="28">
        <v>16.5</v>
      </c>
      <c r="AK354" s="28"/>
      <c r="AL354" s="28"/>
      <c r="AM354" s="29" t="s">
        <v>1037</v>
      </c>
      <c r="AO354" t="str">
        <f t="shared" si="89"/>
        <v>roldanillo</v>
      </c>
      <c r="AP354" t="str">
        <f t="shared" si="90"/>
        <v>valle del cauca</v>
      </c>
      <c r="AQ354" t="b">
        <f t="shared" si="91"/>
        <v>0</v>
      </c>
      <c r="AR354" t="str">
        <f t="shared" si="92"/>
        <v>roldanillo</v>
      </c>
      <c r="AS354" s="30">
        <f t="shared" si="93"/>
        <v>0</v>
      </c>
      <c r="AT354" s="30">
        <f t="shared" si="94"/>
        <v>26</v>
      </c>
      <c r="AU354" s="30">
        <f t="shared" si="95"/>
        <v>3</v>
      </c>
      <c r="AV354" s="30">
        <f t="shared" si="96"/>
        <v>0</v>
      </c>
      <c r="AZ354" s="31">
        <f t="shared" si="97"/>
        <v>0</v>
      </c>
      <c r="BA354" s="31">
        <f t="shared" si="98"/>
        <v>3</v>
      </c>
      <c r="BB354" s="32">
        <f>IFERROR(INDEX('Análisis general'!$E$4:$E$28,MATCH($B354,'Análisis general'!$B$4:$B$28,0)),"")</f>
        <v>4.9000000000000004</v>
      </c>
      <c r="BC354" s="31">
        <f t="shared" si="99"/>
        <v>3</v>
      </c>
      <c r="BD354" s="32">
        <f t="shared" si="100"/>
        <v>3.8571428571428568</v>
      </c>
      <c r="BE354" s="32">
        <f t="shared" si="101"/>
        <v>5.3999999999999995</v>
      </c>
    </row>
    <row r="355" spans="1:57" ht="25.5" customHeight="1" x14ac:dyDescent="0.25">
      <c r="A355" s="33" t="s">
        <v>1017</v>
      </c>
      <c r="B355" s="11" t="s">
        <v>49</v>
      </c>
      <c r="C355" s="63" t="s">
        <v>1217</v>
      </c>
      <c r="D355" s="24">
        <f t="shared" si="85"/>
        <v>3</v>
      </c>
      <c r="E355" s="59">
        <f t="shared" si="86"/>
        <v>3.8571428571428568</v>
      </c>
      <c r="F355" s="59">
        <f t="shared" si="87"/>
        <v>5.3999999999999995</v>
      </c>
      <c r="G355" s="11" t="s">
        <v>1018</v>
      </c>
      <c r="H355" s="25" t="str">
        <f>IFERROR(IF($AQ355,INDEX(cpe!$C$2:$C$307,MATCH($AR355,cpe!$F$2:$F$307,0)),INDEX(cpe!$C$2:$C$307,MATCH($AR355,cpe!$D$2:$D$307,0))),"#N/D")</f>
        <v>#N/D</v>
      </c>
      <c r="I355" s="25" t="str">
        <f>IFERROR(IF($AQ355,INDEX(cpe!$B$2:$B$307,MATCH($AR355,cpe!$F$2:$F$307,0)),INDEX(cpe!$B$2:$B$307,MATCH($AR355,cpe!$D$2:$D$307,0))),"#N/D")</f>
        <v>#N/D</v>
      </c>
      <c r="J355" s="26" t="str">
        <f>IF($AQ355,"#N/D",IFERROR(INDEX(Olimpiadas!$B$2:$B$61,MATCH($AO355,Olimpiadas!$C$2:$C$61,0)),"#N/D"))</f>
        <v>#N/D</v>
      </c>
      <c r="K355" s="26" t="str">
        <f>IF($AQ355,"#N/D",IFERROR(INDEX(Olimpiadas!$A$2:$A$61,MATCH($AO355,Olimpiadas!$C$2:$C$61,0)),"#N/D"))</f>
        <v>#N/D</v>
      </c>
      <c r="L355" s="26" t="str">
        <f>IF($AQ355,"#N/D",IFERROR(INDEX(Minculturas!$A$2:$A$48,MATCH($AO355,Minculturas!$C$2:$C$48,0)),"#N/D"))</f>
        <v>#N/D</v>
      </c>
      <c r="M355" s="26" t="str">
        <f>IF($AQ355,"#N/D",IFERROR(INDEX(Minculturas!$B$2:$B$48,MATCH($AO355,Minculturas!$C$2:$C$48,0)),"#N/D"))</f>
        <v>#N/D</v>
      </c>
      <c r="N355" s="27">
        <v>23</v>
      </c>
      <c r="O355" s="28">
        <v>1</v>
      </c>
      <c r="P355" s="28">
        <v>3</v>
      </c>
      <c r="Q355" s="28">
        <v>1</v>
      </c>
      <c r="R355" s="28">
        <v>2</v>
      </c>
      <c r="S355" s="28">
        <v>1</v>
      </c>
      <c r="T355" s="28">
        <v>1</v>
      </c>
      <c r="U355" s="28">
        <v>2</v>
      </c>
      <c r="V355" s="28">
        <v>0</v>
      </c>
      <c r="W355" s="28">
        <v>1</v>
      </c>
      <c r="X355" s="28">
        <v>5</v>
      </c>
      <c r="Y355" s="28">
        <v>3</v>
      </c>
      <c r="Z355" s="28">
        <v>1</v>
      </c>
      <c r="AA355" s="28">
        <v>0</v>
      </c>
      <c r="AB355" s="28">
        <v>2</v>
      </c>
      <c r="AC355" s="28">
        <v>0</v>
      </c>
      <c r="AD355" s="28">
        <v>0</v>
      </c>
      <c r="AE355" s="28">
        <v>0</v>
      </c>
      <c r="AF355" s="28">
        <v>0</v>
      </c>
      <c r="AG355" s="27">
        <f t="shared" si="88"/>
        <v>17</v>
      </c>
      <c r="AH355" s="28" t="s">
        <v>233</v>
      </c>
      <c r="AI355" s="28" t="s">
        <v>704</v>
      </c>
      <c r="AJ355" s="28">
        <v>35.799999999999997</v>
      </c>
      <c r="AK355" s="28"/>
      <c r="AL355" s="28"/>
      <c r="AM355" s="29" t="s">
        <v>1019</v>
      </c>
      <c r="AO355" t="str">
        <f t="shared" si="89"/>
        <v>el cairo</v>
      </c>
      <c r="AP355" t="str">
        <f t="shared" si="90"/>
        <v>valle del cauca</v>
      </c>
      <c r="AQ355" t="b">
        <f t="shared" si="91"/>
        <v>0</v>
      </c>
      <c r="AR355" t="str">
        <f t="shared" si="92"/>
        <v>el cairo</v>
      </c>
      <c r="AS355" s="30">
        <f t="shared" si="93"/>
        <v>0</v>
      </c>
      <c r="AT355" s="30">
        <f t="shared" si="94"/>
        <v>17</v>
      </c>
      <c r="AU355" s="30">
        <f t="shared" si="95"/>
        <v>3</v>
      </c>
      <c r="AV355" s="30">
        <f t="shared" si="96"/>
        <v>0</v>
      </c>
      <c r="AZ355" s="31">
        <f t="shared" si="97"/>
        <v>0</v>
      </c>
      <c r="BA355" s="31">
        <f t="shared" si="98"/>
        <v>3</v>
      </c>
      <c r="BB355" s="32">
        <f>IFERROR(INDEX('Análisis general'!$E$4:$E$28,MATCH($B355,'Análisis general'!$B$4:$B$28,0)),"")</f>
        <v>4.9000000000000004</v>
      </c>
      <c r="BC355" s="31">
        <f t="shared" si="99"/>
        <v>3</v>
      </c>
      <c r="BD355" s="32">
        <f t="shared" si="100"/>
        <v>3.8571428571428568</v>
      </c>
      <c r="BE355" s="32">
        <f t="shared" si="101"/>
        <v>5.3999999999999995</v>
      </c>
    </row>
    <row r="356" spans="1:57" ht="25.5" customHeight="1" x14ac:dyDescent="0.25">
      <c r="A356" s="33" t="s">
        <v>1077</v>
      </c>
      <c r="B356" s="11" t="s">
        <v>49</v>
      </c>
      <c r="C356" s="34" t="s">
        <v>112</v>
      </c>
      <c r="D356" s="24">
        <f t="shared" si="85"/>
        <v>3</v>
      </c>
      <c r="E356" s="59">
        <f t="shared" si="86"/>
        <v>3.8571428571428568</v>
      </c>
      <c r="F356" s="59">
        <f t="shared" si="87"/>
        <v>5.3999999999999995</v>
      </c>
      <c r="G356" s="11" t="s">
        <v>1078</v>
      </c>
      <c r="H356" s="25" t="str">
        <f>IFERROR(IF($AQ356,INDEX(cpe!$C$2:$C$307,MATCH($AR356,cpe!$F$2:$F$307,0)),INDEX(cpe!$C$2:$C$307,MATCH($AR356,cpe!$D$2:$D$307,0))),"#N/D")</f>
        <v>#N/D</v>
      </c>
      <c r="I356" s="25" t="str">
        <f>IFERROR(IF($AQ356,INDEX(cpe!$B$2:$B$307,MATCH($AR356,cpe!$F$2:$F$307,0)),INDEX(cpe!$B$2:$B$307,MATCH($AR356,cpe!$D$2:$D$307,0))),"#N/D")</f>
        <v>#N/D</v>
      </c>
      <c r="J356" s="26" t="str">
        <f>IF($AQ356,"#N/D",IFERROR(INDEX(Olimpiadas!$B$2:$B$61,MATCH($AO356,Olimpiadas!$C$2:$C$61,0)),"#N/D"))</f>
        <v>#N/D</v>
      </c>
      <c r="K356" s="26" t="str">
        <f>IF($AQ356,"#N/D",IFERROR(INDEX(Olimpiadas!$A$2:$A$61,MATCH($AO356,Olimpiadas!$C$2:$C$61,0)),"#N/D"))</f>
        <v>#N/D</v>
      </c>
      <c r="L356" s="26" t="str">
        <f>IF($AQ356,"#N/D",IFERROR(INDEX(Minculturas!$A$2:$A$48,MATCH($AO356,Minculturas!$C$2:$C$48,0)),"#N/D"))</f>
        <v>#N/D</v>
      </c>
      <c r="M356" s="26" t="str">
        <f>IF($AQ356,"#N/D",IFERROR(INDEX(Minculturas!$B$2:$B$48,MATCH($AO356,Minculturas!$C$2:$C$48,0)),"#N/D"))</f>
        <v>#N/D</v>
      </c>
      <c r="N356" s="27">
        <v>28</v>
      </c>
      <c r="O356" s="28">
        <v>0</v>
      </c>
      <c r="P356" s="28">
        <v>5</v>
      </c>
      <c r="Q356" s="28">
        <v>0</v>
      </c>
      <c r="R356" s="28">
        <v>2</v>
      </c>
      <c r="S356" s="28">
        <v>3</v>
      </c>
      <c r="T356" s="28">
        <v>1</v>
      </c>
      <c r="U356" s="28">
        <v>3</v>
      </c>
      <c r="V356" s="28">
        <v>0</v>
      </c>
      <c r="W356" s="28">
        <v>0</v>
      </c>
      <c r="X356" s="28">
        <v>0</v>
      </c>
      <c r="Y356" s="28">
        <v>6</v>
      </c>
      <c r="Z356" s="28">
        <v>2</v>
      </c>
      <c r="AA356" s="28">
        <v>0</v>
      </c>
      <c r="AB356" s="28">
        <v>6</v>
      </c>
      <c r="AC356" s="28">
        <v>0</v>
      </c>
      <c r="AD356" s="28">
        <v>0</v>
      </c>
      <c r="AE356" s="28">
        <v>0</v>
      </c>
      <c r="AF356" s="28">
        <v>0</v>
      </c>
      <c r="AG356" s="27">
        <f t="shared" si="88"/>
        <v>14</v>
      </c>
      <c r="AH356" s="28"/>
      <c r="AI356" s="28"/>
      <c r="AJ356" s="28">
        <v>11.5</v>
      </c>
      <c r="AK356" s="28"/>
      <c r="AL356" s="28"/>
      <c r="AM356" s="29" t="s">
        <v>114</v>
      </c>
      <c r="AO356" t="str">
        <f t="shared" si="89"/>
        <v>palmira</v>
      </c>
      <c r="AP356" t="str">
        <f t="shared" si="90"/>
        <v>valle del cauca</v>
      </c>
      <c r="AQ356" t="b">
        <f t="shared" si="91"/>
        <v>0</v>
      </c>
      <c r="AR356" t="str">
        <f t="shared" si="92"/>
        <v>palmira</v>
      </c>
      <c r="AS356" s="30">
        <f t="shared" si="93"/>
        <v>0</v>
      </c>
      <c r="AT356" s="30">
        <f t="shared" si="94"/>
        <v>14</v>
      </c>
      <c r="AU356" s="30">
        <f t="shared" si="95"/>
        <v>3</v>
      </c>
      <c r="AV356" s="30">
        <f t="shared" si="96"/>
        <v>0</v>
      </c>
      <c r="AZ356" s="31">
        <f t="shared" si="97"/>
        <v>0</v>
      </c>
      <c r="BA356" s="31">
        <f t="shared" si="98"/>
        <v>3</v>
      </c>
      <c r="BB356" s="32">
        <f>IFERROR(INDEX('Análisis general'!$E$4:$E$28,MATCH($B356,'Análisis general'!$B$4:$B$28,0)),"")</f>
        <v>4.9000000000000004</v>
      </c>
      <c r="BC356" s="31">
        <f t="shared" si="99"/>
        <v>3</v>
      </c>
      <c r="BD356" s="32">
        <f t="shared" si="100"/>
        <v>3.8571428571428568</v>
      </c>
      <c r="BE356" s="32">
        <f t="shared" si="101"/>
        <v>5.3999999999999995</v>
      </c>
    </row>
    <row r="357" spans="1:57" ht="25.5" customHeight="1" x14ac:dyDescent="0.25">
      <c r="A357" s="33" t="s">
        <v>1020</v>
      </c>
      <c r="B357" s="11" t="s">
        <v>45</v>
      </c>
      <c r="C357" s="60" t="s">
        <v>1214</v>
      </c>
      <c r="D357" s="24">
        <f t="shared" si="85"/>
        <v>3</v>
      </c>
      <c r="E357" s="59">
        <f t="shared" si="86"/>
        <v>3.8571428571428568</v>
      </c>
      <c r="F357" s="59">
        <f t="shared" si="87"/>
        <v>5.3999999999999995</v>
      </c>
      <c r="G357" s="11" t="s">
        <v>1021</v>
      </c>
      <c r="H357" s="25" t="str">
        <f>IFERROR(IF($AQ357,INDEX(cpe!$C$2:$C$307,MATCH($AR357,cpe!$F$2:$F$307,0)),INDEX(cpe!$C$2:$C$307,MATCH($AR357,cpe!$D$2:$D$307,0))),"#N/D")</f>
        <v>#N/D</v>
      </c>
      <c r="I357" s="25" t="str">
        <f>IFERROR(IF($AQ357,INDEX(cpe!$B$2:$B$307,MATCH($AR357,cpe!$F$2:$F$307,0)),INDEX(cpe!$B$2:$B$307,MATCH($AR357,cpe!$D$2:$D$307,0))),"#N/D")</f>
        <v>#N/D</v>
      </c>
      <c r="J357" s="26" t="str">
        <f>IF($AQ357,"#N/D",IFERROR(INDEX(Olimpiadas!$B$2:$B$61,MATCH($AO357,Olimpiadas!$C$2:$C$61,0)),"#N/D"))</f>
        <v>#N/D</v>
      </c>
      <c r="K357" s="26" t="str">
        <f>IF($AQ357,"#N/D",IFERROR(INDEX(Olimpiadas!$A$2:$A$61,MATCH($AO357,Olimpiadas!$C$2:$C$61,0)),"#N/D"))</f>
        <v>#N/D</v>
      </c>
      <c r="L357" s="26" t="str">
        <f>IF($AQ357,"#N/D",IFERROR(INDEX(Minculturas!$A$2:$A$48,MATCH($AO357,Minculturas!$C$2:$C$48,0)),"#N/D"))</f>
        <v>#N/D</v>
      </c>
      <c r="M357" s="26" t="str">
        <f>IF($AQ357,"#N/D",IFERROR(INDEX(Minculturas!$B$2:$B$48,MATCH($AO357,Minculturas!$C$2:$C$48,0)),"#N/D"))</f>
        <v>#N/D</v>
      </c>
      <c r="N357" s="27">
        <v>16</v>
      </c>
      <c r="O357" s="28">
        <v>0</v>
      </c>
      <c r="P357" s="28">
        <v>2</v>
      </c>
      <c r="Q357" s="28">
        <v>7</v>
      </c>
      <c r="R357" s="28">
        <v>1</v>
      </c>
      <c r="S357" s="28">
        <v>0</v>
      </c>
      <c r="T357" s="28">
        <v>1</v>
      </c>
      <c r="U357" s="28">
        <v>2</v>
      </c>
      <c r="V357" s="28">
        <v>0</v>
      </c>
      <c r="W357" s="28">
        <v>0</v>
      </c>
      <c r="X357" s="28">
        <v>0</v>
      </c>
      <c r="Y357" s="28">
        <v>2</v>
      </c>
      <c r="Z357" s="28">
        <v>0</v>
      </c>
      <c r="AA357" s="28">
        <v>0</v>
      </c>
      <c r="AB357" s="28">
        <v>1</v>
      </c>
      <c r="AC357" s="28">
        <v>0</v>
      </c>
      <c r="AD357" s="28">
        <v>0</v>
      </c>
      <c r="AE357" s="28">
        <v>0</v>
      </c>
      <c r="AF357" s="28">
        <v>0</v>
      </c>
      <c r="AG357" s="27">
        <f t="shared" si="88"/>
        <v>13</v>
      </c>
      <c r="AH357" s="28" t="s">
        <v>1022</v>
      </c>
      <c r="AI357" s="28" t="s">
        <v>1023</v>
      </c>
      <c r="AJ357" s="28">
        <v>35.6</v>
      </c>
      <c r="AK357" s="28"/>
      <c r="AL357" s="28"/>
      <c r="AM357" s="29" t="s">
        <v>1024</v>
      </c>
      <c r="AO357" t="str">
        <f t="shared" si="89"/>
        <v>belen de umbria</v>
      </c>
      <c r="AP357" t="str">
        <f t="shared" si="90"/>
        <v>risaralda</v>
      </c>
      <c r="AQ357" t="b">
        <f t="shared" si="91"/>
        <v>0</v>
      </c>
      <c r="AR357" t="str">
        <f t="shared" si="92"/>
        <v>belen de umbria</v>
      </c>
      <c r="AS357" s="30">
        <f t="shared" si="93"/>
        <v>0</v>
      </c>
      <c r="AT357" s="30">
        <f t="shared" si="94"/>
        <v>13</v>
      </c>
      <c r="AU357" s="30">
        <f t="shared" si="95"/>
        <v>3</v>
      </c>
      <c r="AV357" s="30">
        <f t="shared" si="96"/>
        <v>0</v>
      </c>
      <c r="AZ357" s="31">
        <f t="shared" si="97"/>
        <v>0</v>
      </c>
      <c r="BA357" s="31">
        <f t="shared" si="98"/>
        <v>3</v>
      </c>
      <c r="BB357" s="32">
        <f>IFERROR(INDEX('Análisis general'!$E$4:$E$28,MATCH($B357,'Análisis general'!$B$4:$B$28,0)),"")</f>
        <v>4.9000000000000004</v>
      </c>
      <c r="BC357" s="31">
        <f t="shared" si="99"/>
        <v>3</v>
      </c>
      <c r="BD357" s="32">
        <f t="shared" si="100"/>
        <v>3.8571428571428568</v>
      </c>
      <c r="BE357" s="32">
        <f t="shared" si="101"/>
        <v>5.3999999999999995</v>
      </c>
    </row>
    <row r="358" spans="1:57" ht="25.5" customHeight="1" x14ac:dyDescent="0.25">
      <c r="A358" s="33" t="s">
        <v>1065</v>
      </c>
      <c r="B358" s="11" t="s">
        <v>45</v>
      </c>
      <c r="C358" s="34" t="s">
        <v>112</v>
      </c>
      <c r="D358" s="24">
        <f t="shared" si="85"/>
        <v>4</v>
      </c>
      <c r="E358" s="59">
        <f t="shared" si="86"/>
        <v>3.8571428571428568</v>
      </c>
      <c r="F358" s="59">
        <f t="shared" si="87"/>
        <v>5.3999999999999995</v>
      </c>
      <c r="G358" s="11" t="s">
        <v>1066</v>
      </c>
      <c r="H358" s="25" t="str">
        <f>IFERROR(IF($AQ358,INDEX(cpe!$C$2:$C$307,MATCH($AR358,cpe!$F$2:$F$307,0)),INDEX(cpe!$C$2:$C$307,MATCH($AR358,cpe!$D$2:$D$307,0))),"#N/D")</f>
        <v>#N/D</v>
      </c>
      <c r="I358" s="25" t="str">
        <f>IFERROR(IF($AQ358,INDEX(cpe!$B$2:$B$307,MATCH($AR358,cpe!$F$2:$F$307,0)),INDEX(cpe!$B$2:$B$307,MATCH($AR358,cpe!$D$2:$D$307,0))),"#N/D")</f>
        <v>#N/D</v>
      </c>
      <c r="J358" s="26" t="str">
        <f>IF($AQ358,"#N/D",IFERROR(INDEX(Olimpiadas!$B$2:$B$61,MATCH($AO358,Olimpiadas!$C$2:$C$61,0)),"#N/D"))</f>
        <v>#N/D</v>
      </c>
      <c r="K358" s="26" t="str">
        <f>IF($AQ358,"#N/D",IFERROR(INDEX(Olimpiadas!$A$2:$A$61,MATCH($AO358,Olimpiadas!$C$2:$C$61,0)),"#N/D"))</f>
        <v>#N/D</v>
      </c>
      <c r="L358" s="26" t="str">
        <f>IF($AQ358,"#N/D",IFERROR(INDEX(Minculturas!$A$2:$A$48,MATCH($AO358,Minculturas!$C$2:$C$48,0)),"#N/D"))</f>
        <v>#N/D</v>
      </c>
      <c r="M358" s="26" t="str">
        <f>IF($AQ358,"#N/D",IFERROR(INDEX(Minculturas!$B$2:$B$48,MATCH($AO358,Minculturas!$C$2:$C$48,0)),"#N/D"))</f>
        <v>#N/D</v>
      </c>
      <c r="N358" s="27">
        <v>13</v>
      </c>
      <c r="O358" s="28">
        <v>1</v>
      </c>
      <c r="P358" s="28">
        <v>1</v>
      </c>
      <c r="Q358" s="28">
        <v>0</v>
      </c>
      <c r="R358" s="28">
        <v>1</v>
      </c>
      <c r="S358" s="28">
        <v>2</v>
      </c>
      <c r="T358" s="28">
        <v>1</v>
      </c>
      <c r="U358" s="28">
        <v>4</v>
      </c>
      <c r="V358" s="28">
        <v>0</v>
      </c>
      <c r="W358" s="28">
        <v>0</v>
      </c>
      <c r="X358" s="28">
        <v>1</v>
      </c>
      <c r="Y358" s="28">
        <v>1</v>
      </c>
      <c r="Z358" s="28">
        <v>0</v>
      </c>
      <c r="AA358" s="28">
        <v>1</v>
      </c>
      <c r="AB358" s="28">
        <v>0</v>
      </c>
      <c r="AC358" s="28">
        <v>0</v>
      </c>
      <c r="AD358" s="28">
        <v>0</v>
      </c>
      <c r="AE358" s="28">
        <v>0</v>
      </c>
      <c r="AF358" s="28">
        <v>0</v>
      </c>
      <c r="AG358" s="27">
        <f t="shared" si="88"/>
        <v>11</v>
      </c>
      <c r="AH358" s="28" t="s">
        <v>1067</v>
      </c>
      <c r="AI358" s="28" t="s">
        <v>1068</v>
      </c>
      <c r="AJ358" s="28">
        <v>19</v>
      </c>
      <c r="AK358" s="28"/>
      <c r="AL358" s="28"/>
      <c r="AM358" s="29" t="s">
        <v>114</v>
      </c>
      <c r="AO358" t="str">
        <f t="shared" si="89"/>
        <v>la virginia</v>
      </c>
      <c r="AP358" t="str">
        <f t="shared" si="90"/>
        <v>risaralda</v>
      </c>
      <c r="AQ358" t="b">
        <f t="shared" si="91"/>
        <v>0</v>
      </c>
      <c r="AR358" t="str">
        <f t="shared" si="92"/>
        <v>la virginia</v>
      </c>
      <c r="AS358" s="30">
        <f t="shared" si="93"/>
        <v>0</v>
      </c>
      <c r="AT358" s="30">
        <f t="shared" si="94"/>
        <v>11</v>
      </c>
      <c r="AU358" s="30">
        <f t="shared" si="95"/>
        <v>3</v>
      </c>
      <c r="AV358" s="30">
        <f t="shared" si="96"/>
        <v>1</v>
      </c>
      <c r="AZ358" s="31">
        <f t="shared" si="97"/>
        <v>0</v>
      </c>
      <c r="BA358" s="31">
        <f t="shared" si="98"/>
        <v>3</v>
      </c>
      <c r="BB358" s="32">
        <f>IFERROR(INDEX('Análisis general'!$E$4:$E$28,MATCH($B358,'Análisis general'!$B$4:$B$28,0)),"")</f>
        <v>4.9000000000000004</v>
      </c>
      <c r="BC358" s="31">
        <f t="shared" si="99"/>
        <v>3</v>
      </c>
      <c r="BD358" s="32">
        <f t="shared" si="100"/>
        <v>3.8571428571428568</v>
      </c>
      <c r="BE358" s="32">
        <f t="shared" si="101"/>
        <v>5.3999999999999995</v>
      </c>
    </row>
    <row r="359" spans="1:57" ht="25.5" customHeight="1" x14ac:dyDescent="0.25">
      <c r="A359" s="33" t="s">
        <v>1030</v>
      </c>
      <c r="B359" s="11" t="s">
        <v>49</v>
      </c>
      <c r="C359" s="60" t="s">
        <v>1214</v>
      </c>
      <c r="D359" s="24">
        <f t="shared" si="85"/>
        <v>4</v>
      </c>
      <c r="E359" s="59">
        <f t="shared" si="86"/>
        <v>3.8571428571428568</v>
      </c>
      <c r="F359" s="59">
        <f t="shared" si="87"/>
        <v>5.3999999999999995</v>
      </c>
      <c r="G359" s="11" t="s">
        <v>379</v>
      </c>
      <c r="H359" s="25" t="str">
        <f>IFERROR(IF($AQ359,INDEX(cpe!$C$2:$C$307,MATCH($AR359,cpe!$F$2:$F$307,0)),INDEX(cpe!$C$2:$C$307,MATCH($AR359,cpe!$D$2:$D$307,0))),"#N/D")</f>
        <v>#N/D</v>
      </c>
      <c r="I359" s="25" t="str">
        <f>IFERROR(IF($AQ359,INDEX(cpe!$B$2:$B$307,MATCH($AR359,cpe!$F$2:$F$307,0)),INDEX(cpe!$B$2:$B$307,MATCH($AR359,cpe!$D$2:$D$307,0))),"#N/D")</f>
        <v>#N/D</v>
      </c>
      <c r="J359" s="26" t="str">
        <f>IF($AQ359,"#N/D",IFERROR(INDEX(Olimpiadas!$B$2:$B$61,MATCH($AO359,Olimpiadas!$C$2:$C$61,0)),"#N/D"))</f>
        <v>#N/D</v>
      </c>
      <c r="K359" s="26" t="str">
        <f>IF($AQ359,"#N/D",IFERROR(INDEX(Olimpiadas!$A$2:$A$61,MATCH($AO359,Olimpiadas!$C$2:$C$61,0)),"#N/D"))</f>
        <v>#N/D</v>
      </c>
      <c r="L359" s="26" t="str">
        <f>IF($AQ359,"#N/D",IFERROR(INDEX(Minculturas!$A$2:$A$48,MATCH($AO359,Minculturas!$C$2:$C$48,0)),"#N/D"))</f>
        <v>#N/D</v>
      </c>
      <c r="M359" s="26" t="str">
        <f>IF($AQ359,"#N/D",IFERROR(INDEX(Minculturas!$B$2:$B$48,MATCH($AO359,Minculturas!$C$2:$C$48,0)),"#N/D"))</f>
        <v>#N/D</v>
      </c>
      <c r="N359" s="27">
        <v>14</v>
      </c>
      <c r="O359" s="28">
        <v>0</v>
      </c>
      <c r="P359" s="28">
        <v>2</v>
      </c>
      <c r="Q359" s="28">
        <v>3</v>
      </c>
      <c r="R359" s="28">
        <v>1</v>
      </c>
      <c r="S359" s="28">
        <v>1</v>
      </c>
      <c r="T359" s="28">
        <v>0</v>
      </c>
      <c r="U359" s="28">
        <v>1</v>
      </c>
      <c r="V359" s="28">
        <v>1</v>
      </c>
      <c r="W359" s="28">
        <v>0</v>
      </c>
      <c r="X359" s="28">
        <v>1</v>
      </c>
      <c r="Y359" s="28">
        <v>1</v>
      </c>
      <c r="Z359" s="28">
        <v>1</v>
      </c>
      <c r="AA359" s="28">
        <v>0</v>
      </c>
      <c r="AB359" s="28">
        <v>1</v>
      </c>
      <c r="AC359" s="28">
        <v>1</v>
      </c>
      <c r="AD359" s="28">
        <v>0</v>
      </c>
      <c r="AE359" s="28">
        <v>0</v>
      </c>
      <c r="AF359" s="28">
        <v>0</v>
      </c>
      <c r="AG359" s="27">
        <f t="shared" si="88"/>
        <v>10</v>
      </c>
      <c r="AH359" s="28" t="s">
        <v>1031</v>
      </c>
      <c r="AI359" s="28" t="s">
        <v>791</v>
      </c>
      <c r="AJ359" s="28">
        <v>22.5</v>
      </c>
      <c r="AK359" s="28"/>
      <c r="AL359" s="28"/>
      <c r="AM359" s="29" t="s">
        <v>1032</v>
      </c>
      <c r="AO359" t="str">
        <f t="shared" si="89"/>
        <v>la union</v>
      </c>
      <c r="AP359" t="str">
        <f t="shared" si="90"/>
        <v>valle del cauca</v>
      </c>
      <c r="AQ359" t="b">
        <f t="shared" si="91"/>
        <v>1</v>
      </c>
      <c r="AR359" t="str">
        <f t="shared" si="92"/>
        <v>la union|valle del cauca</v>
      </c>
      <c r="AS359" s="30">
        <f t="shared" si="93"/>
        <v>0</v>
      </c>
      <c r="AT359" s="30">
        <f t="shared" si="94"/>
        <v>10</v>
      </c>
      <c r="AU359" s="30">
        <f t="shared" si="95"/>
        <v>3</v>
      </c>
      <c r="AV359" s="30">
        <f t="shared" si="96"/>
        <v>1</v>
      </c>
      <c r="AZ359" s="31">
        <f t="shared" si="97"/>
        <v>0</v>
      </c>
      <c r="BA359" s="31">
        <f t="shared" si="98"/>
        <v>3</v>
      </c>
      <c r="BB359" s="32">
        <f>IFERROR(INDEX('Análisis general'!$E$4:$E$28,MATCH($B359,'Análisis general'!$B$4:$B$28,0)),"")</f>
        <v>4.9000000000000004</v>
      </c>
      <c r="BC359" s="31">
        <f t="shared" si="99"/>
        <v>3</v>
      </c>
      <c r="BD359" s="32">
        <f t="shared" si="100"/>
        <v>3.8571428571428568</v>
      </c>
      <c r="BE359" s="32">
        <f t="shared" si="101"/>
        <v>5.3999999999999995</v>
      </c>
    </row>
    <row r="360" spans="1:57" ht="25.5" customHeight="1" x14ac:dyDescent="0.25">
      <c r="A360" s="33" t="s">
        <v>1089</v>
      </c>
      <c r="B360" s="11" t="s">
        <v>45</v>
      </c>
      <c r="C360" s="34" t="s">
        <v>112</v>
      </c>
      <c r="D360" s="24">
        <f t="shared" si="85"/>
        <v>3</v>
      </c>
      <c r="E360" s="59">
        <f t="shared" si="86"/>
        <v>3.8571428571428568</v>
      </c>
      <c r="F360" s="59">
        <f t="shared" si="87"/>
        <v>5.3999999999999995</v>
      </c>
      <c r="G360" s="11" t="s">
        <v>1090</v>
      </c>
      <c r="H360" s="25" t="s">
        <v>106</v>
      </c>
      <c r="I360" s="25" t="s">
        <v>106</v>
      </c>
      <c r="J360" s="26" t="s">
        <v>106</v>
      </c>
      <c r="K360" s="26" t="str">
        <f>IF($AQ360,"#N/D",IFERROR(INDEX(Olimpiadas!$A$2:$A$61,MATCH($AO360,Olimpiadas!$C$2:$C$61,0)),"#N/D"))</f>
        <v>#N/D</v>
      </c>
      <c r="L360" s="26" t="str">
        <f>IF($AQ360,"#N/D",IFERROR(INDEX(Minculturas!$A$2:$A$48,MATCH($AO360,Minculturas!$C$2:$C$48,0)),"#N/D"))</f>
        <v>#N/D</v>
      </c>
      <c r="M360" s="26" t="str">
        <f>IF($AQ360,"#N/D",IFERROR(INDEX(Minculturas!$B$2:$B$48,MATCH($AO360,Minculturas!$C$2:$C$48,0)),"#N/D"))</f>
        <v>#N/D</v>
      </c>
      <c r="N360" s="27">
        <v>18</v>
      </c>
      <c r="O360" s="28">
        <v>0</v>
      </c>
      <c r="P360" s="28">
        <v>2</v>
      </c>
      <c r="Q360" s="28">
        <v>1</v>
      </c>
      <c r="R360" s="28">
        <v>1</v>
      </c>
      <c r="S360" s="28">
        <v>1</v>
      </c>
      <c r="T360" s="28">
        <v>2</v>
      </c>
      <c r="U360" s="28">
        <v>2</v>
      </c>
      <c r="V360" s="28">
        <v>0</v>
      </c>
      <c r="W360" s="28">
        <v>0</v>
      </c>
      <c r="X360" s="28">
        <v>0</v>
      </c>
      <c r="Y360" s="28">
        <v>5</v>
      </c>
      <c r="Z360" s="28">
        <v>0</v>
      </c>
      <c r="AA360" s="28">
        <v>1</v>
      </c>
      <c r="AB360" s="28">
        <v>3</v>
      </c>
      <c r="AC360" s="28">
        <v>0</v>
      </c>
      <c r="AD360" s="28">
        <v>0</v>
      </c>
      <c r="AE360" s="28">
        <v>0</v>
      </c>
      <c r="AF360" s="28">
        <v>0</v>
      </c>
      <c r="AG360" s="27">
        <f t="shared" si="88"/>
        <v>9</v>
      </c>
      <c r="AH360" s="28" t="s">
        <v>1091</v>
      </c>
      <c r="AI360" s="28" t="s">
        <v>1092</v>
      </c>
      <c r="AJ360" s="28">
        <v>21.2</v>
      </c>
      <c r="AK360" s="28"/>
      <c r="AL360" s="28"/>
      <c r="AM360" s="29" t="s">
        <v>114</v>
      </c>
      <c r="AO360" t="str">
        <f t="shared" si="89"/>
        <v>santa rosa de cabal</v>
      </c>
      <c r="AP360" t="str">
        <f t="shared" si="90"/>
        <v>risaralda</v>
      </c>
      <c r="AQ360" t="b">
        <f t="shared" si="91"/>
        <v>0</v>
      </c>
      <c r="AR360" t="str">
        <f t="shared" si="92"/>
        <v>santa rosa de cabal</v>
      </c>
      <c r="AS360" s="30">
        <f t="shared" si="93"/>
        <v>0</v>
      </c>
      <c r="AT360" s="30">
        <f t="shared" si="94"/>
        <v>9</v>
      </c>
      <c r="AU360" s="30">
        <f t="shared" si="95"/>
        <v>3</v>
      </c>
      <c r="AV360" s="30">
        <f t="shared" si="96"/>
        <v>0</v>
      </c>
      <c r="AZ360" s="31">
        <f t="shared" si="97"/>
        <v>0</v>
      </c>
      <c r="BA360" s="31">
        <f t="shared" si="98"/>
        <v>3</v>
      </c>
      <c r="BB360" s="32">
        <f>IFERROR(INDEX('Análisis general'!$E$4:$E$28,MATCH($B360,'Análisis general'!$B$4:$B$28,0)),"")</f>
        <v>4.9000000000000004</v>
      </c>
      <c r="BC360" s="31">
        <f t="shared" si="99"/>
        <v>3</v>
      </c>
      <c r="BD360" s="32">
        <f t="shared" si="100"/>
        <v>3.8571428571428568</v>
      </c>
      <c r="BE360" s="32">
        <f t="shared" si="101"/>
        <v>5.3999999999999995</v>
      </c>
    </row>
    <row r="361" spans="1:57" ht="25.5" customHeight="1" x14ac:dyDescent="0.25">
      <c r="A361" s="33" t="s">
        <v>1045</v>
      </c>
      <c r="B361" s="11" t="s">
        <v>49</v>
      </c>
      <c r="C361" s="34" t="s">
        <v>112</v>
      </c>
      <c r="D361" s="24">
        <f t="shared" si="85"/>
        <v>4</v>
      </c>
      <c r="E361" s="59">
        <f t="shared" si="86"/>
        <v>3.8571428571428568</v>
      </c>
      <c r="F361" s="59">
        <f t="shared" si="87"/>
        <v>5.3999999999999995</v>
      </c>
      <c r="G361" s="11" t="s">
        <v>1046</v>
      </c>
      <c r="H361" s="25" t="str">
        <f>IFERROR(IF($AQ361,INDEX(cpe!$C$2:$C$307,MATCH($AR361,cpe!$F$2:$F$307,0)),INDEX(cpe!$C$2:$C$307,MATCH($AR361,cpe!$D$2:$D$307,0))),"#N/D")</f>
        <v>#N/D</v>
      </c>
      <c r="I361" s="25" t="str">
        <f>IFERROR(IF($AQ361,INDEX(cpe!$B$2:$B$307,MATCH($AR361,cpe!$F$2:$F$307,0)),INDEX(cpe!$B$2:$B$307,MATCH($AR361,cpe!$D$2:$D$307,0))),"#N/D")</f>
        <v>#N/D</v>
      </c>
      <c r="J361" s="26" t="str">
        <f>IF($AQ361,"#N/D",IFERROR(INDEX(Olimpiadas!$B$2:$B$61,MATCH($AO361,Olimpiadas!$C$2:$C$61,0)),"#N/D"))</f>
        <v>#N/D</v>
      </c>
      <c r="K361" s="26" t="str">
        <f>IF($AQ361,"#N/D",IFERROR(INDEX(Olimpiadas!$A$2:$A$61,MATCH($AO361,Olimpiadas!$C$2:$C$61,0)),"#N/D"))</f>
        <v>#N/D</v>
      </c>
      <c r="L361" s="26" t="str">
        <f>IF($AQ361,"#N/D",IFERROR(INDEX(Minculturas!$A$2:$A$48,MATCH($AO361,Minculturas!$C$2:$C$48,0)),"#N/D"))</f>
        <v>#N/D</v>
      </c>
      <c r="M361" s="26" t="str">
        <f>IF($AQ361,"#N/D",IFERROR(INDEX(Minculturas!$B$2:$B$48,MATCH($AO361,Minculturas!$C$2:$C$48,0)),"#N/D"))</f>
        <v>#N/D</v>
      </c>
      <c r="N361" s="27">
        <v>7</v>
      </c>
      <c r="O361" s="28">
        <v>0</v>
      </c>
      <c r="P361" s="28">
        <v>2</v>
      </c>
      <c r="Q361" s="28">
        <v>1</v>
      </c>
      <c r="R361" s="28">
        <v>1</v>
      </c>
      <c r="S361" s="28">
        <v>0</v>
      </c>
      <c r="T361" s="28">
        <v>1</v>
      </c>
      <c r="U361" s="28">
        <v>0</v>
      </c>
      <c r="V361" s="28">
        <v>0</v>
      </c>
      <c r="W361" s="28">
        <v>0</v>
      </c>
      <c r="X361" s="28">
        <v>0</v>
      </c>
      <c r="Y361" s="28">
        <v>1</v>
      </c>
      <c r="Z361" s="28">
        <v>0</v>
      </c>
      <c r="AA361" s="28">
        <v>0</v>
      </c>
      <c r="AB361" s="28">
        <v>1</v>
      </c>
      <c r="AC361" s="28">
        <v>0</v>
      </c>
      <c r="AD361" s="28">
        <v>0</v>
      </c>
      <c r="AE361" s="28">
        <v>0</v>
      </c>
      <c r="AF361" s="28">
        <v>0</v>
      </c>
      <c r="AG361" s="27">
        <f t="shared" si="88"/>
        <v>5</v>
      </c>
      <c r="AH361" s="28"/>
      <c r="AI361" s="28"/>
      <c r="AJ361" s="28">
        <v>25.8</v>
      </c>
      <c r="AK361" s="28"/>
      <c r="AL361" s="28"/>
      <c r="AM361" s="29" t="s">
        <v>114</v>
      </c>
      <c r="AO361" t="str">
        <f t="shared" si="89"/>
        <v>bugalagrande</v>
      </c>
      <c r="AP361" t="str">
        <f t="shared" si="90"/>
        <v>valle del cauca</v>
      </c>
      <c r="AQ361" t="b">
        <f t="shared" si="91"/>
        <v>0</v>
      </c>
      <c r="AR361" t="str">
        <f t="shared" si="92"/>
        <v>bugalagrande</v>
      </c>
      <c r="AS361" s="30">
        <f t="shared" si="93"/>
        <v>0</v>
      </c>
      <c r="AT361" s="30">
        <f t="shared" si="94"/>
        <v>5</v>
      </c>
      <c r="AU361" s="30">
        <f t="shared" si="95"/>
        <v>3</v>
      </c>
      <c r="AV361" s="30">
        <f t="shared" si="96"/>
        <v>1</v>
      </c>
      <c r="AZ361" s="31">
        <f t="shared" si="97"/>
        <v>0</v>
      </c>
      <c r="BA361" s="31">
        <f t="shared" si="98"/>
        <v>3</v>
      </c>
      <c r="BB361" s="32">
        <f>IFERROR(INDEX('Análisis general'!$E$4:$E$28,MATCH($B361,'Análisis general'!$B$4:$B$28,0)),"")</f>
        <v>4.9000000000000004</v>
      </c>
      <c r="BC361" s="31">
        <f t="shared" si="99"/>
        <v>3</v>
      </c>
      <c r="BD361" s="32">
        <f t="shared" si="100"/>
        <v>3.8571428571428568</v>
      </c>
      <c r="BE361" s="32">
        <f t="shared" si="101"/>
        <v>5.3999999999999995</v>
      </c>
    </row>
    <row r="362" spans="1:57" ht="25.5" customHeight="1" x14ac:dyDescent="0.25">
      <c r="A362" s="33" t="s">
        <v>1059</v>
      </c>
      <c r="B362" s="11" t="s">
        <v>49</v>
      </c>
      <c r="C362" s="34" t="s">
        <v>112</v>
      </c>
      <c r="D362" s="24">
        <f t="shared" si="85"/>
        <v>4</v>
      </c>
      <c r="E362" s="59">
        <f t="shared" si="86"/>
        <v>3.8571428571428568</v>
      </c>
      <c r="F362" s="59">
        <f t="shared" si="87"/>
        <v>5.3999999999999995</v>
      </c>
      <c r="G362" s="11" t="s">
        <v>1060</v>
      </c>
      <c r="H362" s="25" t="str">
        <f>IFERROR(IF($AQ362,INDEX(cpe!$C$2:$C$307,MATCH($AR362,cpe!$F$2:$F$307,0)),INDEX(cpe!$C$2:$C$307,MATCH($AR362,cpe!$D$2:$D$307,0))),"#N/D")</f>
        <v>#N/D</v>
      </c>
      <c r="I362" s="25" t="str">
        <f>IFERROR(IF($AQ362,INDEX(cpe!$B$2:$B$307,MATCH($AR362,cpe!$F$2:$F$307,0)),INDEX(cpe!$B$2:$B$307,MATCH($AR362,cpe!$D$2:$D$307,0))),"#N/D")</f>
        <v>#N/D</v>
      </c>
      <c r="J362" s="26" t="str">
        <f>IF($AQ362,"#N/D",IFERROR(INDEX(Olimpiadas!$B$2:$B$61,MATCH($AO362,Olimpiadas!$C$2:$C$61,0)),"#N/D"))</f>
        <v>#N/D</v>
      </c>
      <c r="K362" s="26" t="str">
        <f>IF($AQ362,"#N/D",IFERROR(INDEX(Olimpiadas!$A$2:$A$61,MATCH($AO362,Olimpiadas!$C$2:$C$61,0)),"#N/D"))</f>
        <v>#N/D</v>
      </c>
      <c r="L362" s="26" t="str">
        <f>IF($AQ362,"#N/D",IFERROR(INDEX(Minculturas!$A$2:$A$48,MATCH($AO362,Minculturas!$C$2:$C$48,0)),"#N/D"))</f>
        <v>#N/D</v>
      </c>
      <c r="M362" s="26" t="str">
        <f>IF($AQ362,"#N/D",IFERROR(INDEX(Minculturas!$B$2:$B$48,MATCH($AO362,Minculturas!$C$2:$C$48,0)),"#N/D"))</f>
        <v>#N/D</v>
      </c>
      <c r="N362" s="27">
        <v>6</v>
      </c>
      <c r="O362" s="28">
        <v>0</v>
      </c>
      <c r="P362" s="28">
        <v>2</v>
      </c>
      <c r="Q362" s="28">
        <v>1</v>
      </c>
      <c r="R362" s="28">
        <v>1</v>
      </c>
      <c r="S362" s="28">
        <v>0</v>
      </c>
      <c r="T362" s="28">
        <v>0</v>
      </c>
      <c r="U362" s="28">
        <v>0</v>
      </c>
      <c r="V362" s="28">
        <v>1</v>
      </c>
      <c r="W362" s="28">
        <v>0</v>
      </c>
      <c r="X362" s="28">
        <v>0</v>
      </c>
      <c r="Y362" s="28">
        <v>1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8">
        <v>0</v>
      </c>
      <c r="AG362" s="27">
        <f t="shared" si="88"/>
        <v>5</v>
      </c>
      <c r="AH362" s="28" t="s">
        <v>1061</v>
      </c>
      <c r="AI362" s="28" t="s">
        <v>1062</v>
      </c>
      <c r="AJ362" s="28">
        <v>25.3</v>
      </c>
      <c r="AK362" s="28"/>
      <c r="AL362" s="28"/>
      <c r="AM362" s="29" t="s">
        <v>114</v>
      </c>
      <c r="AO362" t="str">
        <f t="shared" si="89"/>
        <v>la cumbre</v>
      </c>
      <c r="AP362" t="str">
        <f t="shared" si="90"/>
        <v>valle del cauca</v>
      </c>
      <c r="AQ362" t="b">
        <f t="shared" si="91"/>
        <v>0</v>
      </c>
      <c r="AR362" t="str">
        <f t="shared" si="92"/>
        <v>la cumbre</v>
      </c>
      <c r="AS362" s="30">
        <f t="shared" si="93"/>
        <v>0</v>
      </c>
      <c r="AT362" s="30">
        <f t="shared" si="94"/>
        <v>5</v>
      </c>
      <c r="AU362" s="30">
        <f t="shared" si="95"/>
        <v>3</v>
      </c>
      <c r="AV362" s="30">
        <f t="shared" si="96"/>
        <v>1</v>
      </c>
      <c r="AZ362" s="31">
        <f t="shared" si="97"/>
        <v>0</v>
      </c>
      <c r="BA362" s="31">
        <f t="shared" si="98"/>
        <v>3</v>
      </c>
      <c r="BB362" s="32">
        <f>IFERROR(INDEX('Análisis general'!$E$4:$E$28,MATCH($B362,'Análisis general'!$B$4:$B$28,0)),"")</f>
        <v>4.9000000000000004</v>
      </c>
      <c r="BC362" s="31">
        <f t="shared" si="99"/>
        <v>3</v>
      </c>
      <c r="BD362" s="32">
        <f t="shared" si="100"/>
        <v>3.8571428571428568</v>
      </c>
      <c r="BE362" s="32">
        <f t="shared" si="101"/>
        <v>5.3999999999999995</v>
      </c>
    </row>
    <row r="363" spans="1:57" ht="25.5" customHeight="1" x14ac:dyDescent="0.25">
      <c r="A363" s="33" t="s">
        <v>1103</v>
      </c>
      <c r="B363" s="11" t="s">
        <v>48</v>
      </c>
      <c r="C363" s="34" t="s">
        <v>112</v>
      </c>
      <c r="D363" s="24">
        <f t="shared" si="85"/>
        <v>4</v>
      </c>
      <c r="E363" s="59">
        <f t="shared" si="86"/>
        <v>3.8571428571428568</v>
      </c>
      <c r="F363" s="59">
        <f t="shared" si="87"/>
        <v>5.3999999999999995</v>
      </c>
      <c r="G363" s="11" t="s">
        <v>1104</v>
      </c>
      <c r="H363" s="25" t="str">
        <f>IFERROR(IF($AQ363,INDEX(cpe!$C$2:$C$307,MATCH($AR363,cpe!$F$2:$F$307,0)),INDEX(cpe!$C$2:$C$307,MATCH($AR363,cpe!$D$2:$D$307,0))),"#N/D")</f>
        <v>#N/D</v>
      </c>
      <c r="I363" s="25" t="str">
        <f>IFERROR(IF($AQ363,INDEX(cpe!$B$2:$B$307,MATCH($AR363,cpe!$F$2:$F$307,0)),INDEX(cpe!$B$2:$B$307,MATCH($AR363,cpe!$D$2:$D$307,0))),"#N/D")</f>
        <v>#N/D</v>
      </c>
      <c r="J363" s="26" t="str">
        <f>IF($AQ363,"#N/D",IFERROR(INDEX(Olimpiadas!$B$2:$B$61,MATCH($AO363,Olimpiadas!$C$2:$C$61,0)),"#N/D"))</f>
        <v>#N/D</v>
      </c>
      <c r="K363" s="26" t="str">
        <f>IF($AQ363,"#N/D",IFERROR(INDEX(Olimpiadas!$A$2:$A$61,MATCH($AO363,Olimpiadas!$C$2:$C$61,0)),"#N/D"))</f>
        <v>#N/D</v>
      </c>
      <c r="L363" s="26" t="str">
        <f>IF($AQ363,"#N/D",IFERROR(INDEX(Minculturas!$A$2:$A$48,MATCH($AO363,Minculturas!$C$2:$C$48,0)),"#N/D"))</f>
        <v>#N/D</v>
      </c>
      <c r="M363" s="26" t="str">
        <f>IF($AQ363,"#N/D",IFERROR(INDEX(Minculturas!$B$2:$B$48,MATCH($AO363,Minculturas!$C$2:$C$48,0)),"#N/D"))</f>
        <v>#N/D</v>
      </c>
      <c r="N363" s="27">
        <v>5</v>
      </c>
      <c r="O363" s="28">
        <v>0</v>
      </c>
      <c r="P363" s="28">
        <v>0</v>
      </c>
      <c r="Q363" s="28">
        <v>2</v>
      </c>
      <c r="R363" s="28">
        <v>0</v>
      </c>
      <c r="S363" s="28">
        <v>0</v>
      </c>
      <c r="T363" s="28">
        <v>1</v>
      </c>
      <c r="U363" s="28">
        <v>0</v>
      </c>
      <c r="V363" s="28">
        <v>0</v>
      </c>
      <c r="W363" s="28">
        <v>1</v>
      </c>
      <c r="X363" s="28">
        <v>0</v>
      </c>
      <c r="Y363" s="28">
        <v>1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8">
        <v>0</v>
      </c>
      <c r="AG363" s="27">
        <f t="shared" si="88"/>
        <v>4</v>
      </c>
      <c r="AH363" s="28"/>
      <c r="AI363" s="28"/>
      <c r="AJ363" s="28">
        <v>54</v>
      </c>
      <c r="AK363" s="28"/>
      <c r="AL363" s="28"/>
      <c r="AM363" s="29" t="s">
        <v>114</v>
      </c>
      <c r="AO363" t="str">
        <f t="shared" si="89"/>
        <v>herveo</v>
      </c>
      <c r="AP363" t="str">
        <f t="shared" si="90"/>
        <v>tolima</v>
      </c>
      <c r="AQ363" t="b">
        <f t="shared" si="91"/>
        <v>0</v>
      </c>
      <c r="AR363" t="str">
        <f t="shared" si="92"/>
        <v>herveo</v>
      </c>
      <c r="AS363" s="30">
        <f t="shared" si="93"/>
        <v>0</v>
      </c>
      <c r="AT363" s="30">
        <f t="shared" si="94"/>
        <v>4</v>
      </c>
      <c r="AU363" s="30">
        <f t="shared" si="95"/>
        <v>3</v>
      </c>
      <c r="AV363" s="30">
        <f t="shared" si="96"/>
        <v>1</v>
      </c>
      <c r="AZ363" s="31">
        <f t="shared" si="97"/>
        <v>0</v>
      </c>
      <c r="BA363" s="31">
        <f t="shared" si="98"/>
        <v>3</v>
      </c>
      <c r="BB363" s="32">
        <f>IFERROR(INDEX('Análisis general'!$E$4:$E$28,MATCH($B363,'Análisis general'!$B$4:$B$28,0)),"")</f>
        <v>12.2</v>
      </c>
      <c r="BC363" s="31">
        <f t="shared" si="99"/>
        <v>3</v>
      </c>
      <c r="BD363" s="32">
        <f t="shared" si="100"/>
        <v>3.8571428571428568</v>
      </c>
      <c r="BE363" s="32">
        <f t="shared" si="101"/>
        <v>5.3999999999999995</v>
      </c>
    </row>
    <row r="364" spans="1:57" ht="25.5" customHeight="1" x14ac:dyDescent="0.25">
      <c r="A364" s="33" t="s">
        <v>1038</v>
      </c>
      <c r="B364" s="11" t="s">
        <v>35</v>
      </c>
      <c r="C364" s="34" t="s">
        <v>112</v>
      </c>
      <c r="D364" s="24">
        <f t="shared" si="85"/>
        <v>3</v>
      </c>
      <c r="E364" s="59">
        <f t="shared" si="86"/>
        <v>3.8571428571428568</v>
      </c>
      <c r="F364" s="59">
        <f t="shared" si="87"/>
        <v>5.3999999999999995</v>
      </c>
      <c r="G364" s="11" t="s">
        <v>1039</v>
      </c>
      <c r="H364" s="25" t="str">
        <f>IFERROR(IF($AQ364,INDEX(cpe!$C$2:$C$307,MATCH($AR364,cpe!$F$2:$F$307,0)),INDEX(cpe!$C$2:$C$307,MATCH($AR364,cpe!$D$2:$D$307,0))),"#N/D")</f>
        <v>#N/D</v>
      </c>
      <c r="I364" s="25" t="str">
        <f>IFERROR(IF($AQ364,INDEX(cpe!$B$2:$B$307,MATCH($AR364,cpe!$F$2:$F$307,0)),INDEX(cpe!$B$2:$B$307,MATCH($AR364,cpe!$D$2:$D$307,0))),"#N/D")</f>
        <v>#N/D</v>
      </c>
      <c r="J364" s="26" t="str">
        <f>IF($AQ364,"#N/D",IFERROR(INDEX(Olimpiadas!$B$2:$B$61,MATCH($AO364,Olimpiadas!$C$2:$C$61,0)),"#N/D"))</f>
        <v>#N/D</v>
      </c>
      <c r="K364" s="26" t="str">
        <f>IF($AQ364,"#N/D",IFERROR(INDEX(Olimpiadas!$A$2:$A$61,MATCH($AO364,Olimpiadas!$C$2:$C$61,0)),"#N/D"))</f>
        <v>#N/D</v>
      </c>
      <c r="L364" s="26" t="str">
        <f>IF($AQ364,"#N/D",IFERROR(INDEX(Minculturas!$A$2:$A$48,MATCH($AO364,Minculturas!$C$2:$C$48,0)),"#N/D"))</f>
        <v>#N/D</v>
      </c>
      <c r="M364" s="26" t="str">
        <f>IF($AQ364,"#N/D",IFERROR(INDEX(Minculturas!$B$2:$B$48,MATCH($AO364,Minculturas!$C$2:$C$48,0)),"#N/D"))</f>
        <v>#N/D</v>
      </c>
      <c r="N364" s="27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0</v>
      </c>
      <c r="AF364" s="28">
        <v>0</v>
      </c>
      <c r="AG364" s="27">
        <f t="shared" si="88"/>
        <v>0</v>
      </c>
      <c r="AH364" s="28"/>
      <c r="AI364" s="28"/>
      <c r="AJ364" s="28">
        <v>29.3</v>
      </c>
      <c r="AK364" s="28"/>
      <c r="AL364" s="28"/>
      <c r="AM364" s="29" t="s">
        <v>246</v>
      </c>
      <c r="AO364" t="str">
        <f t="shared" si="89"/>
        <v>bituima</v>
      </c>
      <c r="AP364" t="str">
        <f t="shared" si="90"/>
        <v>cundinamarca</v>
      </c>
      <c r="AQ364" t="b">
        <f t="shared" si="91"/>
        <v>0</v>
      </c>
      <c r="AR364" t="str">
        <f t="shared" si="92"/>
        <v>bituima</v>
      </c>
      <c r="AS364" s="30">
        <f t="shared" si="93"/>
        <v>0</v>
      </c>
      <c r="AT364" s="30">
        <f t="shared" si="94"/>
        <v>0</v>
      </c>
      <c r="AU364" s="30">
        <f t="shared" si="95"/>
        <v>0</v>
      </c>
      <c r="AV364" s="30">
        <f t="shared" si="96"/>
        <v>3</v>
      </c>
      <c r="AZ364" s="31">
        <f t="shared" si="97"/>
        <v>3</v>
      </c>
      <c r="BA364" s="31">
        <f t="shared" si="98"/>
        <v>3</v>
      </c>
      <c r="BB364" s="32">
        <f>IFERROR(INDEX('Análisis general'!$E$4:$E$28,MATCH($B364,'Análisis general'!$B$4:$B$28,0)),"")</f>
        <v>4.0999999999999996</v>
      </c>
      <c r="BC364" s="31">
        <f t="shared" si="99"/>
        <v>3</v>
      </c>
      <c r="BD364" s="32">
        <f t="shared" si="100"/>
        <v>3.8571428571428568</v>
      </c>
      <c r="BE364" s="32">
        <f t="shared" si="101"/>
        <v>5.3999999999999995</v>
      </c>
    </row>
    <row r="365" spans="1:57" ht="25.5" customHeight="1" x14ac:dyDescent="0.25">
      <c r="A365" s="33" t="s">
        <v>1040</v>
      </c>
      <c r="B365" s="11" t="s">
        <v>35</v>
      </c>
      <c r="C365" s="34" t="s">
        <v>112</v>
      </c>
      <c r="D365" s="24">
        <f t="shared" si="85"/>
        <v>3</v>
      </c>
      <c r="E365" s="59">
        <f t="shared" si="86"/>
        <v>3.8571428571428568</v>
      </c>
      <c r="F365" s="59">
        <f t="shared" si="87"/>
        <v>5.3999999999999995</v>
      </c>
      <c r="G365" s="11" t="s">
        <v>1041</v>
      </c>
      <c r="H365" s="25" t="str">
        <f>IFERROR(IF($AQ365,INDEX(cpe!$C$2:$C$307,MATCH($AR365,cpe!$F$2:$F$307,0)),INDEX(cpe!$C$2:$C$307,MATCH($AR365,cpe!$D$2:$D$307,0))),"#N/D")</f>
        <v>#N/D</v>
      </c>
      <c r="I365" s="25" t="str">
        <f>IFERROR(IF($AQ365,INDEX(cpe!$B$2:$B$307,MATCH($AR365,cpe!$F$2:$F$307,0)),INDEX(cpe!$B$2:$B$307,MATCH($AR365,cpe!$D$2:$D$307,0))),"#N/D")</f>
        <v>#N/D</v>
      </c>
      <c r="J365" s="26" t="str">
        <f>IF($AQ365,"#N/D",IFERROR(INDEX(Olimpiadas!$B$2:$B$61,MATCH($AO365,Olimpiadas!$C$2:$C$61,0)),"#N/D"))</f>
        <v>#N/D</v>
      </c>
      <c r="K365" s="26" t="str">
        <f>IF($AQ365,"#N/D",IFERROR(INDEX(Olimpiadas!$A$2:$A$61,MATCH($AO365,Olimpiadas!$C$2:$C$61,0)),"#N/D"))</f>
        <v>#N/D</v>
      </c>
      <c r="L365" s="26" t="str">
        <f>IF($AQ365,"#N/D",IFERROR(INDEX(Minculturas!$A$2:$A$48,MATCH($AO365,Minculturas!$C$2:$C$48,0)),"#N/D"))</f>
        <v>#N/D</v>
      </c>
      <c r="M365" s="26" t="str">
        <f>IF($AQ365,"#N/D",IFERROR(INDEX(Minculturas!$B$2:$B$48,MATCH($AO365,Minculturas!$C$2:$C$48,0)),"#N/D"))</f>
        <v>#N/D</v>
      </c>
      <c r="N365" s="27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7">
        <f t="shared" si="88"/>
        <v>0</v>
      </c>
      <c r="AH365" s="28"/>
      <c r="AI365" s="28"/>
      <c r="AJ365" s="28">
        <v>16.8</v>
      </c>
      <c r="AK365" s="28"/>
      <c r="AL365" s="28"/>
      <c r="AM365" s="29" t="s">
        <v>246</v>
      </c>
      <c r="AO365" t="str">
        <f t="shared" si="89"/>
        <v>bojaca</v>
      </c>
      <c r="AP365" t="str">
        <f t="shared" si="90"/>
        <v>cundinamarca</v>
      </c>
      <c r="AQ365" t="b">
        <f t="shared" si="91"/>
        <v>0</v>
      </c>
      <c r="AR365" t="str">
        <f t="shared" si="92"/>
        <v>bojaca</v>
      </c>
      <c r="AS365" s="30">
        <f t="shared" si="93"/>
        <v>0</v>
      </c>
      <c r="AT365" s="30">
        <f t="shared" si="94"/>
        <v>0</v>
      </c>
      <c r="AU365" s="30">
        <f t="shared" si="95"/>
        <v>0</v>
      </c>
      <c r="AV365" s="30">
        <f t="shared" si="96"/>
        <v>3</v>
      </c>
      <c r="AZ365" s="31">
        <f t="shared" si="97"/>
        <v>3</v>
      </c>
      <c r="BA365" s="31">
        <f t="shared" si="98"/>
        <v>3</v>
      </c>
      <c r="BB365" s="32">
        <f>IFERROR(INDEX('Análisis general'!$E$4:$E$28,MATCH($B365,'Análisis general'!$B$4:$B$28,0)),"")</f>
        <v>4.0999999999999996</v>
      </c>
      <c r="BC365" s="31">
        <f t="shared" si="99"/>
        <v>3</v>
      </c>
      <c r="BD365" s="32">
        <f t="shared" si="100"/>
        <v>3.8571428571428568</v>
      </c>
      <c r="BE365" s="32">
        <f t="shared" si="101"/>
        <v>5.3999999999999995</v>
      </c>
    </row>
    <row r="366" spans="1:57" ht="25.5" customHeight="1" x14ac:dyDescent="0.25">
      <c r="A366" s="33" t="s">
        <v>1042</v>
      </c>
      <c r="B366" s="11" t="s">
        <v>49</v>
      </c>
      <c r="C366" s="34" t="s">
        <v>112</v>
      </c>
      <c r="D366" s="24">
        <f t="shared" si="85"/>
        <v>3</v>
      </c>
      <c r="E366" s="59">
        <f t="shared" si="86"/>
        <v>3.8571428571428568</v>
      </c>
      <c r="F366" s="59">
        <f t="shared" si="87"/>
        <v>5.3999999999999995</v>
      </c>
      <c r="G366" s="11" t="s">
        <v>19</v>
      </c>
      <c r="H366" s="25" t="str">
        <f>IFERROR(IF($AQ366,INDEX(cpe!$C$2:$C$307,MATCH($AR366,cpe!$F$2:$F$307,0)),INDEX(cpe!$C$2:$C$307,MATCH($AR366,cpe!$D$2:$D$307,0))),"#N/D")</f>
        <v>#N/D</v>
      </c>
      <c r="I366" s="25" t="str">
        <f>IFERROR(IF($AQ366,INDEX(cpe!$B$2:$B$307,MATCH($AR366,cpe!$F$2:$F$307,0)),INDEX(cpe!$B$2:$B$307,MATCH($AR366,cpe!$D$2:$D$307,0))),"#N/D")</f>
        <v>#N/D</v>
      </c>
      <c r="J366" s="26" t="str">
        <f>IF($AQ366,"#N/D",IFERROR(INDEX(Olimpiadas!$B$2:$B$61,MATCH($AO366,Olimpiadas!$C$2:$C$61,0)),"#N/D"))</f>
        <v>#N/D</v>
      </c>
      <c r="K366" s="26" t="str">
        <f>IF($AQ366,"#N/D",IFERROR(INDEX(Olimpiadas!$A$2:$A$61,MATCH($AO366,Olimpiadas!$C$2:$C$61,0)),"#N/D"))</f>
        <v>#N/D</v>
      </c>
      <c r="L366" s="26" t="str">
        <f>IF($AQ366,"#N/D",IFERROR(INDEX(Minculturas!$A$2:$A$48,MATCH($AO366,Minculturas!$C$2:$C$48,0)),"#N/D"))</f>
        <v>#N/D</v>
      </c>
      <c r="M366" s="26" t="str">
        <f>IF($AQ366,"#N/D",IFERROR(INDEX(Minculturas!$B$2:$B$48,MATCH($AO366,Minculturas!$C$2:$C$48,0)),"#N/D"))</f>
        <v>#N/D</v>
      </c>
      <c r="N366" s="27">
        <v>1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1</v>
      </c>
      <c r="AC366" s="28">
        <v>0</v>
      </c>
      <c r="AD366" s="28">
        <v>0</v>
      </c>
      <c r="AE366" s="28">
        <v>0</v>
      </c>
      <c r="AF366" s="28">
        <v>0</v>
      </c>
      <c r="AG366" s="27">
        <f t="shared" si="88"/>
        <v>0</v>
      </c>
      <c r="AH366" s="28" t="s">
        <v>1043</v>
      </c>
      <c r="AI366" s="28" t="s">
        <v>1044</v>
      </c>
      <c r="AJ366" s="28">
        <v>51.1</v>
      </c>
      <c r="AK366" s="28"/>
      <c r="AL366" s="28"/>
      <c r="AM366" s="29" t="s">
        <v>114</v>
      </c>
      <c r="AO366" t="str">
        <f t="shared" si="89"/>
        <v>bolivar</v>
      </c>
      <c r="AP366" t="str">
        <f t="shared" si="90"/>
        <v>valle del cauca</v>
      </c>
      <c r="AQ366" t="b">
        <f t="shared" si="91"/>
        <v>1</v>
      </c>
      <c r="AR366" t="str">
        <f t="shared" si="92"/>
        <v>bolivar|valle del cauca</v>
      </c>
      <c r="AS366" s="30">
        <f t="shared" si="93"/>
        <v>0</v>
      </c>
      <c r="AT366" s="30">
        <f t="shared" si="94"/>
        <v>0</v>
      </c>
      <c r="AU366" s="30">
        <f t="shared" si="95"/>
        <v>0</v>
      </c>
      <c r="AV366" s="30">
        <f t="shared" si="96"/>
        <v>3</v>
      </c>
      <c r="AZ366" s="31">
        <f t="shared" si="97"/>
        <v>3</v>
      </c>
      <c r="BA366" s="31">
        <f t="shared" si="98"/>
        <v>3</v>
      </c>
      <c r="BB366" s="32">
        <f>IFERROR(INDEX('Análisis general'!$E$4:$E$28,MATCH($B366,'Análisis general'!$B$4:$B$28,0)),"")</f>
        <v>4.9000000000000004</v>
      </c>
      <c r="BC366" s="31">
        <f t="shared" si="99"/>
        <v>3</v>
      </c>
      <c r="BD366" s="32">
        <f t="shared" si="100"/>
        <v>3.8571428571428568</v>
      </c>
      <c r="BE366" s="32">
        <f t="shared" si="101"/>
        <v>5.3999999999999995</v>
      </c>
    </row>
    <row r="367" spans="1:57" ht="25.5" customHeight="1" x14ac:dyDescent="0.25">
      <c r="A367" s="33" t="s">
        <v>1047</v>
      </c>
      <c r="B367" s="11" t="s">
        <v>35</v>
      </c>
      <c r="C367" s="34" t="s">
        <v>112</v>
      </c>
      <c r="D367" s="24">
        <f t="shared" si="85"/>
        <v>3</v>
      </c>
      <c r="E367" s="59">
        <f t="shared" si="86"/>
        <v>3.8571428571428568</v>
      </c>
      <c r="F367" s="59">
        <f t="shared" si="87"/>
        <v>5.3999999999999995</v>
      </c>
      <c r="G367" s="11" t="s">
        <v>1048</v>
      </c>
      <c r="H367" s="25" t="str">
        <f>IFERROR(IF($AQ367,INDEX(cpe!$C$2:$C$307,MATCH($AR367,cpe!$F$2:$F$307,0)),INDEX(cpe!$C$2:$C$307,MATCH($AR367,cpe!$D$2:$D$307,0))),"#N/D")</f>
        <v>#N/D</v>
      </c>
      <c r="I367" s="25" t="str">
        <f>IFERROR(IF($AQ367,INDEX(cpe!$B$2:$B$307,MATCH($AR367,cpe!$F$2:$F$307,0)),INDEX(cpe!$B$2:$B$307,MATCH($AR367,cpe!$D$2:$D$307,0))),"#N/D")</f>
        <v>#N/D</v>
      </c>
      <c r="J367" s="26" t="str">
        <f>IF($AQ367,"#N/D",IFERROR(INDEX(Olimpiadas!$B$2:$B$61,MATCH($AO367,Olimpiadas!$C$2:$C$61,0)),"#N/D"))</f>
        <v>#N/D</v>
      </c>
      <c r="K367" s="26" t="str">
        <f>IF($AQ367,"#N/D",IFERROR(INDEX(Olimpiadas!$A$2:$A$61,MATCH($AO367,Olimpiadas!$C$2:$C$61,0)),"#N/D"))</f>
        <v>#N/D</v>
      </c>
      <c r="L367" s="26" t="str">
        <f>IF($AQ367,"#N/D",IFERROR(INDEX(Minculturas!$A$2:$A$48,MATCH($AO367,Minculturas!$C$2:$C$48,0)),"#N/D"))</f>
        <v>#N/D</v>
      </c>
      <c r="M367" s="26" t="str">
        <f>IF($AQ367,"#N/D",IFERROR(INDEX(Minculturas!$B$2:$B$48,MATCH($AO367,Minculturas!$C$2:$C$48,0)),"#N/D"))</f>
        <v>#N/D</v>
      </c>
      <c r="N367" s="27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27">
        <f t="shared" si="88"/>
        <v>0</v>
      </c>
      <c r="AH367" s="28"/>
      <c r="AI367" s="28"/>
      <c r="AJ367" s="28">
        <v>22.5</v>
      </c>
      <c r="AK367" s="28"/>
      <c r="AL367" s="28"/>
      <c r="AM367" s="29" t="s">
        <v>1049</v>
      </c>
      <c r="AO367" t="str">
        <f t="shared" si="89"/>
        <v>choachi</v>
      </c>
      <c r="AP367" t="str">
        <f t="shared" si="90"/>
        <v>cundinamarca</v>
      </c>
      <c r="AQ367" t="b">
        <f t="shared" si="91"/>
        <v>0</v>
      </c>
      <c r="AR367" t="str">
        <f t="shared" si="92"/>
        <v>choachi</v>
      </c>
      <c r="AS367" s="30">
        <f t="shared" si="93"/>
        <v>0</v>
      </c>
      <c r="AT367" s="30">
        <f t="shared" si="94"/>
        <v>0</v>
      </c>
      <c r="AU367" s="30">
        <f t="shared" si="95"/>
        <v>0</v>
      </c>
      <c r="AV367" s="30">
        <f t="shared" si="96"/>
        <v>3</v>
      </c>
      <c r="AZ367" s="31">
        <f t="shared" si="97"/>
        <v>3</v>
      </c>
      <c r="BA367" s="31">
        <f t="shared" si="98"/>
        <v>3</v>
      </c>
      <c r="BB367" s="32">
        <f>IFERROR(INDEX('Análisis general'!$E$4:$E$28,MATCH($B367,'Análisis general'!$B$4:$B$28,0)),"")</f>
        <v>4.0999999999999996</v>
      </c>
      <c r="BC367" s="31">
        <f t="shared" si="99"/>
        <v>3</v>
      </c>
      <c r="BD367" s="32">
        <f t="shared" si="100"/>
        <v>3.8571428571428568</v>
      </c>
      <c r="BE367" s="32">
        <f t="shared" si="101"/>
        <v>5.3999999999999995</v>
      </c>
    </row>
    <row r="368" spans="1:57" ht="25.5" customHeight="1" x14ac:dyDescent="0.25">
      <c r="A368" s="33" t="s">
        <v>1050</v>
      </c>
      <c r="B368" s="11" t="s">
        <v>35</v>
      </c>
      <c r="C368" s="34" t="s">
        <v>112</v>
      </c>
      <c r="D368" s="24">
        <f t="shared" si="85"/>
        <v>3</v>
      </c>
      <c r="E368" s="59">
        <f t="shared" si="86"/>
        <v>3.8571428571428568</v>
      </c>
      <c r="F368" s="59">
        <f t="shared" si="87"/>
        <v>5.3999999999999995</v>
      </c>
      <c r="G368" s="11" t="s">
        <v>1051</v>
      </c>
      <c r="H368" s="25" t="str">
        <f>IFERROR(IF($AQ368,INDEX(cpe!$C$2:$C$307,MATCH($AR368,cpe!$F$2:$F$307,0)),INDEX(cpe!$C$2:$C$307,MATCH($AR368,cpe!$D$2:$D$307,0))),"#N/D")</f>
        <v>#N/D</v>
      </c>
      <c r="I368" s="25" t="str">
        <f>IFERROR(IF($AQ368,INDEX(cpe!$B$2:$B$307,MATCH($AR368,cpe!$F$2:$F$307,0)),INDEX(cpe!$B$2:$B$307,MATCH($AR368,cpe!$D$2:$D$307,0))),"#N/D")</f>
        <v>#N/D</v>
      </c>
      <c r="J368" s="26" t="str">
        <f>IF($AQ368,"#N/D",IFERROR(INDEX(Olimpiadas!$B$2:$B$61,MATCH($AO368,Olimpiadas!$C$2:$C$61,0)),"#N/D"))</f>
        <v>#N/D</v>
      </c>
      <c r="K368" s="26" t="str">
        <f>IF($AQ368,"#N/D",IFERROR(INDEX(Olimpiadas!$A$2:$A$61,MATCH($AO368,Olimpiadas!$C$2:$C$61,0)),"#N/D"))</f>
        <v>#N/D</v>
      </c>
      <c r="L368" s="26" t="str">
        <f>IF($AQ368,"#N/D",IFERROR(INDEX(Minculturas!$A$2:$A$48,MATCH($AO368,Minculturas!$C$2:$C$48,0)),"#N/D"))</f>
        <v>#N/D</v>
      </c>
      <c r="M368" s="26" t="str">
        <f>IF($AQ368,"#N/D",IFERROR(INDEX(Minculturas!$B$2:$B$48,MATCH($AO368,Minculturas!$C$2:$C$48,0)),"#N/D"))</f>
        <v>#N/D</v>
      </c>
      <c r="N368" s="27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7">
        <f t="shared" si="88"/>
        <v>0</v>
      </c>
      <c r="AH368" s="28"/>
      <c r="AI368" s="28"/>
      <c r="AJ368" s="28">
        <v>9</v>
      </c>
      <c r="AK368" s="28"/>
      <c r="AL368" s="28"/>
      <c r="AM368" s="29" t="s">
        <v>246</v>
      </c>
      <c r="AO368" t="str">
        <f t="shared" si="89"/>
        <v>cota</v>
      </c>
      <c r="AP368" t="str">
        <f t="shared" si="90"/>
        <v>cundinamarca</v>
      </c>
      <c r="AQ368" t="b">
        <f t="shared" si="91"/>
        <v>0</v>
      </c>
      <c r="AR368" t="str">
        <f t="shared" si="92"/>
        <v>cota</v>
      </c>
      <c r="AS368" s="30">
        <f t="shared" si="93"/>
        <v>0</v>
      </c>
      <c r="AT368" s="30">
        <f t="shared" si="94"/>
        <v>0</v>
      </c>
      <c r="AU368" s="30">
        <f t="shared" si="95"/>
        <v>0</v>
      </c>
      <c r="AV368" s="30">
        <f t="shared" si="96"/>
        <v>3</v>
      </c>
      <c r="AZ368" s="31">
        <f t="shared" si="97"/>
        <v>3</v>
      </c>
      <c r="BA368" s="31">
        <f t="shared" si="98"/>
        <v>3</v>
      </c>
      <c r="BB368" s="32">
        <f>IFERROR(INDEX('Análisis general'!$E$4:$E$28,MATCH($B368,'Análisis general'!$B$4:$B$28,0)),"")</f>
        <v>4.0999999999999996</v>
      </c>
      <c r="BC368" s="31">
        <f t="shared" si="99"/>
        <v>3</v>
      </c>
      <c r="BD368" s="32">
        <f t="shared" si="100"/>
        <v>3.8571428571428568</v>
      </c>
      <c r="BE368" s="32">
        <f t="shared" si="101"/>
        <v>5.3999999999999995</v>
      </c>
    </row>
    <row r="369" spans="1:57" ht="25.5" customHeight="1" x14ac:dyDescent="0.25">
      <c r="A369" s="33" t="s">
        <v>1052</v>
      </c>
      <c r="B369" s="11" t="s">
        <v>35</v>
      </c>
      <c r="C369" s="34" t="s">
        <v>112</v>
      </c>
      <c r="D369" s="24">
        <f t="shared" si="85"/>
        <v>3</v>
      </c>
      <c r="E369" s="59">
        <f t="shared" si="86"/>
        <v>3.8571428571428568</v>
      </c>
      <c r="F369" s="59">
        <f t="shared" si="87"/>
        <v>5.3999999999999995</v>
      </c>
      <c r="G369" s="11" t="s">
        <v>1053</v>
      </c>
      <c r="H369" s="25" t="str">
        <f>IFERROR(IF($AQ369,INDEX(cpe!$C$2:$C$307,MATCH($AR369,cpe!$F$2:$F$307,0)),INDEX(cpe!$C$2:$C$307,MATCH($AR369,cpe!$D$2:$D$307,0))),"#N/D")</f>
        <v>#N/D</v>
      </c>
      <c r="I369" s="25" t="str">
        <f>IFERROR(IF($AQ369,INDEX(cpe!$B$2:$B$307,MATCH($AR369,cpe!$F$2:$F$307,0)),INDEX(cpe!$B$2:$B$307,MATCH($AR369,cpe!$D$2:$D$307,0))),"#N/D")</f>
        <v>#N/D</v>
      </c>
      <c r="J369" s="26" t="str">
        <f>IF($AQ369,"#N/D",IFERROR(INDEX(Olimpiadas!$B$2:$B$61,MATCH($AO369,Olimpiadas!$C$2:$C$61,0)),"#N/D"))</f>
        <v>#N/D</v>
      </c>
      <c r="K369" s="26" t="str">
        <f>IF($AQ369,"#N/D",IFERROR(INDEX(Olimpiadas!$A$2:$A$61,MATCH($AO369,Olimpiadas!$C$2:$C$61,0)),"#N/D"))</f>
        <v>#N/D</v>
      </c>
      <c r="L369" s="26" t="str">
        <f>IF($AQ369,"#N/D",IFERROR(INDEX(Minculturas!$A$2:$A$48,MATCH($AO369,Minculturas!$C$2:$C$48,0)),"#N/D"))</f>
        <v>#N/D</v>
      </c>
      <c r="M369" s="26" t="str">
        <f>IF($AQ369,"#N/D",IFERROR(INDEX(Minculturas!$B$2:$B$48,MATCH($AO369,Minculturas!$C$2:$C$48,0)),"#N/D"))</f>
        <v>#N/D</v>
      </c>
      <c r="N369" s="27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27">
        <f t="shared" si="88"/>
        <v>0</v>
      </c>
      <c r="AH369" s="28"/>
      <c r="AI369" s="28"/>
      <c r="AJ369" s="28">
        <v>25</v>
      </c>
      <c r="AK369" s="28"/>
      <c r="AL369" s="28"/>
      <c r="AM369" s="29" t="s">
        <v>246</v>
      </c>
      <c r="AO369" t="str">
        <f t="shared" si="89"/>
        <v>cucunuba</v>
      </c>
      <c r="AP369" t="str">
        <f t="shared" si="90"/>
        <v>cundinamarca</v>
      </c>
      <c r="AQ369" t="b">
        <f t="shared" si="91"/>
        <v>0</v>
      </c>
      <c r="AR369" t="str">
        <f t="shared" si="92"/>
        <v>cucunuba</v>
      </c>
      <c r="AS369" s="30">
        <f t="shared" si="93"/>
        <v>0</v>
      </c>
      <c r="AT369" s="30">
        <f t="shared" si="94"/>
        <v>0</v>
      </c>
      <c r="AU369" s="30">
        <f t="shared" si="95"/>
        <v>0</v>
      </c>
      <c r="AV369" s="30">
        <f t="shared" si="96"/>
        <v>3</v>
      </c>
      <c r="AZ369" s="31">
        <f t="shared" si="97"/>
        <v>3</v>
      </c>
      <c r="BA369" s="31">
        <f t="shared" si="98"/>
        <v>3</v>
      </c>
      <c r="BB369" s="32">
        <f>IFERROR(INDEX('Análisis general'!$E$4:$E$28,MATCH($B369,'Análisis general'!$B$4:$B$28,0)),"")</f>
        <v>4.0999999999999996</v>
      </c>
      <c r="BC369" s="31">
        <f t="shared" si="99"/>
        <v>3</v>
      </c>
      <c r="BD369" s="32">
        <f t="shared" si="100"/>
        <v>3.8571428571428568</v>
      </c>
      <c r="BE369" s="32">
        <f t="shared" si="101"/>
        <v>5.3999999999999995</v>
      </c>
    </row>
    <row r="370" spans="1:57" ht="25.5" customHeight="1" x14ac:dyDescent="0.25">
      <c r="A370" s="33" t="s">
        <v>1054</v>
      </c>
      <c r="B370" s="11" t="s">
        <v>35</v>
      </c>
      <c r="C370" s="34" t="s">
        <v>112</v>
      </c>
      <c r="D370" s="24">
        <f t="shared" si="85"/>
        <v>3</v>
      </c>
      <c r="E370" s="59">
        <f t="shared" si="86"/>
        <v>3.8571428571428568</v>
      </c>
      <c r="F370" s="59">
        <f t="shared" si="87"/>
        <v>5.3999999999999995</v>
      </c>
      <c r="G370" s="11" t="s">
        <v>428</v>
      </c>
      <c r="H370" s="25" t="str">
        <f>IFERROR(IF($AQ370,INDEX(cpe!$C$2:$C$307,MATCH($AR370,cpe!$F$2:$F$307,0)),INDEX(cpe!$C$2:$C$307,MATCH($AR370,cpe!$D$2:$D$307,0))),"#N/D")</f>
        <v>#N/D</v>
      </c>
      <c r="I370" s="25" t="str">
        <f>IFERROR(IF($AQ370,INDEX(cpe!$B$2:$B$307,MATCH($AR370,cpe!$F$2:$F$307,0)),INDEX(cpe!$B$2:$B$307,MATCH($AR370,cpe!$D$2:$D$307,0))),"#N/D")</f>
        <v>#N/D</v>
      </c>
      <c r="J370" s="26" t="str">
        <f>IF($AQ370,"#N/D",IFERROR(INDEX(Olimpiadas!$B$2:$B$61,MATCH($AO370,Olimpiadas!$C$2:$C$61,0)),"#N/D"))</f>
        <v>#N/D</v>
      </c>
      <c r="K370" s="26" t="str">
        <f>IF($AQ370,"#N/D",IFERROR(INDEX(Olimpiadas!$A$2:$A$61,MATCH($AO370,Olimpiadas!$C$2:$C$61,0)),"#N/D"))</f>
        <v>#N/D</v>
      </c>
      <c r="L370" s="26" t="str">
        <f>IF($AQ370,"#N/D",IFERROR(INDEX(Minculturas!$A$2:$A$48,MATCH($AO370,Minculturas!$C$2:$C$48,0)),"#N/D"))</f>
        <v>#N/D</v>
      </c>
      <c r="M370" s="26" t="str">
        <f>IF($AQ370,"#N/D",IFERROR(INDEX(Minculturas!$B$2:$B$48,MATCH($AO370,Minculturas!$C$2:$C$48,0)),"#N/D"))</f>
        <v>#N/D</v>
      </c>
      <c r="N370" s="27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0</v>
      </c>
      <c r="AF370" s="28">
        <v>0</v>
      </c>
      <c r="AG370" s="27">
        <f t="shared" si="88"/>
        <v>0</v>
      </c>
      <c r="AH370" s="28"/>
      <c r="AI370" s="28"/>
      <c r="AJ370" s="28">
        <v>19.899999999999999</v>
      </c>
      <c r="AK370" s="28"/>
      <c r="AL370" s="28"/>
      <c r="AM370" s="29" t="s">
        <v>246</v>
      </c>
      <c r="AO370" t="str">
        <f t="shared" si="89"/>
        <v>granada</v>
      </c>
      <c r="AP370" t="str">
        <f t="shared" si="90"/>
        <v>cundinamarca</v>
      </c>
      <c r="AQ370" t="b">
        <f t="shared" si="91"/>
        <v>1</v>
      </c>
      <c r="AR370" t="str">
        <f t="shared" si="92"/>
        <v>granada|cundinamarca</v>
      </c>
      <c r="AS370" s="30">
        <f t="shared" si="93"/>
        <v>0</v>
      </c>
      <c r="AT370" s="30">
        <f t="shared" si="94"/>
        <v>0</v>
      </c>
      <c r="AU370" s="30">
        <f t="shared" si="95"/>
        <v>0</v>
      </c>
      <c r="AV370" s="30">
        <f t="shared" si="96"/>
        <v>3</v>
      </c>
      <c r="AZ370" s="31">
        <f t="shared" si="97"/>
        <v>3</v>
      </c>
      <c r="BA370" s="31">
        <f t="shared" si="98"/>
        <v>3</v>
      </c>
      <c r="BB370" s="32">
        <f>IFERROR(INDEX('Análisis general'!$E$4:$E$28,MATCH($B370,'Análisis general'!$B$4:$B$28,0)),"")</f>
        <v>4.0999999999999996</v>
      </c>
      <c r="BC370" s="31">
        <f t="shared" si="99"/>
        <v>3</v>
      </c>
      <c r="BD370" s="32">
        <f t="shared" si="100"/>
        <v>3.8571428571428568</v>
      </c>
      <c r="BE370" s="32">
        <f t="shared" si="101"/>
        <v>5.3999999999999995</v>
      </c>
    </row>
    <row r="371" spans="1:57" ht="25.5" customHeight="1" x14ac:dyDescent="0.25">
      <c r="A371" s="33" t="s">
        <v>1055</v>
      </c>
      <c r="B371" s="11" t="s">
        <v>35</v>
      </c>
      <c r="C371" s="34" t="s">
        <v>112</v>
      </c>
      <c r="D371" s="24">
        <f t="shared" si="85"/>
        <v>3</v>
      </c>
      <c r="E371" s="59">
        <f t="shared" si="86"/>
        <v>3.8571428571428568</v>
      </c>
      <c r="F371" s="59">
        <f t="shared" si="87"/>
        <v>5.3999999999999995</v>
      </c>
      <c r="G371" s="11" t="s">
        <v>1056</v>
      </c>
      <c r="H371" s="25" t="str">
        <f>IFERROR(IF($AQ371,INDEX(cpe!$C$2:$C$307,MATCH($AR371,cpe!$F$2:$F$307,0)),INDEX(cpe!$C$2:$C$307,MATCH($AR371,cpe!$D$2:$D$307,0))),"#N/D")</f>
        <v>#N/D</v>
      </c>
      <c r="I371" s="25" t="str">
        <f>IFERROR(IF($AQ371,INDEX(cpe!$B$2:$B$307,MATCH($AR371,cpe!$F$2:$F$307,0)),INDEX(cpe!$B$2:$B$307,MATCH($AR371,cpe!$D$2:$D$307,0))),"#N/D")</f>
        <v>#N/D</v>
      </c>
      <c r="J371" s="26" t="str">
        <f>IF($AQ371,"#N/D",IFERROR(INDEX(Olimpiadas!$B$2:$B$61,MATCH($AO371,Olimpiadas!$C$2:$C$61,0)),"#N/D"))</f>
        <v>#N/D</v>
      </c>
      <c r="K371" s="26" t="str">
        <f>IF($AQ371,"#N/D",IFERROR(INDEX(Olimpiadas!$A$2:$A$61,MATCH($AO371,Olimpiadas!$C$2:$C$61,0)),"#N/D"))</f>
        <v>#N/D</v>
      </c>
      <c r="L371" s="26" t="str">
        <f>IF($AQ371,"#N/D",IFERROR(INDEX(Minculturas!$A$2:$A$48,MATCH($AO371,Minculturas!$C$2:$C$48,0)),"#N/D"))</f>
        <v>#N/D</v>
      </c>
      <c r="M371" s="26" t="str">
        <f>IF($AQ371,"#N/D",IFERROR(INDEX(Minculturas!$B$2:$B$48,MATCH($AO371,Minculturas!$C$2:$C$48,0)),"#N/D"))</f>
        <v>#N/D</v>
      </c>
      <c r="N371" s="27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7">
        <f t="shared" si="88"/>
        <v>0</v>
      </c>
      <c r="AH371" s="28"/>
      <c r="AI371" s="28"/>
      <c r="AJ371" s="28">
        <v>27.2</v>
      </c>
      <c r="AK371" s="28"/>
      <c r="AL371" s="28"/>
      <c r="AM371" s="29" t="s">
        <v>246</v>
      </c>
      <c r="AO371" t="str">
        <f t="shared" si="89"/>
        <v>guaduas</v>
      </c>
      <c r="AP371" t="str">
        <f t="shared" si="90"/>
        <v>cundinamarca</v>
      </c>
      <c r="AQ371" t="b">
        <f t="shared" si="91"/>
        <v>0</v>
      </c>
      <c r="AR371" t="str">
        <f t="shared" si="92"/>
        <v>guaduas</v>
      </c>
      <c r="AS371" s="30">
        <f t="shared" si="93"/>
        <v>0</v>
      </c>
      <c r="AT371" s="30">
        <f t="shared" si="94"/>
        <v>0</v>
      </c>
      <c r="AU371" s="30">
        <f t="shared" si="95"/>
        <v>0</v>
      </c>
      <c r="AV371" s="30">
        <f t="shared" si="96"/>
        <v>3</v>
      </c>
      <c r="AZ371" s="31">
        <f t="shared" si="97"/>
        <v>3</v>
      </c>
      <c r="BA371" s="31">
        <f t="shared" si="98"/>
        <v>3</v>
      </c>
      <c r="BB371" s="32">
        <f>IFERROR(INDEX('Análisis general'!$E$4:$E$28,MATCH($B371,'Análisis general'!$B$4:$B$28,0)),"")</f>
        <v>4.0999999999999996</v>
      </c>
      <c r="BC371" s="31">
        <f t="shared" si="99"/>
        <v>3</v>
      </c>
      <c r="BD371" s="32">
        <f t="shared" si="100"/>
        <v>3.8571428571428568</v>
      </c>
      <c r="BE371" s="32">
        <f t="shared" si="101"/>
        <v>5.3999999999999995</v>
      </c>
    </row>
    <row r="372" spans="1:57" ht="25.5" customHeight="1" x14ac:dyDescent="0.25">
      <c r="A372" s="33" t="s">
        <v>1057</v>
      </c>
      <c r="B372" s="11" t="s">
        <v>35</v>
      </c>
      <c r="C372" s="34" t="s">
        <v>112</v>
      </c>
      <c r="D372" s="24">
        <f t="shared" si="85"/>
        <v>3</v>
      </c>
      <c r="E372" s="59">
        <f t="shared" si="86"/>
        <v>3.8571428571428568</v>
      </c>
      <c r="F372" s="59">
        <f t="shared" si="87"/>
        <v>5.3999999999999995</v>
      </c>
      <c r="G372" s="11" t="s">
        <v>1058</v>
      </c>
      <c r="H372" s="25" t="str">
        <f>IFERROR(IF($AQ372,INDEX(cpe!$C$2:$C$307,MATCH($AR372,cpe!$F$2:$F$307,0)),INDEX(cpe!$C$2:$C$307,MATCH($AR372,cpe!$D$2:$D$307,0))),"#N/D")</f>
        <v>#N/D</v>
      </c>
      <c r="I372" s="25" t="str">
        <f>IFERROR(IF($AQ372,INDEX(cpe!$B$2:$B$307,MATCH($AR372,cpe!$F$2:$F$307,0)),INDEX(cpe!$B$2:$B$307,MATCH($AR372,cpe!$D$2:$D$307,0))),"#N/D")</f>
        <v>#N/D</v>
      </c>
      <c r="J372" s="26" t="str">
        <f>IF($AQ372,"#N/D",IFERROR(INDEX(Olimpiadas!$B$2:$B$61,MATCH($AO372,Olimpiadas!$C$2:$C$61,0)),"#N/D"))</f>
        <v>#N/D</v>
      </c>
      <c r="K372" s="26" t="str">
        <f>IF($AQ372,"#N/D",IFERROR(INDEX(Olimpiadas!$A$2:$A$61,MATCH($AO372,Olimpiadas!$C$2:$C$61,0)),"#N/D"))</f>
        <v>#N/D</v>
      </c>
      <c r="L372" s="26" t="str">
        <f>IF($AQ372,"#N/D",IFERROR(INDEX(Minculturas!$A$2:$A$48,MATCH($AO372,Minculturas!$C$2:$C$48,0)),"#N/D"))</f>
        <v>#N/D</v>
      </c>
      <c r="M372" s="26" t="str">
        <f>IF($AQ372,"#N/D",IFERROR(INDEX(Minculturas!$B$2:$B$48,MATCH($AO372,Minculturas!$C$2:$C$48,0)),"#N/D"))</f>
        <v>#N/D</v>
      </c>
      <c r="N372" s="27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8">
        <v>0</v>
      </c>
      <c r="AF372" s="28">
        <v>0</v>
      </c>
      <c r="AG372" s="27">
        <f t="shared" si="88"/>
        <v>0</v>
      </c>
      <c r="AH372" s="28"/>
      <c r="AI372" s="28"/>
      <c r="AJ372" s="28">
        <v>33.1</v>
      </c>
      <c r="AK372" s="28"/>
      <c r="AL372" s="28"/>
      <c r="AM372" s="29" t="s">
        <v>246</v>
      </c>
      <c r="AO372" t="str">
        <f t="shared" si="89"/>
        <v>guatavita</v>
      </c>
      <c r="AP372" t="str">
        <f t="shared" si="90"/>
        <v>cundinamarca</v>
      </c>
      <c r="AQ372" t="b">
        <f t="shared" si="91"/>
        <v>0</v>
      </c>
      <c r="AR372" t="str">
        <f t="shared" si="92"/>
        <v>guatavita</v>
      </c>
      <c r="AS372" s="30">
        <f t="shared" si="93"/>
        <v>0</v>
      </c>
      <c r="AT372" s="30">
        <f t="shared" si="94"/>
        <v>0</v>
      </c>
      <c r="AU372" s="30">
        <f t="shared" si="95"/>
        <v>0</v>
      </c>
      <c r="AV372" s="30">
        <f t="shared" si="96"/>
        <v>3</v>
      </c>
      <c r="AZ372" s="31">
        <f t="shared" si="97"/>
        <v>3</v>
      </c>
      <c r="BA372" s="31">
        <f t="shared" si="98"/>
        <v>3</v>
      </c>
      <c r="BB372" s="32">
        <f>IFERROR(INDEX('Análisis general'!$E$4:$E$28,MATCH($B372,'Análisis general'!$B$4:$B$28,0)),"")</f>
        <v>4.0999999999999996</v>
      </c>
      <c r="BC372" s="31">
        <f t="shared" si="99"/>
        <v>3</v>
      </c>
      <c r="BD372" s="32">
        <f t="shared" si="100"/>
        <v>3.8571428571428568</v>
      </c>
      <c r="BE372" s="32">
        <f t="shared" si="101"/>
        <v>5.3999999999999995</v>
      </c>
    </row>
    <row r="373" spans="1:57" ht="25.5" customHeight="1" x14ac:dyDescent="0.25">
      <c r="A373" s="33" t="s">
        <v>1063</v>
      </c>
      <c r="B373" s="11" t="s">
        <v>35</v>
      </c>
      <c r="C373" s="34" t="s">
        <v>112</v>
      </c>
      <c r="D373" s="24">
        <f t="shared" si="85"/>
        <v>3</v>
      </c>
      <c r="E373" s="59">
        <f t="shared" si="86"/>
        <v>3.8571428571428568</v>
      </c>
      <c r="F373" s="59">
        <f t="shared" si="87"/>
        <v>5.3999999999999995</v>
      </c>
      <c r="G373" s="11" t="s">
        <v>1064</v>
      </c>
      <c r="H373" s="25" t="str">
        <f>IFERROR(IF($AQ373,INDEX(cpe!$C$2:$C$307,MATCH($AR373,cpe!$F$2:$F$307,0)),INDEX(cpe!$C$2:$C$307,MATCH($AR373,cpe!$D$2:$D$307,0))),"#N/D")</f>
        <v>#N/D</v>
      </c>
      <c r="I373" s="25" t="str">
        <f>IFERROR(IF($AQ373,INDEX(cpe!$B$2:$B$307,MATCH($AR373,cpe!$F$2:$F$307,0)),INDEX(cpe!$B$2:$B$307,MATCH($AR373,cpe!$D$2:$D$307,0))),"#N/D")</f>
        <v>#N/D</v>
      </c>
      <c r="J373" s="26" t="str">
        <f>IF($AQ373,"#N/D",IFERROR(INDEX(Olimpiadas!$B$2:$B$61,MATCH($AO373,Olimpiadas!$C$2:$C$61,0)),"#N/D"))</f>
        <v>#N/D</v>
      </c>
      <c r="K373" s="26" t="str">
        <f>IF($AQ373,"#N/D",IFERROR(INDEX(Olimpiadas!$A$2:$A$61,MATCH($AO373,Olimpiadas!$C$2:$C$61,0)),"#N/D"))</f>
        <v>#N/D</v>
      </c>
      <c r="L373" s="26" t="str">
        <f>IF($AQ373,"#N/D",IFERROR(INDEX(Minculturas!$A$2:$A$48,MATCH($AO373,Minculturas!$C$2:$C$48,0)),"#N/D"))</f>
        <v>#N/D</v>
      </c>
      <c r="M373" s="26" t="str">
        <f>IF($AQ373,"#N/D",IFERROR(INDEX(Minculturas!$B$2:$B$48,MATCH($AO373,Minculturas!$C$2:$C$48,0)),"#N/D"))</f>
        <v>#N/D</v>
      </c>
      <c r="N373" s="27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0</v>
      </c>
      <c r="AG373" s="27">
        <f t="shared" si="88"/>
        <v>0</v>
      </c>
      <c r="AH373" s="28"/>
      <c r="AI373" s="28"/>
      <c r="AJ373" s="28">
        <v>50.3</v>
      </c>
      <c r="AK373" s="28"/>
      <c r="AL373" s="28"/>
      <c r="AM373" s="29" t="s">
        <v>246</v>
      </c>
      <c r="AO373" t="str">
        <f t="shared" si="89"/>
        <v>la pena</v>
      </c>
      <c r="AP373" t="str">
        <f t="shared" si="90"/>
        <v>cundinamarca</v>
      </c>
      <c r="AQ373" t="b">
        <f t="shared" si="91"/>
        <v>0</v>
      </c>
      <c r="AR373" t="str">
        <f t="shared" si="92"/>
        <v>la pena</v>
      </c>
      <c r="AS373" s="30">
        <f t="shared" si="93"/>
        <v>0</v>
      </c>
      <c r="AT373" s="30">
        <f t="shared" si="94"/>
        <v>0</v>
      </c>
      <c r="AU373" s="30">
        <f t="shared" si="95"/>
        <v>0</v>
      </c>
      <c r="AV373" s="30">
        <f t="shared" si="96"/>
        <v>3</v>
      </c>
      <c r="AZ373" s="31">
        <f t="shared" si="97"/>
        <v>3</v>
      </c>
      <c r="BA373" s="31">
        <f t="shared" si="98"/>
        <v>3</v>
      </c>
      <c r="BB373" s="32">
        <f>IFERROR(INDEX('Análisis general'!$E$4:$E$28,MATCH($B373,'Análisis general'!$B$4:$B$28,0)),"")</f>
        <v>4.0999999999999996</v>
      </c>
      <c r="BC373" s="31">
        <f t="shared" si="99"/>
        <v>3</v>
      </c>
      <c r="BD373" s="32">
        <f t="shared" si="100"/>
        <v>3.8571428571428568</v>
      </c>
      <c r="BE373" s="32">
        <f t="shared" si="101"/>
        <v>5.3999999999999995</v>
      </c>
    </row>
    <row r="374" spans="1:57" ht="25.5" customHeight="1" x14ac:dyDescent="0.25">
      <c r="A374" s="33" t="s">
        <v>1069</v>
      </c>
      <c r="B374" s="11" t="s">
        <v>45</v>
      </c>
      <c r="C374" s="34" t="s">
        <v>112</v>
      </c>
      <c r="D374" s="24">
        <f t="shared" si="85"/>
        <v>3</v>
      </c>
      <c r="E374" s="59">
        <f t="shared" si="86"/>
        <v>3.8571428571428568</v>
      </c>
      <c r="F374" s="59">
        <f t="shared" si="87"/>
        <v>5.3999999999999995</v>
      </c>
      <c r="G374" s="11" t="s">
        <v>1070</v>
      </c>
      <c r="H374" s="25" t="str">
        <f>IFERROR(IF($AQ374,INDEX(cpe!$C$2:$C$307,MATCH($AR374,cpe!$F$2:$F$307,0)),INDEX(cpe!$C$2:$C$307,MATCH($AR374,cpe!$D$2:$D$307,0))),"#N/D")</f>
        <v>#N/D</v>
      </c>
      <c r="I374" s="25" t="str">
        <f>IFERROR(IF($AQ374,INDEX(cpe!$B$2:$B$307,MATCH($AR374,cpe!$F$2:$F$307,0)),INDEX(cpe!$B$2:$B$307,MATCH($AR374,cpe!$D$2:$D$307,0))),"#N/D")</f>
        <v>#N/D</v>
      </c>
      <c r="J374" s="26" t="str">
        <f>IF($AQ374,"#N/D",IFERROR(INDEX(Olimpiadas!$B$2:$B$61,MATCH($AO374,Olimpiadas!$C$2:$C$61,0)),"#N/D"))</f>
        <v>#N/D</v>
      </c>
      <c r="K374" s="26" t="str">
        <f>IF($AQ374,"#N/D",IFERROR(INDEX(Olimpiadas!$A$2:$A$61,MATCH($AO374,Olimpiadas!$C$2:$C$61,0)),"#N/D"))</f>
        <v>#N/D</v>
      </c>
      <c r="L374" s="26" t="str">
        <f>IF($AQ374,"#N/D",IFERROR(INDEX(Minculturas!$A$2:$A$48,MATCH($AO374,Minculturas!$C$2:$C$48,0)),"#N/D"))</f>
        <v>#N/D</v>
      </c>
      <c r="M374" s="26" t="str">
        <f>IF($AQ374,"#N/D",IFERROR(INDEX(Minculturas!$B$2:$B$48,MATCH($AO374,Minculturas!$C$2:$C$48,0)),"#N/D"))</f>
        <v>#N/D</v>
      </c>
      <c r="N374" s="27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27">
        <f t="shared" si="88"/>
        <v>0</v>
      </c>
      <c r="AH374" s="28" t="s">
        <v>1071</v>
      </c>
      <c r="AI374" s="28" t="s">
        <v>1072</v>
      </c>
      <c r="AJ374" s="28">
        <v>65.3</v>
      </c>
      <c r="AK374" s="28"/>
      <c r="AL374" s="28"/>
      <c r="AM374" s="29" t="s">
        <v>246</v>
      </c>
      <c r="AO374" t="str">
        <f t="shared" si="89"/>
        <v>mistrato</v>
      </c>
      <c r="AP374" t="str">
        <f t="shared" si="90"/>
        <v>risaralda</v>
      </c>
      <c r="AQ374" t="b">
        <f t="shared" si="91"/>
        <v>0</v>
      </c>
      <c r="AR374" t="str">
        <f t="shared" si="92"/>
        <v>mistrato</v>
      </c>
      <c r="AS374" s="30">
        <f t="shared" si="93"/>
        <v>0</v>
      </c>
      <c r="AT374" s="30">
        <f t="shared" si="94"/>
        <v>0</v>
      </c>
      <c r="AU374" s="30">
        <f t="shared" si="95"/>
        <v>0</v>
      </c>
      <c r="AV374" s="30">
        <f t="shared" si="96"/>
        <v>3</v>
      </c>
      <c r="AZ374" s="31">
        <f t="shared" si="97"/>
        <v>3</v>
      </c>
      <c r="BA374" s="31">
        <f t="shared" si="98"/>
        <v>3</v>
      </c>
      <c r="BB374" s="32">
        <f>IFERROR(INDEX('Análisis general'!$E$4:$E$28,MATCH($B374,'Análisis general'!$B$4:$B$28,0)),"")</f>
        <v>4.9000000000000004</v>
      </c>
      <c r="BC374" s="31">
        <f t="shared" si="99"/>
        <v>3</v>
      </c>
      <c r="BD374" s="32">
        <f t="shared" si="100"/>
        <v>3.8571428571428568</v>
      </c>
      <c r="BE374" s="32">
        <f t="shared" si="101"/>
        <v>5.3999999999999995</v>
      </c>
    </row>
    <row r="375" spans="1:57" ht="25.5" customHeight="1" x14ac:dyDescent="0.25">
      <c r="A375" s="33" t="s">
        <v>1073</v>
      </c>
      <c r="B375" s="11" t="s">
        <v>35</v>
      </c>
      <c r="C375" s="34" t="s">
        <v>112</v>
      </c>
      <c r="D375" s="24">
        <f t="shared" si="85"/>
        <v>3</v>
      </c>
      <c r="E375" s="59">
        <f t="shared" si="86"/>
        <v>3.8571428571428568</v>
      </c>
      <c r="F375" s="59">
        <f t="shared" si="87"/>
        <v>5.3999999999999995</v>
      </c>
      <c r="G375" s="11" t="s">
        <v>1074</v>
      </c>
      <c r="H375" s="25" t="str">
        <f>IFERROR(IF($AQ375,INDEX(cpe!$C$2:$C$307,MATCH($AR375,cpe!$F$2:$F$307,0)),INDEX(cpe!$C$2:$C$307,MATCH($AR375,cpe!$D$2:$D$307,0))),"#N/D")</f>
        <v>#N/D</v>
      </c>
      <c r="I375" s="25" t="str">
        <f>IFERROR(IF($AQ375,INDEX(cpe!$B$2:$B$307,MATCH($AR375,cpe!$F$2:$F$307,0)),INDEX(cpe!$B$2:$B$307,MATCH($AR375,cpe!$D$2:$D$307,0))),"#N/D")</f>
        <v>#N/D</v>
      </c>
      <c r="J375" s="26" t="str">
        <f>IF($AQ375,"#N/D",IFERROR(INDEX(Olimpiadas!$B$2:$B$61,MATCH($AO375,Olimpiadas!$C$2:$C$61,0)),"#N/D"))</f>
        <v>#N/D</v>
      </c>
      <c r="K375" s="26" t="str">
        <f>IF($AQ375,"#N/D",IFERROR(INDEX(Olimpiadas!$A$2:$A$61,MATCH($AO375,Olimpiadas!$C$2:$C$61,0)),"#N/D"))</f>
        <v>#N/D</v>
      </c>
      <c r="L375" s="26" t="str">
        <f>IF($AQ375,"#N/D",IFERROR(INDEX(Minculturas!$A$2:$A$48,MATCH($AO375,Minculturas!$C$2:$C$48,0)),"#N/D"))</f>
        <v>#N/D</v>
      </c>
      <c r="M375" s="26" t="str">
        <f>IF($AQ375,"#N/D",IFERROR(INDEX(Minculturas!$B$2:$B$48,MATCH($AO375,Minculturas!$C$2:$C$48,0)),"#N/D"))</f>
        <v>#N/D</v>
      </c>
      <c r="N375" s="27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27">
        <f t="shared" si="88"/>
        <v>0</v>
      </c>
      <c r="AH375" s="28"/>
      <c r="AI375" s="28"/>
      <c r="AJ375" s="28">
        <v>30.2</v>
      </c>
      <c r="AK375" s="28"/>
      <c r="AL375" s="28"/>
      <c r="AM375" s="29" t="s">
        <v>246</v>
      </c>
      <c r="AO375" t="str">
        <f t="shared" si="89"/>
        <v>nimaima</v>
      </c>
      <c r="AP375" t="str">
        <f t="shared" si="90"/>
        <v>cundinamarca</v>
      </c>
      <c r="AQ375" t="b">
        <f t="shared" si="91"/>
        <v>0</v>
      </c>
      <c r="AR375" t="str">
        <f t="shared" si="92"/>
        <v>nimaima</v>
      </c>
      <c r="AS375" s="30">
        <f t="shared" si="93"/>
        <v>0</v>
      </c>
      <c r="AT375" s="30">
        <f t="shared" si="94"/>
        <v>0</v>
      </c>
      <c r="AU375" s="30">
        <f t="shared" si="95"/>
        <v>0</v>
      </c>
      <c r="AV375" s="30">
        <f t="shared" si="96"/>
        <v>3</v>
      </c>
      <c r="AZ375" s="31">
        <f t="shared" si="97"/>
        <v>3</v>
      </c>
      <c r="BA375" s="31">
        <f t="shared" si="98"/>
        <v>3</v>
      </c>
      <c r="BB375" s="32">
        <f>IFERROR(INDEX('Análisis general'!$E$4:$E$28,MATCH($B375,'Análisis general'!$B$4:$B$28,0)),"")</f>
        <v>4.0999999999999996</v>
      </c>
      <c r="BC375" s="31">
        <f t="shared" si="99"/>
        <v>3</v>
      </c>
      <c r="BD375" s="32">
        <f t="shared" si="100"/>
        <v>3.8571428571428568</v>
      </c>
      <c r="BE375" s="32">
        <f t="shared" si="101"/>
        <v>5.3999999999999995</v>
      </c>
    </row>
    <row r="376" spans="1:57" ht="25.5" customHeight="1" x14ac:dyDescent="0.25">
      <c r="A376" s="33" t="s">
        <v>1075</v>
      </c>
      <c r="B376" s="11" t="s">
        <v>35</v>
      </c>
      <c r="C376" s="34" t="s">
        <v>112</v>
      </c>
      <c r="D376" s="24">
        <f t="shared" si="85"/>
        <v>3</v>
      </c>
      <c r="E376" s="59">
        <f t="shared" si="86"/>
        <v>3.8571428571428568</v>
      </c>
      <c r="F376" s="59">
        <f t="shared" si="87"/>
        <v>5.3999999999999995</v>
      </c>
      <c r="G376" s="11" t="s">
        <v>1076</v>
      </c>
      <c r="H376" s="25" t="str">
        <f>IFERROR(IF($AQ376,INDEX(cpe!$C$2:$C$307,MATCH($AR376,cpe!$F$2:$F$307,0)),INDEX(cpe!$C$2:$C$307,MATCH($AR376,cpe!$D$2:$D$307,0))),"#N/D")</f>
        <v>#N/D</v>
      </c>
      <c r="I376" s="25" t="str">
        <f>IFERROR(IF($AQ376,INDEX(cpe!$B$2:$B$307,MATCH($AR376,cpe!$F$2:$F$307,0)),INDEX(cpe!$B$2:$B$307,MATCH($AR376,cpe!$D$2:$D$307,0))),"#N/D")</f>
        <v>#N/D</v>
      </c>
      <c r="J376" s="26" t="str">
        <f>IF($AQ376,"#N/D",IFERROR(INDEX(Olimpiadas!$B$2:$B$61,MATCH($AO376,Olimpiadas!$C$2:$C$61,0)),"#N/D"))</f>
        <v>#N/D</v>
      </c>
      <c r="K376" s="26" t="str">
        <f>IF($AQ376,"#N/D",IFERROR(INDEX(Olimpiadas!$A$2:$A$61,MATCH($AO376,Olimpiadas!$C$2:$C$61,0)),"#N/D"))</f>
        <v>#N/D</v>
      </c>
      <c r="L376" s="26" t="str">
        <f>IF($AQ376,"#N/D",IFERROR(INDEX(Minculturas!$A$2:$A$48,MATCH($AO376,Minculturas!$C$2:$C$48,0)),"#N/D"))</f>
        <v>#N/D</v>
      </c>
      <c r="M376" s="26" t="str">
        <f>IF($AQ376,"#N/D",IFERROR(INDEX(Minculturas!$B$2:$B$48,MATCH($AO376,Minculturas!$C$2:$C$48,0)),"#N/D"))</f>
        <v>#N/D</v>
      </c>
      <c r="N376" s="27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27">
        <f t="shared" si="88"/>
        <v>0</v>
      </c>
      <c r="AH376" s="28"/>
      <c r="AI376" s="28"/>
      <c r="AJ376" s="28">
        <v>26.2</v>
      </c>
      <c r="AK376" s="28"/>
      <c r="AL376" s="28"/>
      <c r="AM376" s="29" t="s">
        <v>246</v>
      </c>
      <c r="AO376" t="str">
        <f t="shared" si="89"/>
        <v>nocaima</v>
      </c>
      <c r="AP376" t="str">
        <f t="shared" si="90"/>
        <v>cundinamarca</v>
      </c>
      <c r="AQ376" t="b">
        <f t="shared" si="91"/>
        <v>0</v>
      </c>
      <c r="AR376" t="str">
        <f t="shared" si="92"/>
        <v>nocaima</v>
      </c>
      <c r="AS376" s="30">
        <f t="shared" si="93"/>
        <v>0</v>
      </c>
      <c r="AT376" s="30">
        <f t="shared" si="94"/>
        <v>0</v>
      </c>
      <c r="AU376" s="30">
        <f t="shared" si="95"/>
        <v>0</v>
      </c>
      <c r="AV376" s="30">
        <f t="shared" si="96"/>
        <v>3</v>
      </c>
      <c r="AZ376" s="31">
        <f t="shared" si="97"/>
        <v>3</v>
      </c>
      <c r="BA376" s="31">
        <f t="shared" si="98"/>
        <v>3</v>
      </c>
      <c r="BB376" s="32">
        <f>IFERROR(INDEX('Análisis general'!$E$4:$E$28,MATCH($B376,'Análisis general'!$B$4:$B$28,0)),"")</f>
        <v>4.0999999999999996</v>
      </c>
      <c r="BC376" s="31">
        <f t="shared" si="99"/>
        <v>3</v>
      </c>
      <c r="BD376" s="32">
        <f t="shared" si="100"/>
        <v>3.8571428571428568</v>
      </c>
      <c r="BE376" s="32">
        <f t="shared" si="101"/>
        <v>5.3999999999999995</v>
      </c>
    </row>
    <row r="377" spans="1:57" ht="25.5" customHeight="1" x14ac:dyDescent="0.25">
      <c r="A377" s="33" t="s">
        <v>1079</v>
      </c>
      <c r="B377" s="11" t="s">
        <v>35</v>
      </c>
      <c r="C377" s="34" t="s">
        <v>112</v>
      </c>
      <c r="D377" s="24">
        <f t="shared" si="85"/>
        <v>3</v>
      </c>
      <c r="E377" s="59">
        <f t="shared" si="86"/>
        <v>3.8571428571428568</v>
      </c>
      <c r="F377" s="59">
        <f t="shared" si="87"/>
        <v>5.3999999999999995</v>
      </c>
      <c r="G377" s="11" t="s">
        <v>1080</v>
      </c>
      <c r="H377" s="25" t="str">
        <f>IFERROR(IF($AQ377,INDEX(cpe!$C$2:$C$307,MATCH($AR377,cpe!$F$2:$F$307,0)),INDEX(cpe!$C$2:$C$307,MATCH($AR377,cpe!$D$2:$D$307,0))),"#N/D")</f>
        <v>#N/D</v>
      </c>
      <c r="I377" s="25" t="str">
        <f>IFERROR(IF($AQ377,INDEX(cpe!$B$2:$B$307,MATCH($AR377,cpe!$F$2:$F$307,0)),INDEX(cpe!$B$2:$B$307,MATCH($AR377,cpe!$D$2:$D$307,0))),"#N/D")</f>
        <v>#N/D</v>
      </c>
      <c r="J377" s="26" t="str">
        <f>IF($AQ377,"#N/D",IFERROR(INDEX(Olimpiadas!$B$2:$B$61,MATCH($AO377,Olimpiadas!$C$2:$C$61,0)),"#N/D"))</f>
        <v>#N/D</v>
      </c>
      <c r="K377" s="26" t="str">
        <f>IF($AQ377,"#N/D",IFERROR(INDEX(Olimpiadas!$A$2:$A$61,MATCH($AO377,Olimpiadas!$C$2:$C$61,0)),"#N/D"))</f>
        <v>#N/D</v>
      </c>
      <c r="L377" s="26" t="str">
        <f>IF($AQ377,"#N/D",IFERROR(INDEX(Minculturas!$A$2:$A$48,MATCH($AO377,Minculturas!$C$2:$C$48,0)),"#N/D"))</f>
        <v>#N/D</v>
      </c>
      <c r="M377" s="26" t="str">
        <f>IF($AQ377,"#N/D",IFERROR(INDEX(Minculturas!$B$2:$B$48,MATCH($AO377,Minculturas!$C$2:$C$48,0)),"#N/D"))</f>
        <v>#N/D</v>
      </c>
      <c r="N377" s="27">
        <v>1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1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  <c r="AF377" s="28">
        <v>0</v>
      </c>
      <c r="AG377" s="27">
        <f t="shared" si="88"/>
        <v>0</v>
      </c>
      <c r="AH377" s="28"/>
      <c r="AI377" s="28"/>
      <c r="AJ377" s="28">
        <v>37.4</v>
      </c>
      <c r="AK377" s="28"/>
      <c r="AL377" s="28"/>
      <c r="AM377" s="29" t="s">
        <v>114</v>
      </c>
      <c r="AO377" t="str">
        <f t="shared" si="89"/>
        <v>paratebueno</v>
      </c>
      <c r="AP377" t="str">
        <f t="shared" si="90"/>
        <v>cundinamarca</v>
      </c>
      <c r="AQ377" t="b">
        <f t="shared" si="91"/>
        <v>0</v>
      </c>
      <c r="AR377" t="str">
        <f t="shared" si="92"/>
        <v>paratebueno</v>
      </c>
      <c r="AS377" s="30">
        <f t="shared" si="93"/>
        <v>0</v>
      </c>
      <c r="AT377" s="30">
        <f t="shared" si="94"/>
        <v>0</v>
      </c>
      <c r="AU377" s="30">
        <f t="shared" si="95"/>
        <v>0</v>
      </c>
      <c r="AV377" s="30">
        <f t="shared" si="96"/>
        <v>3</v>
      </c>
      <c r="AZ377" s="31">
        <f t="shared" si="97"/>
        <v>3</v>
      </c>
      <c r="BA377" s="31">
        <f t="shared" si="98"/>
        <v>3</v>
      </c>
      <c r="BB377" s="32">
        <f>IFERROR(INDEX('Análisis general'!$E$4:$E$28,MATCH($B377,'Análisis general'!$B$4:$B$28,0)),"")</f>
        <v>4.0999999999999996</v>
      </c>
      <c r="BC377" s="31">
        <f t="shared" si="99"/>
        <v>3</v>
      </c>
      <c r="BD377" s="32">
        <f t="shared" si="100"/>
        <v>3.8571428571428568</v>
      </c>
      <c r="BE377" s="32">
        <f t="shared" si="101"/>
        <v>5.3999999999999995</v>
      </c>
    </row>
    <row r="378" spans="1:57" ht="25.5" customHeight="1" x14ac:dyDescent="0.25">
      <c r="A378" s="33" t="s">
        <v>1081</v>
      </c>
      <c r="B378" s="11" t="s">
        <v>35</v>
      </c>
      <c r="C378" s="34" t="s">
        <v>112</v>
      </c>
      <c r="D378" s="24">
        <f t="shared" si="85"/>
        <v>3</v>
      </c>
      <c r="E378" s="59">
        <f t="shared" si="86"/>
        <v>3.8571428571428568</v>
      </c>
      <c r="F378" s="59">
        <f t="shared" si="87"/>
        <v>5.3999999999999995</v>
      </c>
      <c r="G378" s="11" t="s">
        <v>1082</v>
      </c>
      <c r="H378" s="25" t="str">
        <f>IFERROR(IF($AQ378,INDEX(cpe!$C$2:$C$307,MATCH($AR378,cpe!$F$2:$F$307,0)),INDEX(cpe!$C$2:$C$307,MATCH($AR378,cpe!$D$2:$D$307,0))),"#N/D")</f>
        <v>#N/D</v>
      </c>
      <c r="I378" s="25" t="str">
        <f>IFERROR(IF($AQ378,INDEX(cpe!$B$2:$B$307,MATCH($AR378,cpe!$F$2:$F$307,0)),INDEX(cpe!$B$2:$B$307,MATCH($AR378,cpe!$D$2:$D$307,0))),"#N/D")</f>
        <v>#N/D</v>
      </c>
      <c r="J378" s="26" t="str">
        <f>IF($AQ378,"#N/D",IFERROR(INDEX(Olimpiadas!$B$2:$B$61,MATCH($AO378,Olimpiadas!$C$2:$C$61,0)),"#N/D"))</f>
        <v>#N/D</v>
      </c>
      <c r="K378" s="26" t="str">
        <f>IF($AQ378,"#N/D",IFERROR(INDEX(Olimpiadas!$A$2:$A$61,MATCH($AO378,Olimpiadas!$C$2:$C$61,0)),"#N/D"))</f>
        <v>#N/D</v>
      </c>
      <c r="L378" s="26" t="str">
        <f>IF($AQ378,"#N/D",IFERROR(INDEX(Minculturas!$A$2:$A$48,MATCH($AO378,Minculturas!$C$2:$C$48,0)),"#N/D"))</f>
        <v>#N/D</v>
      </c>
      <c r="M378" s="26" t="str">
        <f>IF($AQ378,"#N/D",IFERROR(INDEX(Minculturas!$B$2:$B$48,MATCH($AO378,Minculturas!$C$2:$C$48,0)),"#N/D"))</f>
        <v>#N/D</v>
      </c>
      <c r="N378" s="27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  <c r="AC378" s="28">
        <v>0</v>
      </c>
      <c r="AD378" s="28">
        <v>0</v>
      </c>
      <c r="AE378" s="28">
        <v>0</v>
      </c>
      <c r="AF378" s="28">
        <v>0</v>
      </c>
      <c r="AG378" s="27">
        <f t="shared" si="88"/>
        <v>0</v>
      </c>
      <c r="AH378" s="28"/>
      <c r="AI378" s="28"/>
      <c r="AJ378" s="28">
        <v>30.6</v>
      </c>
      <c r="AK378" s="28"/>
      <c r="AL378" s="28"/>
      <c r="AM378" s="29" t="s">
        <v>246</v>
      </c>
      <c r="AO378" t="str">
        <f t="shared" si="89"/>
        <v>pasca</v>
      </c>
      <c r="AP378" t="str">
        <f t="shared" si="90"/>
        <v>cundinamarca</v>
      </c>
      <c r="AQ378" t="b">
        <f t="shared" si="91"/>
        <v>0</v>
      </c>
      <c r="AR378" t="str">
        <f t="shared" si="92"/>
        <v>pasca</v>
      </c>
      <c r="AS378" s="30">
        <f t="shared" si="93"/>
        <v>0</v>
      </c>
      <c r="AT378" s="30">
        <f t="shared" si="94"/>
        <v>0</v>
      </c>
      <c r="AU378" s="30">
        <f t="shared" si="95"/>
        <v>0</v>
      </c>
      <c r="AV378" s="30">
        <f t="shared" si="96"/>
        <v>3</v>
      </c>
      <c r="AZ378" s="31">
        <f t="shared" si="97"/>
        <v>3</v>
      </c>
      <c r="BA378" s="31">
        <f t="shared" si="98"/>
        <v>3</v>
      </c>
      <c r="BB378" s="32">
        <f>IFERROR(INDEX('Análisis general'!$E$4:$E$28,MATCH($B378,'Análisis general'!$B$4:$B$28,0)),"")</f>
        <v>4.0999999999999996</v>
      </c>
      <c r="BC378" s="31">
        <f t="shared" si="99"/>
        <v>3</v>
      </c>
      <c r="BD378" s="32">
        <f t="shared" si="100"/>
        <v>3.8571428571428568</v>
      </c>
      <c r="BE378" s="32">
        <f t="shared" si="101"/>
        <v>5.3999999999999995</v>
      </c>
    </row>
    <row r="379" spans="1:57" ht="25.5" customHeight="1" x14ac:dyDescent="0.25">
      <c r="A379" s="33" t="s">
        <v>1083</v>
      </c>
      <c r="B379" s="11" t="s">
        <v>35</v>
      </c>
      <c r="C379" s="34" t="s">
        <v>112</v>
      </c>
      <c r="D379" s="24">
        <f t="shared" si="85"/>
        <v>3</v>
      </c>
      <c r="E379" s="59">
        <f t="shared" si="86"/>
        <v>3.8571428571428568</v>
      </c>
      <c r="F379" s="59">
        <f t="shared" si="87"/>
        <v>5.3999999999999995</v>
      </c>
      <c r="G379" s="11" t="s">
        <v>1084</v>
      </c>
      <c r="H379" s="25" t="s">
        <v>106</v>
      </c>
      <c r="I379" s="25" t="s">
        <v>106</v>
      </c>
      <c r="J379" s="26" t="s">
        <v>106</v>
      </c>
      <c r="K379" s="26" t="str">
        <f>IF($AQ379,"#N/D",IFERROR(INDEX(Olimpiadas!$A$2:$A$61,MATCH($AO379,Olimpiadas!$C$2:$C$61,0)),"#N/D"))</f>
        <v>#N/D</v>
      </c>
      <c r="L379" s="26" t="str">
        <f>IF($AQ379,"#N/D",IFERROR(INDEX(Minculturas!$A$2:$A$48,MATCH($AO379,Minculturas!$C$2:$C$48,0)),"#N/D"))</f>
        <v>#N/D</v>
      </c>
      <c r="M379" s="26" t="str">
        <f>IF($AQ379,"#N/D",IFERROR(INDEX(Minculturas!$B$2:$B$48,MATCH($AO379,Minculturas!$C$2:$C$48,0)),"#N/D"))</f>
        <v>#N/D</v>
      </c>
      <c r="N379" s="27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0</v>
      </c>
      <c r="AF379" s="28">
        <v>0</v>
      </c>
      <c r="AG379" s="27">
        <f t="shared" si="88"/>
        <v>0</v>
      </c>
      <c r="AH379" s="28"/>
      <c r="AI379" s="28"/>
      <c r="AJ379" s="28">
        <v>46</v>
      </c>
      <c r="AK379" s="28"/>
      <c r="AL379" s="28"/>
      <c r="AM379" s="29" t="s">
        <v>246</v>
      </c>
      <c r="AO379" t="str">
        <f t="shared" si="89"/>
        <v>puli</v>
      </c>
      <c r="AP379" t="str">
        <f t="shared" si="90"/>
        <v>cundinamarca</v>
      </c>
      <c r="AQ379" t="b">
        <f t="shared" si="91"/>
        <v>0</v>
      </c>
      <c r="AR379" t="str">
        <f t="shared" si="92"/>
        <v>puli</v>
      </c>
      <c r="AS379" s="30">
        <f t="shared" si="93"/>
        <v>0</v>
      </c>
      <c r="AT379" s="30">
        <f t="shared" si="94"/>
        <v>0</v>
      </c>
      <c r="AU379" s="30">
        <f t="shared" si="95"/>
        <v>0</v>
      </c>
      <c r="AV379" s="30">
        <f t="shared" si="96"/>
        <v>3</v>
      </c>
      <c r="AZ379" s="31">
        <f t="shared" si="97"/>
        <v>3</v>
      </c>
      <c r="BA379" s="31">
        <f t="shared" si="98"/>
        <v>3</v>
      </c>
      <c r="BB379" s="32">
        <f>IFERROR(INDEX('Análisis general'!$E$4:$E$28,MATCH($B379,'Análisis general'!$B$4:$B$28,0)),"")</f>
        <v>4.0999999999999996</v>
      </c>
      <c r="BC379" s="31">
        <f t="shared" si="99"/>
        <v>3</v>
      </c>
      <c r="BD379" s="32">
        <f t="shared" si="100"/>
        <v>3.8571428571428568</v>
      </c>
      <c r="BE379" s="32">
        <f t="shared" si="101"/>
        <v>5.3999999999999995</v>
      </c>
    </row>
    <row r="380" spans="1:57" ht="25.5" customHeight="1" x14ac:dyDescent="0.25">
      <c r="A380" s="33" t="s">
        <v>1085</v>
      </c>
      <c r="B380" s="11" t="s">
        <v>49</v>
      </c>
      <c r="C380" s="34" t="s">
        <v>112</v>
      </c>
      <c r="D380" s="24">
        <f t="shared" si="85"/>
        <v>3</v>
      </c>
      <c r="E380" s="59">
        <f t="shared" si="86"/>
        <v>3.8571428571428568</v>
      </c>
      <c r="F380" s="59">
        <f t="shared" si="87"/>
        <v>5.3999999999999995</v>
      </c>
      <c r="G380" s="11" t="s">
        <v>1086</v>
      </c>
      <c r="H380" s="25" t="s">
        <v>106</v>
      </c>
      <c r="I380" s="25" t="s">
        <v>106</v>
      </c>
      <c r="J380" s="26" t="s">
        <v>106</v>
      </c>
      <c r="K380" s="26" t="str">
        <f>IF($AQ380,"#N/D",IFERROR(INDEX(Olimpiadas!$A$2:$A$61,MATCH($AO380,Olimpiadas!$C$2:$C$61,0)),"#N/D"))</f>
        <v>#N/D</v>
      </c>
      <c r="L380" s="26" t="str">
        <f>IF($AQ380,"#N/D",IFERROR(INDEX(Minculturas!$A$2:$A$48,MATCH($AO380,Minculturas!$C$2:$C$48,0)),"#N/D"))</f>
        <v>#N/D</v>
      </c>
      <c r="M380" s="26" t="str">
        <f>IF($AQ380,"#N/D",IFERROR(INDEX(Minculturas!$B$2:$B$48,MATCH($AO380,Minculturas!$C$2:$C$48,0)),"#N/D"))</f>
        <v>#N/D</v>
      </c>
      <c r="N380" s="27">
        <v>1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1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27">
        <f t="shared" si="88"/>
        <v>0</v>
      </c>
      <c r="AH380" s="28" t="s">
        <v>1087</v>
      </c>
      <c r="AI380" s="28" t="s">
        <v>1088</v>
      </c>
      <c r="AJ380" s="28">
        <v>18</v>
      </c>
      <c r="AK380" s="28"/>
      <c r="AL380" s="28"/>
      <c r="AM380" s="29" t="s">
        <v>246</v>
      </c>
      <c r="AO380" t="str">
        <f t="shared" si="89"/>
        <v>san pedro</v>
      </c>
      <c r="AP380" t="str">
        <f t="shared" si="90"/>
        <v>valle del cauca</v>
      </c>
      <c r="AQ380" t="b">
        <f t="shared" si="91"/>
        <v>0</v>
      </c>
      <c r="AR380" t="str">
        <f t="shared" si="92"/>
        <v>san pedro</v>
      </c>
      <c r="AS380" s="30">
        <f t="shared" si="93"/>
        <v>0</v>
      </c>
      <c r="AT380" s="30">
        <f t="shared" si="94"/>
        <v>0</v>
      </c>
      <c r="AU380" s="30">
        <f t="shared" si="95"/>
        <v>0</v>
      </c>
      <c r="AV380" s="30">
        <f t="shared" si="96"/>
        <v>3</v>
      </c>
      <c r="AZ380" s="31">
        <f t="shared" si="97"/>
        <v>3</v>
      </c>
      <c r="BA380" s="31">
        <f t="shared" si="98"/>
        <v>3</v>
      </c>
      <c r="BB380" s="32">
        <f>IFERROR(INDEX('Análisis general'!$E$4:$E$28,MATCH($B380,'Análisis general'!$B$4:$B$28,0)),"")</f>
        <v>4.9000000000000004</v>
      </c>
      <c r="BC380" s="31">
        <f t="shared" si="99"/>
        <v>3</v>
      </c>
      <c r="BD380" s="32">
        <f t="shared" si="100"/>
        <v>3.8571428571428568</v>
      </c>
      <c r="BE380" s="32">
        <f t="shared" si="101"/>
        <v>5.3999999999999995</v>
      </c>
    </row>
    <row r="381" spans="1:57" ht="25.5" customHeight="1" x14ac:dyDescent="0.25">
      <c r="A381" s="33" t="s">
        <v>1097</v>
      </c>
      <c r="B381" s="11" t="s">
        <v>35</v>
      </c>
      <c r="C381" s="34" t="s">
        <v>112</v>
      </c>
      <c r="D381" s="24">
        <f t="shared" si="85"/>
        <v>3</v>
      </c>
      <c r="E381" s="59">
        <f t="shared" si="86"/>
        <v>3.8571428571428568</v>
      </c>
      <c r="F381" s="59">
        <f t="shared" si="87"/>
        <v>5.3999999999999995</v>
      </c>
      <c r="G381" s="11" t="s">
        <v>1098</v>
      </c>
      <c r="H381" s="25" t="s">
        <v>106</v>
      </c>
      <c r="I381" s="25" t="s">
        <v>106</v>
      </c>
      <c r="J381" s="26" t="s">
        <v>106</v>
      </c>
      <c r="K381" s="26" t="str">
        <f>IF($AQ381,"#N/D",IFERROR(INDEX(Olimpiadas!$A$2:$A$61,MATCH($AO381,Olimpiadas!$C$2:$C$61,0)),"#N/D"))</f>
        <v>#N/D</v>
      </c>
      <c r="L381" s="26" t="str">
        <f>IF($AQ381,"#N/D",IFERROR(INDEX(Minculturas!$A$2:$A$48,MATCH($AO381,Minculturas!$C$2:$C$48,0)),"#N/D"))</f>
        <v>#N/D</v>
      </c>
      <c r="M381" s="26" t="str">
        <f>IF($AQ381,"#N/D",IFERROR(INDEX(Minculturas!$B$2:$B$48,MATCH($AO381,Minculturas!$C$2:$C$48,0)),"#N/D"))</f>
        <v>#N/D</v>
      </c>
      <c r="N381" s="27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27">
        <f t="shared" si="88"/>
        <v>0</v>
      </c>
      <c r="AH381" s="28"/>
      <c r="AI381" s="28"/>
      <c r="AJ381" s="28">
        <v>50</v>
      </c>
      <c r="AK381" s="28"/>
      <c r="AL381" s="28"/>
      <c r="AM381" s="29" t="s">
        <v>246</v>
      </c>
      <c r="AO381" t="str">
        <f t="shared" si="89"/>
        <v>vergara</v>
      </c>
      <c r="AP381" t="str">
        <f t="shared" si="90"/>
        <v>cundinamarca</v>
      </c>
      <c r="AQ381" t="b">
        <f t="shared" si="91"/>
        <v>0</v>
      </c>
      <c r="AR381" t="str">
        <f t="shared" si="92"/>
        <v>vergara</v>
      </c>
      <c r="AS381" s="30">
        <f t="shared" si="93"/>
        <v>0</v>
      </c>
      <c r="AT381" s="30">
        <f t="shared" si="94"/>
        <v>0</v>
      </c>
      <c r="AU381" s="30">
        <f t="shared" si="95"/>
        <v>0</v>
      </c>
      <c r="AV381" s="30">
        <f t="shared" si="96"/>
        <v>3</v>
      </c>
      <c r="AZ381" s="31">
        <f t="shared" si="97"/>
        <v>3</v>
      </c>
      <c r="BA381" s="31">
        <f t="shared" si="98"/>
        <v>3</v>
      </c>
      <c r="BB381" s="32">
        <f>IFERROR(INDEX('Análisis general'!$E$4:$E$28,MATCH($B381,'Análisis general'!$B$4:$B$28,0)),"")</f>
        <v>4.0999999999999996</v>
      </c>
      <c r="BC381" s="31">
        <f t="shared" si="99"/>
        <v>3</v>
      </c>
      <c r="BD381" s="32">
        <f t="shared" si="100"/>
        <v>3.8571428571428568</v>
      </c>
      <c r="BE381" s="32">
        <f t="shared" si="101"/>
        <v>5.3999999999999995</v>
      </c>
    </row>
    <row r="382" spans="1:57" ht="25.5" customHeight="1" x14ac:dyDescent="0.25">
      <c r="A382" s="33" t="s">
        <v>1099</v>
      </c>
      <c r="B382" s="11" t="s">
        <v>35</v>
      </c>
      <c r="C382" s="34" t="s">
        <v>112</v>
      </c>
      <c r="D382" s="24">
        <f t="shared" si="85"/>
        <v>3</v>
      </c>
      <c r="E382" s="59">
        <f t="shared" si="86"/>
        <v>3.8571428571428568</v>
      </c>
      <c r="F382" s="59">
        <f t="shared" si="87"/>
        <v>5.3999999999999995</v>
      </c>
      <c r="G382" s="11" t="s">
        <v>1100</v>
      </c>
      <c r="H382" s="25" t="s">
        <v>106</v>
      </c>
      <c r="I382" s="25" t="s">
        <v>106</v>
      </c>
      <c r="J382" s="26" t="s">
        <v>106</v>
      </c>
      <c r="K382" s="26" t="str">
        <f>IF($AQ382,"#N/D",IFERROR(INDEX(Olimpiadas!$A$2:$A$61,MATCH($AO382,Olimpiadas!$C$2:$C$61,0)),"#N/D"))</f>
        <v>#N/D</v>
      </c>
      <c r="L382" s="26" t="str">
        <f>IF($AQ382,"#N/D",IFERROR(INDEX(Minculturas!$A$2:$A$48,MATCH($AO382,Minculturas!$C$2:$C$48,0)),"#N/D"))</f>
        <v>#N/D</v>
      </c>
      <c r="M382" s="26" t="str">
        <f>IF($AQ382,"#N/D",IFERROR(INDEX(Minculturas!$B$2:$B$48,MATCH($AO382,Minculturas!$C$2:$C$48,0)),"#N/D"))</f>
        <v>#N/D</v>
      </c>
      <c r="N382" s="27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27">
        <f t="shared" si="88"/>
        <v>0</v>
      </c>
      <c r="AH382" s="28"/>
      <c r="AI382" s="28"/>
      <c r="AJ382" s="28">
        <v>18.7</v>
      </c>
      <c r="AK382" s="28"/>
      <c r="AL382" s="28"/>
      <c r="AM382" s="29" t="s">
        <v>246</v>
      </c>
      <c r="AO382" t="str">
        <f t="shared" si="89"/>
        <v>villeta</v>
      </c>
      <c r="AP382" t="str">
        <f t="shared" si="90"/>
        <v>cundinamarca</v>
      </c>
      <c r="AQ382" t="b">
        <f t="shared" si="91"/>
        <v>0</v>
      </c>
      <c r="AR382" t="str">
        <f t="shared" si="92"/>
        <v>villeta</v>
      </c>
      <c r="AS382" s="30">
        <f t="shared" si="93"/>
        <v>0</v>
      </c>
      <c r="AT382" s="30">
        <f t="shared" si="94"/>
        <v>0</v>
      </c>
      <c r="AU382" s="30">
        <f t="shared" si="95"/>
        <v>0</v>
      </c>
      <c r="AV382" s="30">
        <f t="shared" si="96"/>
        <v>3</v>
      </c>
      <c r="AZ382" s="31">
        <f t="shared" si="97"/>
        <v>3</v>
      </c>
      <c r="BA382" s="31">
        <f t="shared" si="98"/>
        <v>3</v>
      </c>
      <c r="BB382" s="32">
        <f>IFERROR(INDEX('Análisis general'!$E$4:$E$28,MATCH($B382,'Análisis general'!$B$4:$B$28,0)),"")</f>
        <v>4.0999999999999996</v>
      </c>
      <c r="BC382" s="31">
        <f t="shared" si="99"/>
        <v>3</v>
      </c>
      <c r="BD382" s="32">
        <f t="shared" si="100"/>
        <v>3.8571428571428568</v>
      </c>
      <c r="BE382" s="32">
        <f t="shared" si="101"/>
        <v>5.3999999999999995</v>
      </c>
    </row>
    <row r="383" spans="1:57" ht="25.5" customHeight="1" x14ac:dyDescent="0.25">
      <c r="A383" s="33" t="s">
        <v>1101</v>
      </c>
      <c r="B383" s="11" t="s">
        <v>35</v>
      </c>
      <c r="C383" s="34" t="s">
        <v>112</v>
      </c>
      <c r="D383" s="24">
        <f t="shared" si="85"/>
        <v>3</v>
      </c>
      <c r="E383" s="59">
        <f t="shared" si="86"/>
        <v>3.8571428571428568</v>
      </c>
      <c r="F383" s="59">
        <f t="shared" si="87"/>
        <v>5.3999999999999995</v>
      </c>
      <c r="G383" s="11" t="s">
        <v>1102</v>
      </c>
      <c r="H383" s="25" t="s">
        <v>106</v>
      </c>
      <c r="I383" s="25" t="s">
        <v>106</v>
      </c>
      <c r="J383" s="26" t="s">
        <v>106</v>
      </c>
      <c r="K383" s="26" t="str">
        <f>IF($AQ383,"#N/D",IFERROR(INDEX(Olimpiadas!$A$2:$A$61,MATCH($AO383,Olimpiadas!$C$2:$C$61,0)),"#N/D"))</f>
        <v>#N/D</v>
      </c>
      <c r="L383" s="26" t="str">
        <f>IF($AQ383,"#N/D",IFERROR(INDEX(Minculturas!$A$2:$A$48,MATCH($AO383,Minculturas!$C$2:$C$48,0)),"#N/D"))</f>
        <v>#N/D</v>
      </c>
      <c r="M383" s="26" t="str">
        <f>IF($AQ383,"#N/D",IFERROR(INDEX(Minculturas!$B$2:$B$48,MATCH($AO383,Minculturas!$C$2:$C$48,0)),"#N/D"))</f>
        <v>#N/D</v>
      </c>
      <c r="N383" s="27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27">
        <f t="shared" si="88"/>
        <v>0</v>
      </c>
      <c r="AH383" s="28"/>
      <c r="AI383" s="28"/>
      <c r="AJ383" s="28">
        <v>20.5</v>
      </c>
      <c r="AK383" s="28"/>
      <c r="AL383" s="28"/>
      <c r="AM383" s="29" t="s">
        <v>246</v>
      </c>
      <c r="AO383" t="str">
        <f t="shared" si="89"/>
        <v>zipacon</v>
      </c>
      <c r="AP383" t="str">
        <f t="shared" si="90"/>
        <v>cundinamarca</v>
      </c>
      <c r="AQ383" t="b">
        <f t="shared" si="91"/>
        <v>0</v>
      </c>
      <c r="AR383" t="str">
        <f t="shared" si="92"/>
        <v>zipacon</v>
      </c>
      <c r="AS383" s="30">
        <f t="shared" si="93"/>
        <v>0</v>
      </c>
      <c r="AT383" s="30">
        <f t="shared" si="94"/>
        <v>0</v>
      </c>
      <c r="AU383" s="30">
        <f t="shared" si="95"/>
        <v>0</v>
      </c>
      <c r="AV383" s="30">
        <f t="shared" si="96"/>
        <v>3</v>
      </c>
      <c r="AZ383" s="31">
        <f t="shared" si="97"/>
        <v>3</v>
      </c>
      <c r="BA383" s="31">
        <f t="shared" si="98"/>
        <v>3</v>
      </c>
      <c r="BB383" s="32">
        <f>IFERROR(INDEX('Análisis general'!$E$4:$E$28,MATCH($B383,'Análisis general'!$B$4:$B$28,0)),"")</f>
        <v>4.0999999999999996</v>
      </c>
      <c r="BC383" s="31">
        <f t="shared" si="99"/>
        <v>3</v>
      </c>
      <c r="BD383" s="32">
        <f t="shared" si="100"/>
        <v>3.8571428571428568</v>
      </c>
      <c r="BE383" s="32">
        <f t="shared" si="101"/>
        <v>5.3999999999999995</v>
      </c>
    </row>
    <row r="384" spans="1:57" ht="25.5" customHeight="1" x14ac:dyDescent="0.25">
      <c r="A384" s="33" t="s">
        <v>1105</v>
      </c>
      <c r="B384" s="11" t="s">
        <v>10</v>
      </c>
      <c r="C384" s="34" t="s">
        <v>112</v>
      </c>
      <c r="D384" s="24">
        <f t="shared" si="85"/>
        <v>5</v>
      </c>
      <c r="E384" s="59">
        <f t="shared" si="86"/>
        <v>4.7142857142857144</v>
      </c>
      <c r="F384" s="59">
        <f t="shared" si="87"/>
        <v>5.3999999999999995</v>
      </c>
      <c r="G384" s="11" t="s">
        <v>1106</v>
      </c>
      <c r="H384" s="25" t="str">
        <f>IFERROR(IF($AQ384,INDEX(cpe!$C$2:$C$307,MATCH($AR384,cpe!$F$2:$F$307,0)),INDEX(cpe!$C$2:$C$307,MATCH($AR384,cpe!$D$2:$D$307,0))),"#N/D")</f>
        <v>#N/D</v>
      </c>
      <c r="I384" s="25" t="str">
        <f>IFERROR(IF($AQ384,INDEX(cpe!$B$2:$B$307,MATCH($AR384,cpe!$F$2:$F$307,0)),INDEX(cpe!$B$2:$B$307,MATCH($AR384,cpe!$D$2:$D$307,0))),"#N/D")</f>
        <v>#N/D</v>
      </c>
      <c r="J384" s="26" t="str">
        <f>IF($AQ384,"#N/D",IFERROR(INDEX(Olimpiadas!$B$2:$B$61,MATCH($AO384,Olimpiadas!$C$2:$C$61,0)),"#N/D"))</f>
        <v>Bello</v>
      </c>
      <c r="K384" s="26" t="str">
        <f>IF($AQ384,"#N/D",IFERROR(INDEX(Olimpiadas!$A$2:$A$61,MATCH($AO384,Olimpiadas!$C$2:$C$61,0)),"#N/D"))</f>
        <v>INSTITUCIÓN EDUCATIVA HERNÁN VILLA BAENA</v>
      </c>
      <c r="L384" s="26" t="str">
        <f>IF($AQ384,"#N/D",IFERROR(INDEX(Minculturas!$A$2:$A$48,MATCH($AO384,Minculturas!$C$2:$C$48,0)),"#N/D"))</f>
        <v>#N/D</v>
      </c>
      <c r="M384" s="26" t="str">
        <f>IF($AQ384,"#N/D",IFERROR(INDEX(Minculturas!$B$2:$B$48,MATCH($AO384,Minculturas!$C$2:$C$48,0)),"#N/D"))</f>
        <v>#N/D</v>
      </c>
      <c r="N384" s="27">
        <v>4</v>
      </c>
      <c r="O384" s="28">
        <v>0</v>
      </c>
      <c r="P384" s="28">
        <v>1</v>
      </c>
      <c r="Q384" s="28">
        <v>1</v>
      </c>
      <c r="R384" s="28">
        <v>1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1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8">
        <v>0</v>
      </c>
      <c r="AF384" s="28">
        <v>0</v>
      </c>
      <c r="AG384" s="27">
        <f t="shared" si="88"/>
        <v>3</v>
      </c>
      <c r="AH384" s="28"/>
      <c r="AI384" s="28"/>
      <c r="AJ384" s="28">
        <v>14.2</v>
      </c>
      <c r="AK384" s="28"/>
      <c r="AL384" s="28"/>
      <c r="AM384" s="29" t="s">
        <v>114</v>
      </c>
      <c r="AO384" t="str">
        <f t="shared" si="89"/>
        <v>bello</v>
      </c>
      <c r="AP384" t="str">
        <f t="shared" si="90"/>
        <v>antioquia</v>
      </c>
      <c r="AQ384" t="b">
        <f t="shared" si="91"/>
        <v>0</v>
      </c>
      <c r="AR384" t="str">
        <f t="shared" si="92"/>
        <v>bello</v>
      </c>
      <c r="AS384" s="30">
        <f t="shared" si="93"/>
        <v>1</v>
      </c>
      <c r="AT384" s="30">
        <f t="shared" si="94"/>
        <v>3</v>
      </c>
      <c r="AU384" s="30">
        <f t="shared" si="95"/>
        <v>3</v>
      </c>
      <c r="AV384" s="30">
        <f t="shared" si="96"/>
        <v>1</v>
      </c>
      <c r="AZ384" s="31">
        <f t="shared" si="97"/>
        <v>0</v>
      </c>
      <c r="BA384" s="31">
        <f t="shared" si="98"/>
        <v>4</v>
      </c>
      <c r="BB384" s="32">
        <f>IFERROR(INDEX('Análisis general'!$E$4:$E$28,MATCH($B384,'Análisis general'!$B$4:$B$28,0)),"")</f>
        <v>9.5</v>
      </c>
      <c r="BC384" s="31">
        <f t="shared" si="99"/>
        <v>3</v>
      </c>
      <c r="BD384" s="32">
        <f t="shared" si="100"/>
        <v>4.7142857142857144</v>
      </c>
      <c r="BE384" s="32">
        <f t="shared" si="101"/>
        <v>5.3999999999999995</v>
      </c>
    </row>
    <row r="385" spans="1:57" ht="25.5" customHeight="1" x14ac:dyDescent="0.25">
      <c r="A385" s="33" t="s">
        <v>1107</v>
      </c>
      <c r="B385" s="11" t="s">
        <v>19</v>
      </c>
      <c r="C385" s="34" t="s">
        <v>112</v>
      </c>
      <c r="D385" s="24">
        <f t="shared" si="85"/>
        <v>4</v>
      </c>
      <c r="E385" s="59">
        <f t="shared" si="86"/>
        <v>4.7142857142857144</v>
      </c>
      <c r="F385" s="59">
        <f t="shared" si="87"/>
        <v>5.3999999999999995</v>
      </c>
      <c r="G385" s="11" t="s">
        <v>1108</v>
      </c>
      <c r="H385" s="25" t="str">
        <f>IFERROR(IF($AQ385,INDEX(cpe!$C$2:$C$307,MATCH($AR385,cpe!$F$2:$F$307,0)),INDEX(cpe!$C$2:$C$307,MATCH($AR385,cpe!$D$2:$D$307,0))),"#N/D")</f>
        <v>#N/D</v>
      </c>
      <c r="I385" s="25" t="str">
        <f>IFERROR(IF($AQ385,INDEX(cpe!$B$2:$B$307,MATCH($AR385,cpe!$F$2:$F$307,0)),INDEX(cpe!$B$2:$B$307,MATCH($AR385,cpe!$D$2:$D$307,0))),"#N/D")</f>
        <v>#N/D</v>
      </c>
      <c r="J385" s="26" t="str">
        <f>IF($AQ385,"#N/D",IFERROR(INDEX(Olimpiadas!$B$2:$B$61,MATCH($AO385,Olimpiadas!$C$2:$C$61,0)),"#N/D"))</f>
        <v>Cartagena</v>
      </c>
      <c r="K385" s="26" t="str">
        <f>IF($AQ385,"#N/D",IFERROR(INDEX(Olimpiadas!$A$2:$A$61,MATCH($AO385,Olimpiadas!$C$2:$C$61,0)),"#N/D"))</f>
        <v>INSTITUCIÓN EDUCATIVA JUAN JOSÉ NIETO</v>
      </c>
      <c r="L385" s="26" t="str">
        <f>IF($AQ385,"#N/D",IFERROR(INDEX(Minculturas!$A$2:$A$48,MATCH($AO385,Minculturas!$C$2:$C$48,0)),"#N/D"))</f>
        <v>#N/D</v>
      </c>
      <c r="M385" s="26" t="str">
        <f>IF($AQ385,"#N/D",IFERROR(INDEX(Minculturas!$B$2:$B$48,MATCH($AO385,Minculturas!$C$2:$C$48,0)),"#N/D"))</f>
        <v>#N/D</v>
      </c>
      <c r="N385" s="27">
        <v>13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1</v>
      </c>
      <c r="V385" s="28">
        <v>0</v>
      </c>
      <c r="W385" s="28">
        <v>0</v>
      </c>
      <c r="X385" s="28">
        <v>0</v>
      </c>
      <c r="Y385" s="28">
        <v>12</v>
      </c>
      <c r="Z385" s="28">
        <v>0</v>
      </c>
      <c r="AA385" s="28">
        <v>0</v>
      </c>
      <c r="AB385" s="28">
        <v>0</v>
      </c>
      <c r="AC385" s="28">
        <v>0</v>
      </c>
      <c r="AD385" s="28">
        <v>0</v>
      </c>
      <c r="AE385" s="28">
        <v>0</v>
      </c>
      <c r="AF385" s="28">
        <v>0</v>
      </c>
      <c r="AG385" s="27">
        <f t="shared" si="88"/>
        <v>1</v>
      </c>
      <c r="AH385" s="28"/>
      <c r="AI385" s="28"/>
      <c r="AJ385" s="28">
        <v>19.899999999999999</v>
      </c>
      <c r="AK385" s="28"/>
      <c r="AL385" s="28"/>
      <c r="AM385" s="29" t="s">
        <v>114</v>
      </c>
      <c r="AO385" t="str">
        <f t="shared" si="89"/>
        <v>cartagena</v>
      </c>
      <c r="AP385" t="str">
        <f t="shared" si="90"/>
        <v>bolivar</v>
      </c>
      <c r="AQ385" t="b">
        <f t="shared" si="91"/>
        <v>0</v>
      </c>
      <c r="AR385" t="str">
        <f t="shared" si="92"/>
        <v>cartagena</v>
      </c>
      <c r="AS385" s="30">
        <f t="shared" si="93"/>
        <v>1</v>
      </c>
      <c r="AT385" s="30">
        <f t="shared" si="94"/>
        <v>1</v>
      </c>
      <c r="AU385" s="30">
        <f t="shared" si="95"/>
        <v>3</v>
      </c>
      <c r="AV385" s="30">
        <f t="shared" si="96"/>
        <v>0</v>
      </c>
      <c r="AZ385" s="31">
        <f t="shared" si="97"/>
        <v>0</v>
      </c>
      <c r="BA385" s="31">
        <f t="shared" si="98"/>
        <v>4</v>
      </c>
      <c r="BB385" s="32">
        <f>IFERROR(INDEX('Análisis general'!$E$4:$E$28,MATCH($B385,'Análisis general'!$B$4:$B$28,0)),"")</f>
        <v>17</v>
      </c>
      <c r="BC385" s="31">
        <f t="shared" si="99"/>
        <v>3</v>
      </c>
      <c r="BD385" s="32">
        <f t="shared" si="100"/>
        <v>4.7142857142857144</v>
      </c>
      <c r="BE385" s="32">
        <f t="shared" si="101"/>
        <v>5.3999999999999995</v>
      </c>
    </row>
    <row r="386" spans="1:57" ht="25.5" customHeight="1" x14ac:dyDescent="0.25">
      <c r="A386" s="33" t="s">
        <v>391</v>
      </c>
      <c r="B386" s="11" t="s">
        <v>24</v>
      </c>
      <c r="C386" s="34" t="s">
        <v>112</v>
      </c>
      <c r="D386" s="24">
        <f t="shared" ref="D386:D433" si="102">AS386+AU386+AV386</f>
        <v>3</v>
      </c>
      <c r="E386" s="59">
        <f t="shared" ref="E386:E433" si="103">BD386</f>
        <v>3.8571428571428568</v>
      </c>
      <c r="F386" s="59">
        <f t="shared" ref="F386:F433" si="104">BE386</f>
        <v>5.3999999999999995</v>
      </c>
      <c r="G386" s="11" t="s">
        <v>45</v>
      </c>
      <c r="H386" s="25" t="s">
        <v>106</v>
      </c>
      <c r="I386" s="25" t="s">
        <v>106</v>
      </c>
      <c r="J386" s="26" t="s">
        <v>106</v>
      </c>
      <c r="K386" s="26" t="str">
        <f>IF($AQ386,"#N/D",IFERROR(INDEX(Olimpiadas!$A$2:$A$61,MATCH($AO386,Olimpiadas!$C$2:$C$61,0)),"#N/D"))</f>
        <v>#N/D</v>
      </c>
      <c r="L386" s="26" t="str">
        <f>IF($AQ386,"#N/D",IFERROR(INDEX(Minculturas!$A$2:$A$48,MATCH($AO386,Minculturas!$C$2:$C$48,0)),"#N/D"))</f>
        <v>#N/D</v>
      </c>
      <c r="M386" s="26" t="str">
        <f>IF($AQ386,"#N/D",IFERROR(INDEX(Minculturas!$B$2:$B$48,MATCH($AO386,Minculturas!$C$2:$C$48,0)),"#N/D"))</f>
        <v>#N/D</v>
      </c>
      <c r="N386" s="27">
        <v>6</v>
      </c>
      <c r="O386" s="28">
        <v>0</v>
      </c>
      <c r="P386" s="28">
        <v>0</v>
      </c>
      <c r="Q386" s="28">
        <v>0</v>
      </c>
      <c r="R386" s="28">
        <v>0</v>
      </c>
      <c r="S386" s="28">
        <v>1</v>
      </c>
      <c r="T386" s="28">
        <v>1</v>
      </c>
      <c r="U386" s="28">
        <v>1</v>
      </c>
      <c r="V386" s="28">
        <v>0</v>
      </c>
      <c r="W386" s="28">
        <v>0</v>
      </c>
      <c r="X386" s="28">
        <v>0</v>
      </c>
      <c r="Y386" s="28">
        <v>2</v>
      </c>
      <c r="Z386" s="28">
        <v>0</v>
      </c>
      <c r="AA386" s="28">
        <v>0</v>
      </c>
      <c r="AB386" s="28">
        <v>1</v>
      </c>
      <c r="AC386" s="28">
        <v>0</v>
      </c>
      <c r="AD386" s="28">
        <v>0</v>
      </c>
      <c r="AE386" s="28">
        <v>0</v>
      </c>
      <c r="AF386" s="28">
        <v>0</v>
      </c>
      <c r="AG386" s="27">
        <f t="shared" ref="AG386:AG433" si="105">SUM(O386:X386)</f>
        <v>3</v>
      </c>
      <c r="AH386" s="26" t="s">
        <v>392</v>
      </c>
      <c r="AI386" s="26" t="s">
        <v>393</v>
      </c>
      <c r="AJ386" s="28">
        <v>39.4</v>
      </c>
      <c r="AK386" s="28"/>
      <c r="AL386" s="28"/>
      <c r="AM386" s="29" t="s">
        <v>114</v>
      </c>
      <c r="AO386" t="str">
        <f t="shared" ref="AO386:AO433" si="106">TRIM(SUBSTITUTE(SUBSTITUTE(SUBSTITUTE(SUBSTITUTE(SUBSTITUTE(SUBSTITUTE(SUBSTITUTE(SUBSTITUTE(SUBSTITUTE(LOWER(G386),"á","a"),"é","e"),"í","i"),"ó","o"),"ú","u"),"ñ","n"),"-"," "),","," "),"."," "))</f>
        <v>risaralda</v>
      </c>
      <c r="AP386" t="str">
        <f t="shared" ref="AP386:AP433" si="107">TRIM(SUBSTITUTE(SUBSTITUTE(SUBSTITUTE(SUBSTITUTE(SUBSTITUTE(SUBSTITUTE(SUBSTITUTE(SUBSTITUTE(SUBSTITUTE(LOWER(B386),"á","a"),"é","e"),"í","i"),"ó","o"),"ú","u"),"ñ","n"),"-"," "),","," "),"."," "))</f>
        <v>caldas</v>
      </c>
      <c r="AQ386" t="b">
        <f t="shared" ref="AQ386:AQ449" si="108">COUNTIF($AO$2:$AO$433,AO386)&gt;COUNTIFS($AO$2:$AO$433,AO386,$AP$2:$AP$433,AP386)</f>
        <v>0</v>
      </c>
      <c r="AR386" t="str">
        <f t="shared" ref="AR386:AR449" si="109">IF(AQ386,AO386&amp;"|"&amp;AP386,AO386)</f>
        <v>risaralda</v>
      </c>
      <c r="AS386" s="30">
        <f t="shared" ref="AS386:AS433" si="110">(I386&lt;&gt;"#N/D")+(J386&lt;&gt;"#N/D")+(L386&lt;&gt;"#N/D")</f>
        <v>0</v>
      </c>
      <c r="AT386" s="30">
        <f t="shared" ref="AT386:AT433" si="111">SUM(O386:X386)</f>
        <v>3</v>
      </c>
      <c r="AU386" s="30">
        <f t="shared" ref="AU386:AU449" si="112">IF(AT386&lt;=$AY$2,0,IF(AT386&lt;=$AY$3,1,IF(AT386&lt;=$AY$4,2,3)))</f>
        <v>3</v>
      </c>
      <c r="AV386" s="30">
        <f t="shared" ref="AV386:AV433" si="113">IF(Y386&lt;=$AY$7,3,IF(Y386&lt;=$AY$8,2,IF(Y386&lt;=$AY$9,1,0)))</f>
        <v>0</v>
      </c>
      <c r="AZ386" s="31">
        <f t="shared" ref="AZ386:AZ433" si="114">IF(Y386=0,3,0)</f>
        <v>0</v>
      </c>
      <c r="BA386" s="31">
        <f t="shared" ref="BA386:BA449" si="115">AS386+AU386+AZ386</f>
        <v>3</v>
      </c>
      <c r="BB386" s="32">
        <f>IFERROR(INDEX('Análisis general'!$E$4:$E$28,MATCH($B386,'Análisis general'!$B$4:$B$28,0)),"")</f>
        <v>7.9</v>
      </c>
      <c r="BC386" s="31">
        <f t="shared" ref="BC386:BC449" si="116">IF(BB386="","",IF(BB386&lt;=$BG$2,0,IF(BB386&lt;=$BG$3,1,IF(BB386&lt;=$BG$4,2,3))))</f>
        <v>3</v>
      </c>
      <c r="BD386" s="32">
        <f t="shared" ref="BD386:BD449" si="117">(AS386+AU386+AZ386+(BC386/2))*(9/10.5)</f>
        <v>3.8571428571428568</v>
      </c>
      <c r="BE386" s="32">
        <f t="shared" ref="BE386:BE433" si="118">(AU386+AZ386+(BC386/2))*(9/7.5)</f>
        <v>5.3999999999999995</v>
      </c>
    </row>
    <row r="387" spans="1:57" ht="25.5" customHeight="1" x14ac:dyDescent="0.25">
      <c r="A387" s="33" t="s">
        <v>1109</v>
      </c>
      <c r="B387" s="11" t="s">
        <v>44</v>
      </c>
      <c r="C387" s="34" t="s">
        <v>112</v>
      </c>
      <c r="D387" s="24">
        <f t="shared" si="102"/>
        <v>4</v>
      </c>
      <c r="E387" s="59">
        <f t="shared" si="103"/>
        <v>3.8571428571428568</v>
      </c>
      <c r="F387" s="59">
        <f t="shared" si="104"/>
        <v>5.3999999999999995</v>
      </c>
      <c r="G387" s="11" t="s">
        <v>1110</v>
      </c>
      <c r="H387" s="25" t="str">
        <f>IFERROR(IF($AQ387,INDEX(cpe!$C$2:$C$307,MATCH($AR387,cpe!$F$2:$F$307,0)),INDEX(cpe!$C$2:$C$307,MATCH($AR387,cpe!$D$2:$D$307,0))),"#N/D")</f>
        <v>#N/D</v>
      </c>
      <c r="I387" s="25" t="str">
        <f>IFERROR(IF($AQ387,INDEX(cpe!$B$2:$B$307,MATCH($AR387,cpe!$F$2:$F$307,0)),INDEX(cpe!$B$2:$B$307,MATCH($AR387,cpe!$D$2:$D$307,0))),"#N/D")</f>
        <v>#N/D</v>
      </c>
      <c r="J387" s="26" t="str">
        <f>IF($AQ387,"#N/D",IFERROR(INDEX(Olimpiadas!$B$2:$B$61,MATCH($AO387,Olimpiadas!$C$2:$C$61,0)),"#N/D"))</f>
        <v>#N/D</v>
      </c>
      <c r="K387" s="26" t="str">
        <f>IF($AQ387,"#N/D",IFERROR(INDEX(Olimpiadas!$A$2:$A$61,MATCH($AO387,Olimpiadas!$C$2:$C$61,0)),"#N/D"))</f>
        <v>#N/D</v>
      </c>
      <c r="L387" s="26" t="str">
        <f>IF($AQ387,"#N/D",IFERROR(INDEX(Minculturas!$A$2:$A$48,MATCH($AO387,Minculturas!$C$2:$C$48,0)),"#N/D"))</f>
        <v>#N/D</v>
      </c>
      <c r="M387" s="26" t="str">
        <f>IF($AQ387,"#N/D",IFERROR(INDEX(Minculturas!$B$2:$B$48,MATCH($AO387,Minculturas!$C$2:$C$48,0)),"#N/D"))</f>
        <v>#N/D</v>
      </c>
      <c r="N387" s="27">
        <v>4</v>
      </c>
      <c r="O387" s="28">
        <v>0</v>
      </c>
      <c r="P387" s="28">
        <v>2</v>
      </c>
      <c r="Q387" s="28">
        <v>0</v>
      </c>
      <c r="R387" s="28">
        <v>0</v>
      </c>
      <c r="S387" s="28">
        <v>0</v>
      </c>
      <c r="T387" s="28">
        <v>0</v>
      </c>
      <c r="U387" s="28">
        <v>1</v>
      </c>
      <c r="V387" s="28">
        <v>0</v>
      </c>
      <c r="W387" s="28">
        <v>0</v>
      </c>
      <c r="X387" s="28">
        <v>0</v>
      </c>
      <c r="Y387" s="28">
        <v>1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27">
        <f t="shared" si="105"/>
        <v>3</v>
      </c>
      <c r="AH387" s="28" t="s">
        <v>472</v>
      </c>
      <c r="AI387" s="28" t="s">
        <v>1111</v>
      </c>
      <c r="AJ387" s="28">
        <v>29</v>
      </c>
      <c r="AK387" s="28"/>
      <c r="AL387" s="28"/>
      <c r="AM387" s="29" t="s">
        <v>114</v>
      </c>
      <c r="AO387" t="str">
        <f t="shared" si="106"/>
        <v>buenavista</v>
      </c>
      <c r="AP387" t="str">
        <f t="shared" si="107"/>
        <v>quindio</v>
      </c>
      <c r="AQ387" t="b">
        <f t="shared" si="108"/>
        <v>0</v>
      </c>
      <c r="AR387" t="str">
        <f t="shared" si="109"/>
        <v>buenavista</v>
      </c>
      <c r="AS387" s="30">
        <f t="shared" si="110"/>
        <v>0</v>
      </c>
      <c r="AT387" s="30">
        <f t="shared" si="111"/>
        <v>3</v>
      </c>
      <c r="AU387" s="30">
        <f t="shared" si="112"/>
        <v>3</v>
      </c>
      <c r="AV387" s="30">
        <f t="shared" si="113"/>
        <v>1</v>
      </c>
      <c r="AZ387" s="31">
        <f t="shared" si="114"/>
        <v>0</v>
      </c>
      <c r="BA387" s="31">
        <f t="shared" si="115"/>
        <v>3</v>
      </c>
      <c r="BB387" s="32">
        <f>IFERROR(INDEX('Análisis general'!$E$4:$E$28,MATCH($B387,'Análisis general'!$B$4:$B$28,0)),"")</f>
        <v>6.7</v>
      </c>
      <c r="BC387" s="31">
        <f t="shared" si="116"/>
        <v>3</v>
      </c>
      <c r="BD387" s="32">
        <f t="shared" si="117"/>
        <v>3.8571428571428568</v>
      </c>
      <c r="BE387" s="32">
        <f t="shared" si="118"/>
        <v>5.3999999999999995</v>
      </c>
    </row>
    <row r="388" spans="1:57" ht="25.5" customHeight="1" x14ac:dyDescent="0.25">
      <c r="A388" s="33" t="s">
        <v>1112</v>
      </c>
      <c r="B388" s="11" t="s">
        <v>44</v>
      </c>
      <c r="C388" s="34" t="s">
        <v>112</v>
      </c>
      <c r="D388" s="24">
        <f t="shared" si="102"/>
        <v>4</v>
      </c>
      <c r="E388" s="59">
        <f t="shared" si="103"/>
        <v>3.8571428571428568</v>
      </c>
      <c r="F388" s="59">
        <f t="shared" si="104"/>
        <v>5.3999999999999995</v>
      </c>
      <c r="G388" s="11" t="s">
        <v>1113</v>
      </c>
      <c r="H388" s="25" t="s">
        <v>106</v>
      </c>
      <c r="I388" s="25" t="s">
        <v>106</v>
      </c>
      <c r="J388" s="26" t="s">
        <v>106</v>
      </c>
      <c r="K388" s="26" t="str">
        <f>IF($AQ388,"#N/D",IFERROR(INDEX(Olimpiadas!$A$2:$A$61,MATCH($AO388,Olimpiadas!$C$2:$C$61,0)),"#N/D"))</f>
        <v>#N/D</v>
      </c>
      <c r="L388" s="26" t="str">
        <f>IF($AQ388,"#N/D",IFERROR(INDEX(Minculturas!$A$2:$A$48,MATCH($AO388,Minculturas!$C$2:$C$48,0)),"#N/D"))</f>
        <v>#N/D</v>
      </c>
      <c r="M388" s="26" t="str">
        <f>IF($AQ388,"#N/D",IFERROR(INDEX(Minculturas!$B$2:$B$48,MATCH($AO388,Minculturas!$C$2:$C$48,0)),"#N/D"))</f>
        <v>#N/D</v>
      </c>
      <c r="N388" s="27">
        <v>4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1</v>
      </c>
      <c r="U388" s="28">
        <v>1</v>
      </c>
      <c r="V388" s="28">
        <v>0</v>
      </c>
      <c r="W388" s="28">
        <v>0</v>
      </c>
      <c r="X388" s="28">
        <v>0</v>
      </c>
      <c r="Y388" s="28">
        <v>1</v>
      </c>
      <c r="Z388" s="28">
        <v>1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27">
        <f t="shared" si="105"/>
        <v>2</v>
      </c>
      <c r="AH388" s="28"/>
      <c r="AI388" s="28"/>
      <c r="AJ388" s="28">
        <v>28.8</v>
      </c>
      <c r="AK388" s="28"/>
      <c r="AL388" s="28"/>
      <c r="AM388" s="29" t="s">
        <v>114</v>
      </c>
      <c r="AO388" t="str">
        <f t="shared" si="106"/>
        <v>pijao</v>
      </c>
      <c r="AP388" t="str">
        <f t="shared" si="107"/>
        <v>quindio</v>
      </c>
      <c r="AQ388" t="b">
        <f t="shared" si="108"/>
        <v>0</v>
      </c>
      <c r="AR388" t="str">
        <f t="shared" si="109"/>
        <v>pijao</v>
      </c>
      <c r="AS388" s="30">
        <f t="shared" si="110"/>
        <v>0</v>
      </c>
      <c r="AT388" s="30">
        <f t="shared" si="111"/>
        <v>2</v>
      </c>
      <c r="AU388" s="30">
        <f t="shared" si="112"/>
        <v>3</v>
      </c>
      <c r="AV388" s="30">
        <f t="shared" si="113"/>
        <v>1</v>
      </c>
      <c r="AZ388" s="31">
        <f t="shared" si="114"/>
        <v>0</v>
      </c>
      <c r="BA388" s="31">
        <f t="shared" si="115"/>
        <v>3</v>
      </c>
      <c r="BB388" s="32">
        <f>IFERROR(INDEX('Análisis general'!$E$4:$E$28,MATCH($B388,'Análisis general'!$B$4:$B$28,0)),"")</f>
        <v>6.7</v>
      </c>
      <c r="BC388" s="31">
        <f t="shared" si="116"/>
        <v>3</v>
      </c>
      <c r="BD388" s="32">
        <f t="shared" si="117"/>
        <v>3.8571428571428568</v>
      </c>
      <c r="BE388" s="32">
        <f t="shared" si="118"/>
        <v>5.3999999999999995</v>
      </c>
    </row>
    <row r="389" spans="1:57" ht="25.5" customHeight="1" x14ac:dyDescent="0.25">
      <c r="A389" s="33" t="s">
        <v>1114</v>
      </c>
      <c r="B389" s="11" t="s">
        <v>35</v>
      </c>
      <c r="C389" s="64" t="s">
        <v>1215</v>
      </c>
      <c r="D389" s="24">
        <f t="shared" si="102"/>
        <v>4</v>
      </c>
      <c r="E389" s="59">
        <f t="shared" si="103"/>
        <v>4.7142857142857144</v>
      </c>
      <c r="F389" s="59">
        <f t="shared" si="104"/>
        <v>5.3999999999999995</v>
      </c>
      <c r="G389" s="11" t="s">
        <v>1115</v>
      </c>
      <c r="H389" s="25" t="s">
        <v>1116</v>
      </c>
      <c r="I389" s="25" t="s">
        <v>1115</v>
      </c>
      <c r="J389" s="26" t="s">
        <v>106</v>
      </c>
      <c r="K389" s="26" t="str">
        <f>IF($AQ389,"#N/D",IFERROR(INDEX(Olimpiadas!$A$2:$A$61,MATCH($AO389,Olimpiadas!$C$2:$C$61,0)),"#N/D"))</f>
        <v>#N/D</v>
      </c>
      <c r="L389" s="26" t="str">
        <f>IF($AQ389,"#N/D",IFERROR(INDEX(Minculturas!$A$2:$A$48,MATCH($AO389,Minculturas!$C$2:$C$48,0)),"#N/D"))</f>
        <v>#N/D</v>
      </c>
      <c r="M389" s="26" t="str">
        <f>IF($AQ389,"#N/D",IFERROR(INDEX(Minculturas!$B$2:$B$48,MATCH($AO389,Minculturas!$C$2:$C$48,0)),"#N/D"))</f>
        <v>#N/D</v>
      </c>
      <c r="N389" s="27">
        <v>14</v>
      </c>
      <c r="O389" s="28">
        <v>0</v>
      </c>
      <c r="P389" s="28">
        <v>1</v>
      </c>
      <c r="Q389" s="28">
        <v>1</v>
      </c>
      <c r="R389" s="28">
        <v>1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11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</v>
      </c>
      <c r="AG389" s="27">
        <f t="shared" si="105"/>
        <v>3</v>
      </c>
      <c r="AH389" s="28"/>
      <c r="AI389" s="28"/>
      <c r="AJ389" s="28">
        <v>14.1</v>
      </c>
      <c r="AK389" s="28"/>
      <c r="AL389" s="28"/>
      <c r="AM389" s="29" t="s">
        <v>1117</v>
      </c>
      <c r="AO389" t="str">
        <f t="shared" si="106"/>
        <v>soacha</v>
      </c>
      <c r="AP389" t="str">
        <f t="shared" si="107"/>
        <v>cundinamarca</v>
      </c>
      <c r="AQ389" t="b">
        <f t="shared" si="108"/>
        <v>0</v>
      </c>
      <c r="AR389" t="str">
        <f t="shared" si="109"/>
        <v>soacha</v>
      </c>
      <c r="AS389" s="30">
        <f t="shared" si="110"/>
        <v>1</v>
      </c>
      <c r="AT389" s="30">
        <f t="shared" si="111"/>
        <v>3</v>
      </c>
      <c r="AU389" s="30">
        <f t="shared" si="112"/>
        <v>3</v>
      </c>
      <c r="AV389" s="30">
        <f t="shared" si="113"/>
        <v>0</v>
      </c>
      <c r="AZ389" s="31">
        <f t="shared" si="114"/>
        <v>0</v>
      </c>
      <c r="BA389" s="31">
        <f t="shared" si="115"/>
        <v>4</v>
      </c>
      <c r="BB389" s="32">
        <f>IFERROR(INDEX('Análisis general'!$E$4:$E$28,MATCH($B389,'Análisis general'!$B$4:$B$28,0)),"")</f>
        <v>4.0999999999999996</v>
      </c>
      <c r="BC389" s="31">
        <f t="shared" si="116"/>
        <v>3</v>
      </c>
      <c r="BD389" s="32">
        <f t="shared" si="117"/>
        <v>4.7142857142857144</v>
      </c>
      <c r="BE389" s="32">
        <f t="shared" si="118"/>
        <v>5.3999999999999995</v>
      </c>
    </row>
    <row r="390" spans="1:57" ht="25.5" customHeight="1" x14ac:dyDescent="0.25">
      <c r="A390" s="33" t="s">
        <v>1118</v>
      </c>
      <c r="B390" s="11" t="s">
        <v>35</v>
      </c>
      <c r="C390" s="34" t="s">
        <v>112</v>
      </c>
      <c r="D390" s="24">
        <f t="shared" si="102"/>
        <v>5</v>
      </c>
      <c r="E390" s="59">
        <f t="shared" si="103"/>
        <v>4.7142857142857144</v>
      </c>
      <c r="F390" s="59">
        <f t="shared" si="104"/>
        <v>5.3999999999999995</v>
      </c>
      <c r="G390" s="11" t="s">
        <v>1119</v>
      </c>
      <c r="H390" s="25" t="str">
        <f>IFERROR(IF($AQ390,INDEX(cpe!$C$2:$C$307,MATCH($AR390,cpe!$F$2:$F$307,0)),INDEX(cpe!$C$2:$C$307,MATCH($AR390,cpe!$D$2:$D$307,0))),"#N/D")</f>
        <v>I.E. Institucion Etnoeducativa U Wa Izqueta (segovia)</v>
      </c>
      <c r="I390" s="25" t="str">
        <f>IFERROR(IF($AQ390,INDEX(cpe!$B$2:$B$307,MATCH($AR390,cpe!$F$2:$F$307,0)),INDEX(cpe!$B$2:$B$307,MATCH($AR390,cpe!$D$2:$D$307,0))),"#N/D")</f>
        <v>Fusagasugá</v>
      </c>
      <c r="J390" s="26" t="str">
        <f>IF($AQ390,"#N/D",IFERROR(INDEX(Olimpiadas!$B$2:$B$61,MATCH($AO390,Olimpiadas!$C$2:$C$61,0)),"#N/D"))</f>
        <v>#N/D</v>
      </c>
      <c r="K390" s="26" t="str">
        <f>IF($AQ390,"#N/D",IFERROR(INDEX(Olimpiadas!$A$2:$A$61,MATCH($AO390,Olimpiadas!$C$2:$C$61,0)),"#N/D"))</f>
        <v>#N/D</v>
      </c>
      <c r="L390" s="26" t="str">
        <f>IF($AQ390,"#N/D",IFERROR(INDEX(Minculturas!$A$2:$A$48,MATCH($AO390,Minculturas!$C$2:$C$48,0)),"#N/D"))</f>
        <v>#N/D</v>
      </c>
      <c r="M390" s="26" t="str">
        <f>IF($AQ390,"#N/D",IFERROR(INDEX(Minculturas!$B$2:$B$48,MATCH($AO390,Minculturas!$C$2:$C$48,0)),"#N/D"))</f>
        <v>#N/D</v>
      </c>
      <c r="N390" s="27">
        <v>3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2</v>
      </c>
      <c r="W390" s="28">
        <v>0</v>
      </c>
      <c r="X390" s="28">
        <v>0</v>
      </c>
      <c r="Y390" s="28">
        <v>1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27">
        <f t="shared" si="105"/>
        <v>2</v>
      </c>
      <c r="AH390" s="28"/>
      <c r="AI390" s="28"/>
      <c r="AJ390" s="28">
        <v>12.2</v>
      </c>
      <c r="AK390" s="28"/>
      <c r="AL390" s="28"/>
      <c r="AM390" s="29" t="s">
        <v>114</v>
      </c>
      <c r="AO390" t="str">
        <f t="shared" si="106"/>
        <v>fusagasuga</v>
      </c>
      <c r="AP390" t="str">
        <f t="shared" si="107"/>
        <v>cundinamarca</v>
      </c>
      <c r="AQ390" t="b">
        <f t="shared" si="108"/>
        <v>0</v>
      </c>
      <c r="AR390" t="str">
        <f t="shared" si="109"/>
        <v>fusagasuga</v>
      </c>
      <c r="AS390" s="30">
        <f t="shared" si="110"/>
        <v>1</v>
      </c>
      <c r="AT390" s="30">
        <f t="shared" si="111"/>
        <v>2</v>
      </c>
      <c r="AU390" s="30">
        <f t="shared" si="112"/>
        <v>3</v>
      </c>
      <c r="AV390" s="30">
        <f t="shared" si="113"/>
        <v>1</v>
      </c>
      <c r="AZ390" s="31">
        <f t="shared" si="114"/>
        <v>0</v>
      </c>
      <c r="BA390" s="31">
        <f t="shared" si="115"/>
        <v>4</v>
      </c>
      <c r="BB390" s="32">
        <f>IFERROR(INDEX('Análisis general'!$E$4:$E$28,MATCH($B390,'Análisis general'!$B$4:$B$28,0)),"")</f>
        <v>4.0999999999999996</v>
      </c>
      <c r="BC390" s="31">
        <f t="shared" si="116"/>
        <v>3</v>
      </c>
      <c r="BD390" s="32">
        <f t="shared" si="117"/>
        <v>4.7142857142857144</v>
      </c>
      <c r="BE390" s="32">
        <f t="shared" si="118"/>
        <v>5.3999999999999995</v>
      </c>
    </row>
    <row r="391" spans="1:57" ht="25.5" customHeight="1" x14ac:dyDescent="0.25">
      <c r="A391" s="33" t="s">
        <v>1120</v>
      </c>
      <c r="B391" s="11" t="s">
        <v>49</v>
      </c>
      <c r="C391" s="34" t="s">
        <v>112</v>
      </c>
      <c r="D391" s="24">
        <f t="shared" si="102"/>
        <v>3</v>
      </c>
      <c r="E391" s="59">
        <f t="shared" si="103"/>
        <v>3.8571428571428568</v>
      </c>
      <c r="F391" s="59">
        <f t="shared" si="104"/>
        <v>5.3999999999999995</v>
      </c>
      <c r="G391" s="11" t="s">
        <v>1121</v>
      </c>
      <c r="H391" s="25" t="str">
        <f>IFERROR(IF($AQ391,INDEX(cpe!$C$2:$C$307,MATCH($AR391,cpe!$F$2:$F$307,0)),INDEX(cpe!$C$2:$C$307,MATCH($AR391,cpe!$D$2:$D$307,0))),"#N/D")</f>
        <v>#N/D</v>
      </c>
      <c r="I391" s="25" t="str">
        <f>IFERROR(IF($AQ391,INDEX(cpe!$B$2:$B$307,MATCH($AR391,cpe!$F$2:$F$307,0)),INDEX(cpe!$B$2:$B$307,MATCH($AR391,cpe!$D$2:$D$307,0))),"#N/D")</f>
        <v>#N/D</v>
      </c>
      <c r="J391" s="26" t="str">
        <f>IF($AQ391,"#N/D",IFERROR(INDEX(Olimpiadas!$B$2:$B$61,MATCH($AO391,Olimpiadas!$C$2:$C$61,0)),"#N/D"))</f>
        <v>#N/D</v>
      </c>
      <c r="K391" s="26" t="str">
        <f>IF($AQ391,"#N/D",IFERROR(INDEX(Olimpiadas!$A$2:$A$61,MATCH($AO391,Olimpiadas!$C$2:$C$61,0)),"#N/D"))</f>
        <v>#N/D</v>
      </c>
      <c r="L391" s="26" t="str">
        <f>IF($AQ391,"#N/D",IFERROR(INDEX(Minculturas!$A$2:$A$48,MATCH($AO391,Minculturas!$C$2:$C$48,0)),"#N/D"))</f>
        <v>#N/D</v>
      </c>
      <c r="M391" s="26" t="str">
        <f>IF($AQ391,"#N/D",IFERROR(INDEX(Minculturas!$B$2:$B$48,MATCH($AO391,Minculturas!$C$2:$C$48,0)),"#N/D"))</f>
        <v>#N/D</v>
      </c>
      <c r="N391" s="27">
        <v>6</v>
      </c>
      <c r="O391" s="28">
        <v>0</v>
      </c>
      <c r="P391" s="28">
        <v>1</v>
      </c>
      <c r="Q391" s="28">
        <v>1</v>
      </c>
      <c r="R391" s="28">
        <v>1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3</v>
      </c>
      <c r="Z391" s="28">
        <v>0</v>
      </c>
      <c r="AA391" s="28">
        <v>0</v>
      </c>
      <c r="AB391" s="28">
        <v>0</v>
      </c>
      <c r="AC391" s="28">
        <v>0</v>
      </c>
      <c r="AD391" s="28">
        <v>0</v>
      </c>
      <c r="AE391" s="28">
        <v>0</v>
      </c>
      <c r="AF391" s="28">
        <v>0</v>
      </c>
      <c r="AG391" s="27">
        <f t="shared" si="105"/>
        <v>3</v>
      </c>
      <c r="AH391" s="28" t="s">
        <v>1122</v>
      </c>
      <c r="AI391" s="28" t="s">
        <v>1123</v>
      </c>
      <c r="AJ391" s="28">
        <v>31.3</v>
      </c>
      <c r="AK391" s="28"/>
      <c r="AL391" s="28"/>
      <c r="AM391" s="29" t="s">
        <v>114</v>
      </c>
      <c r="AO391" t="str">
        <f t="shared" si="106"/>
        <v>ansermanuevo</v>
      </c>
      <c r="AP391" t="str">
        <f t="shared" si="107"/>
        <v>valle del cauca</v>
      </c>
      <c r="AQ391" t="b">
        <f t="shared" si="108"/>
        <v>0</v>
      </c>
      <c r="AR391" t="str">
        <f t="shared" si="109"/>
        <v>ansermanuevo</v>
      </c>
      <c r="AS391" s="30">
        <f t="shared" si="110"/>
        <v>0</v>
      </c>
      <c r="AT391" s="30">
        <f t="shared" si="111"/>
        <v>3</v>
      </c>
      <c r="AU391" s="30">
        <f t="shared" si="112"/>
        <v>3</v>
      </c>
      <c r="AV391" s="30">
        <f t="shared" si="113"/>
        <v>0</v>
      </c>
      <c r="AZ391" s="31">
        <f t="shared" si="114"/>
        <v>0</v>
      </c>
      <c r="BA391" s="31">
        <f t="shared" si="115"/>
        <v>3</v>
      </c>
      <c r="BB391" s="32">
        <f>IFERROR(INDEX('Análisis general'!$E$4:$E$28,MATCH($B391,'Análisis general'!$B$4:$B$28,0)),"")</f>
        <v>4.9000000000000004</v>
      </c>
      <c r="BC391" s="31">
        <f t="shared" si="116"/>
        <v>3</v>
      </c>
      <c r="BD391" s="32">
        <f t="shared" si="117"/>
        <v>3.8571428571428568</v>
      </c>
      <c r="BE391" s="32">
        <f t="shared" si="118"/>
        <v>5.3999999999999995</v>
      </c>
    </row>
    <row r="392" spans="1:57" ht="25.5" customHeight="1" x14ac:dyDescent="0.25">
      <c r="A392" s="33" t="s">
        <v>1124</v>
      </c>
      <c r="B392" s="11" t="s">
        <v>35</v>
      </c>
      <c r="C392" s="34" t="s">
        <v>112</v>
      </c>
      <c r="D392" s="24">
        <f t="shared" si="102"/>
        <v>4</v>
      </c>
      <c r="E392" s="59">
        <f t="shared" si="103"/>
        <v>3.8571428571428568</v>
      </c>
      <c r="F392" s="59">
        <f t="shared" si="104"/>
        <v>5.3999999999999995</v>
      </c>
      <c r="G392" s="11" t="s">
        <v>1125</v>
      </c>
      <c r="H392" s="25" t="str">
        <f>IFERROR(IF($AQ392,INDEX(cpe!$C$2:$C$307,MATCH($AR392,cpe!$F$2:$F$307,0)),INDEX(cpe!$C$2:$C$307,MATCH($AR392,cpe!$D$2:$D$307,0))),"#N/D")</f>
        <v>#N/D</v>
      </c>
      <c r="I392" s="25" t="str">
        <f>IFERROR(IF($AQ392,INDEX(cpe!$B$2:$B$307,MATCH($AR392,cpe!$F$2:$F$307,0)),INDEX(cpe!$B$2:$B$307,MATCH($AR392,cpe!$D$2:$D$307,0))),"#N/D")</f>
        <v>#N/D</v>
      </c>
      <c r="J392" s="26" t="str">
        <f>IF($AQ392,"#N/D",IFERROR(INDEX(Olimpiadas!$B$2:$B$61,MATCH($AO392,Olimpiadas!$C$2:$C$61,0)),"#N/D"))</f>
        <v>#N/D</v>
      </c>
      <c r="K392" s="26" t="str">
        <f>IF($AQ392,"#N/D",IFERROR(INDEX(Olimpiadas!$A$2:$A$61,MATCH($AO392,Olimpiadas!$C$2:$C$61,0)),"#N/D"))</f>
        <v>#N/D</v>
      </c>
      <c r="L392" s="26" t="str">
        <f>IF($AQ392,"#N/D",IFERROR(INDEX(Minculturas!$A$2:$A$48,MATCH($AO392,Minculturas!$C$2:$C$48,0)),"#N/D"))</f>
        <v>#N/D</v>
      </c>
      <c r="M392" s="26" t="str">
        <f>IF($AQ392,"#N/D",IFERROR(INDEX(Minculturas!$B$2:$B$48,MATCH($AO392,Minculturas!$C$2:$C$48,0)),"#N/D"))</f>
        <v>#N/D</v>
      </c>
      <c r="N392" s="27">
        <v>3</v>
      </c>
      <c r="O392" s="28">
        <v>0</v>
      </c>
      <c r="P392" s="28">
        <v>0</v>
      </c>
      <c r="Q392" s="28">
        <v>0</v>
      </c>
      <c r="R392" s="28">
        <v>0</v>
      </c>
      <c r="S392" s="28">
        <v>2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1</v>
      </c>
      <c r="Z392" s="28">
        <v>0</v>
      </c>
      <c r="AA392" s="28">
        <v>0</v>
      </c>
      <c r="AB392" s="28">
        <v>0</v>
      </c>
      <c r="AC392" s="28">
        <v>0</v>
      </c>
      <c r="AD392" s="28">
        <v>0</v>
      </c>
      <c r="AE392" s="28">
        <v>0</v>
      </c>
      <c r="AF392" s="28">
        <v>0</v>
      </c>
      <c r="AG392" s="27">
        <f t="shared" si="105"/>
        <v>2</v>
      </c>
      <c r="AH392" s="28"/>
      <c r="AI392" s="28"/>
      <c r="AJ392" s="28">
        <v>6.8</v>
      </c>
      <c r="AK392" s="28"/>
      <c r="AL392" s="28"/>
      <c r="AM392" s="29" t="s">
        <v>114</v>
      </c>
      <c r="AO392" t="str">
        <f t="shared" si="106"/>
        <v>cajica</v>
      </c>
      <c r="AP392" t="str">
        <f t="shared" si="107"/>
        <v>cundinamarca</v>
      </c>
      <c r="AQ392" t="b">
        <f t="shared" si="108"/>
        <v>0</v>
      </c>
      <c r="AR392" t="str">
        <f t="shared" si="109"/>
        <v>cajica</v>
      </c>
      <c r="AS392" s="30">
        <f t="shared" si="110"/>
        <v>0</v>
      </c>
      <c r="AT392" s="30">
        <f t="shared" si="111"/>
        <v>2</v>
      </c>
      <c r="AU392" s="30">
        <f t="shared" si="112"/>
        <v>3</v>
      </c>
      <c r="AV392" s="30">
        <f t="shared" si="113"/>
        <v>1</v>
      </c>
      <c r="AZ392" s="31">
        <f t="shared" si="114"/>
        <v>0</v>
      </c>
      <c r="BA392" s="31">
        <f t="shared" si="115"/>
        <v>3</v>
      </c>
      <c r="BB392" s="32">
        <f>IFERROR(INDEX('Análisis general'!$E$4:$E$28,MATCH($B392,'Análisis general'!$B$4:$B$28,0)),"")</f>
        <v>4.0999999999999996</v>
      </c>
      <c r="BC392" s="31">
        <f t="shared" si="116"/>
        <v>3</v>
      </c>
      <c r="BD392" s="32">
        <f t="shared" si="117"/>
        <v>3.8571428571428568</v>
      </c>
      <c r="BE392" s="32">
        <f t="shared" si="118"/>
        <v>5.3999999999999995</v>
      </c>
    </row>
    <row r="393" spans="1:57" ht="25.5" customHeight="1" x14ac:dyDescent="0.25">
      <c r="A393" s="33" t="s">
        <v>1181</v>
      </c>
      <c r="B393" s="11" t="s">
        <v>46</v>
      </c>
      <c r="C393" s="34" t="s">
        <v>112</v>
      </c>
      <c r="D393" s="24">
        <f t="shared" si="102"/>
        <v>5</v>
      </c>
      <c r="E393" s="59">
        <f t="shared" si="103"/>
        <v>5.5714285714285712</v>
      </c>
      <c r="F393" s="59">
        <f t="shared" si="104"/>
        <v>5.3999999999999995</v>
      </c>
      <c r="G393" s="11" t="s">
        <v>1182</v>
      </c>
      <c r="H393" s="25" t="str">
        <f>IFERROR(IF($AQ393,INDEX(cpe!$C$2:$C$307,MATCH($AR393,cpe!$F$2:$F$307,0)),INDEX(cpe!$C$2:$C$307,MATCH($AR393,cpe!$D$2:$D$307,0))),"#N/D")</f>
        <v>Institucion Educativa Guaure</v>
      </c>
      <c r="I393" s="25" t="str">
        <f>IFERROR(IF($AQ393,INDEX(cpe!$B$2:$B$307,MATCH($AR393,cpe!$F$2:$F$307,0)),INDEX(cpe!$B$2:$B$307,MATCH($AR393,cpe!$D$2:$D$307,0))),"#N/D")</f>
        <v>Bucaramanga</v>
      </c>
      <c r="J393" s="26" t="str">
        <f>IF($AQ393,"#N/D",IFERROR(INDEX(Olimpiadas!$B$2:$B$61,MATCH($AO393,Olimpiadas!$C$2:$C$61,0)),"#N/D"))</f>
        <v>Bucaramanga</v>
      </c>
      <c r="K393" s="26" t="str">
        <f>IF($AQ393,"#N/D",IFERROR(INDEX(Olimpiadas!$A$2:$A$61,MATCH($AO393,Olimpiadas!$C$2:$C$61,0)),"#N/D"))</f>
        <v>INSTITUCIÓN EDUCATIVA TÉCNICO DÁMASO ZAPATA</v>
      </c>
      <c r="L393" s="26" t="str">
        <f>IF($AQ393,"#N/D",IFERROR(INDEX(Minculturas!$A$2:$A$48,MATCH($AO393,Minculturas!$C$2:$C$48,0)),"#N/D"))</f>
        <v>#N/D</v>
      </c>
      <c r="M393" s="26" t="str">
        <f>IF($AQ393,"#N/D",IFERROR(INDEX(Minculturas!$B$2:$B$48,MATCH($AO393,Minculturas!$C$2:$C$48,0)),"#N/D"))</f>
        <v>#N/D</v>
      </c>
      <c r="N393" s="27">
        <v>15</v>
      </c>
      <c r="O393" s="28">
        <v>0</v>
      </c>
      <c r="P393" s="28">
        <v>0</v>
      </c>
      <c r="Q393" s="28">
        <v>0</v>
      </c>
      <c r="R393" s="28">
        <v>0</v>
      </c>
      <c r="S393" s="28">
        <v>1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14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0</v>
      </c>
      <c r="AF393" s="28">
        <v>0</v>
      </c>
      <c r="AG393" s="27">
        <f t="shared" si="105"/>
        <v>1</v>
      </c>
      <c r="AH393" s="28"/>
      <c r="AI393" s="28"/>
      <c r="AJ393" s="28">
        <v>14.2</v>
      </c>
      <c r="AK393" s="28"/>
      <c r="AL393" s="28"/>
      <c r="AM393" s="29" t="s">
        <v>114</v>
      </c>
      <c r="AO393" t="str">
        <f t="shared" si="106"/>
        <v>bucaramanga</v>
      </c>
      <c r="AP393" t="str">
        <f t="shared" si="107"/>
        <v>santander</v>
      </c>
      <c r="AQ393" t="b">
        <f t="shared" si="108"/>
        <v>0</v>
      </c>
      <c r="AR393" t="str">
        <f t="shared" si="109"/>
        <v>bucaramanga</v>
      </c>
      <c r="AS393" s="30">
        <f t="shared" si="110"/>
        <v>2</v>
      </c>
      <c r="AT393" s="30">
        <f t="shared" si="111"/>
        <v>1</v>
      </c>
      <c r="AU393" s="30">
        <f t="shared" si="112"/>
        <v>3</v>
      </c>
      <c r="AV393" s="30">
        <f t="shared" si="113"/>
        <v>0</v>
      </c>
      <c r="AZ393" s="31">
        <f t="shared" si="114"/>
        <v>0</v>
      </c>
      <c r="BA393" s="31">
        <f t="shared" si="115"/>
        <v>5</v>
      </c>
      <c r="BB393" s="32">
        <f>IFERROR(INDEX('Análisis general'!$E$4:$E$28,MATCH($B393,'Análisis general'!$B$4:$B$28,0)),"")</f>
        <v>6.9</v>
      </c>
      <c r="BC393" s="31">
        <f t="shared" si="116"/>
        <v>3</v>
      </c>
      <c r="BD393" s="32">
        <f t="shared" si="117"/>
        <v>5.5714285714285712</v>
      </c>
      <c r="BE393" s="32">
        <f t="shared" si="118"/>
        <v>5.3999999999999995</v>
      </c>
    </row>
    <row r="394" spans="1:57" ht="25.5" customHeight="1" x14ac:dyDescent="0.25">
      <c r="A394" s="33" t="s">
        <v>1141</v>
      </c>
      <c r="B394" s="11" t="s">
        <v>10</v>
      </c>
      <c r="C394" s="34" t="s">
        <v>112</v>
      </c>
      <c r="D394" s="24">
        <f t="shared" si="102"/>
        <v>4</v>
      </c>
      <c r="E394" s="59">
        <f t="shared" si="103"/>
        <v>3.8571428571428568</v>
      </c>
      <c r="F394" s="59">
        <f t="shared" si="104"/>
        <v>5.3999999999999995</v>
      </c>
      <c r="G394" s="11" t="s">
        <v>1142</v>
      </c>
      <c r="H394" s="25" t="str">
        <f>IFERROR(IF($AQ394,INDEX(cpe!$C$2:$C$307,MATCH($AR394,cpe!$F$2:$F$307,0)),INDEX(cpe!$C$2:$C$307,MATCH($AR394,cpe!$D$2:$D$307,0))),"#N/D")</f>
        <v>#N/D</v>
      </c>
      <c r="I394" s="25" t="str">
        <f>IFERROR(IF($AQ394,INDEX(cpe!$B$2:$B$307,MATCH($AR394,cpe!$F$2:$F$307,0)),INDEX(cpe!$B$2:$B$307,MATCH($AR394,cpe!$D$2:$D$307,0))),"#N/D")</f>
        <v>#N/D</v>
      </c>
      <c r="J394" s="26" t="str">
        <f>IF($AQ394,"#N/D",IFERROR(INDEX(Olimpiadas!$B$2:$B$61,MATCH($AO394,Olimpiadas!$C$2:$C$61,0)),"#N/D"))</f>
        <v>#N/D</v>
      </c>
      <c r="K394" s="26" t="str">
        <f>IF($AQ394,"#N/D",IFERROR(INDEX(Olimpiadas!$A$2:$A$61,MATCH($AO394,Olimpiadas!$C$2:$C$61,0)),"#N/D"))</f>
        <v>#N/D</v>
      </c>
      <c r="L394" s="26" t="str">
        <f>IF($AQ394,"#N/D",IFERROR(INDEX(Minculturas!$A$2:$A$48,MATCH($AO394,Minculturas!$C$2:$C$48,0)),"#N/D"))</f>
        <v>#N/D</v>
      </c>
      <c r="M394" s="26" t="str">
        <f>IF($AQ394,"#N/D",IFERROR(INDEX(Minculturas!$B$2:$B$48,MATCH($AO394,Minculturas!$C$2:$C$48,0)),"#N/D"))</f>
        <v>#N/D</v>
      </c>
      <c r="N394" s="27">
        <v>2</v>
      </c>
      <c r="O394" s="28">
        <v>0</v>
      </c>
      <c r="P394" s="28">
        <v>0</v>
      </c>
      <c r="Q394" s="28">
        <v>0</v>
      </c>
      <c r="R394" s="28">
        <v>1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1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8">
        <v>0</v>
      </c>
      <c r="AF394" s="28">
        <v>0</v>
      </c>
      <c r="AG394" s="27">
        <f t="shared" si="105"/>
        <v>1</v>
      </c>
      <c r="AH394" s="28"/>
      <c r="AI394" s="28"/>
      <c r="AJ394" s="28">
        <v>28.8</v>
      </c>
      <c r="AK394" s="28"/>
      <c r="AL394" s="28"/>
      <c r="AM394" s="29" t="s">
        <v>365</v>
      </c>
      <c r="AO394" t="str">
        <f t="shared" si="106"/>
        <v>cisneros</v>
      </c>
      <c r="AP394" t="str">
        <f t="shared" si="107"/>
        <v>antioquia</v>
      </c>
      <c r="AQ394" t="b">
        <f t="shared" si="108"/>
        <v>0</v>
      </c>
      <c r="AR394" t="str">
        <f t="shared" si="109"/>
        <v>cisneros</v>
      </c>
      <c r="AS394" s="30">
        <f t="shared" si="110"/>
        <v>0</v>
      </c>
      <c r="AT394" s="30">
        <f t="shared" si="111"/>
        <v>1</v>
      </c>
      <c r="AU394" s="30">
        <f t="shared" si="112"/>
        <v>3</v>
      </c>
      <c r="AV394" s="30">
        <f t="shared" si="113"/>
        <v>1</v>
      </c>
      <c r="AZ394" s="31">
        <f t="shared" si="114"/>
        <v>0</v>
      </c>
      <c r="BA394" s="31">
        <f t="shared" si="115"/>
        <v>3</v>
      </c>
      <c r="BB394" s="32">
        <f>IFERROR(INDEX('Análisis general'!$E$4:$E$28,MATCH($B394,'Análisis general'!$B$4:$B$28,0)),"")</f>
        <v>9.5</v>
      </c>
      <c r="BC394" s="31">
        <f t="shared" si="116"/>
        <v>3</v>
      </c>
      <c r="BD394" s="32">
        <f t="shared" si="117"/>
        <v>3.8571428571428568</v>
      </c>
      <c r="BE394" s="32">
        <f t="shared" si="118"/>
        <v>5.3999999999999995</v>
      </c>
    </row>
    <row r="395" spans="1:57" ht="25.5" customHeight="1" x14ac:dyDescent="0.25">
      <c r="A395" s="33" t="s">
        <v>1143</v>
      </c>
      <c r="B395" s="11" t="s">
        <v>10</v>
      </c>
      <c r="C395" s="34" t="s">
        <v>112</v>
      </c>
      <c r="D395" s="24">
        <f t="shared" si="102"/>
        <v>4</v>
      </c>
      <c r="E395" s="59">
        <f t="shared" si="103"/>
        <v>3.8571428571428568</v>
      </c>
      <c r="F395" s="59">
        <f t="shared" si="104"/>
        <v>5.3999999999999995</v>
      </c>
      <c r="G395" s="11" t="s">
        <v>1144</v>
      </c>
      <c r="H395" s="25" t="str">
        <f>IFERROR(IF($AQ395,INDEX(cpe!$C$2:$C$307,MATCH($AR395,cpe!$F$2:$F$307,0)),INDEX(cpe!$C$2:$C$307,MATCH($AR395,cpe!$D$2:$D$307,0))),"#N/D")</f>
        <v>#N/D</v>
      </c>
      <c r="I395" s="25" t="str">
        <f>IFERROR(IF($AQ395,INDEX(cpe!$B$2:$B$307,MATCH($AR395,cpe!$F$2:$F$307,0)),INDEX(cpe!$B$2:$B$307,MATCH($AR395,cpe!$D$2:$D$307,0))),"#N/D")</f>
        <v>#N/D</v>
      </c>
      <c r="J395" s="26" t="str">
        <f>IF($AQ395,"#N/D",IFERROR(INDEX(Olimpiadas!$B$2:$B$61,MATCH($AO395,Olimpiadas!$C$2:$C$61,0)),"#N/D"))</f>
        <v>#N/D</v>
      </c>
      <c r="K395" s="26" t="str">
        <f>IF($AQ395,"#N/D",IFERROR(INDEX(Olimpiadas!$A$2:$A$61,MATCH($AO395,Olimpiadas!$C$2:$C$61,0)),"#N/D"))</f>
        <v>#N/D</v>
      </c>
      <c r="L395" s="26" t="str">
        <f>IF($AQ395,"#N/D",IFERROR(INDEX(Minculturas!$A$2:$A$48,MATCH($AO395,Minculturas!$C$2:$C$48,0)),"#N/D"))</f>
        <v>#N/D</v>
      </c>
      <c r="M395" s="26" t="str">
        <f>IF($AQ395,"#N/D",IFERROR(INDEX(Minculturas!$B$2:$B$48,MATCH($AO395,Minculturas!$C$2:$C$48,0)),"#N/D"))</f>
        <v>#N/D</v>
      </c>
      <c r="N395" s="27">
        <v>2</v>
      </c>
      <c r="O395" s="28">
        <v>0</v>
      </c>
      <c r="P395" s="28">
        <v>0</v>
      </c>
      <c r="Q395" s="28">
        <v>0</v>
      </c>
      <c r="R395" s="28">
        <v>1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1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0</v>
      </c>
      <c r="AF395" s="28">
        <v>0</v>
      </c>
      <c r="AG395" s="27">
        <f t="shared" si="105"/>
        <v>1</v>
      </c>
      <c r="AH395" s="28"/>
      <c r="AI395" s="28"/>
      <c r="AJ395" s="28">
        <v>11.6</v>
      </c>
      <c r="AK395" s="28"/>
      <c r="AL395" s="28"/>
      <c r="AM395" s="29" t="s">
        <v>114</v>
      </c>
      <c r="AO395" t="str">
        <f t="shared" si="106"/>
        <v>copacabana</v>
      </c>
      <c r="AP395" t="str">
        <f t="shared" si="107"/>
        <v>antioquia</v>
      </c>
      <c r="AQ395" t="b">
        <f t="shared" si="108"/>
        <v>0</v>
      </c>
      <c r="AR395" t="str">
        <f t="shared" si="109"/>
        <v>copacabana</v>
      </c>
      <c r="AS395" s="30">
        <f t="shared" si="110"/>
        <v>0</v>
      </c>
      <c r="AT395" s="30">
        <f t="shared" si="111"/>
        <v>1</v>
      </c>
      <c r="AU395" s="30">
        <f t="shared" si="112"/>
        <v>3</v>
      </c>
      <c r="AV395" s="30">
        <f t="shared" si="113"/>
        <v>1</v>
      </c>
      <c r="AZ395" s="31">
        <f t="shared" si="114"/>
        <v>0</v>
      </c>
      <c r="BA395" s="31">
        <f t="shared" si="115"/>
        <v>3</v>
      </c>
      <c r="BB395" s="32">
        <f>IFERROR(INDEX('Análisis general'!$E$4:$E$28,MATCH($B395,'Análisis general'!$B$4:$B$28,0)),"")</f>
        <v>9.5</v>
      </c>
      <c r="BC395" s="31">
        <f t="shared" si="116"/>
        <v>3</v>
      </c>
      <c r="BD395" s="32">
        <f t="shared" si="117"/>
        <v>3.8571428571428568</v>
      </c>
      <c r="BE395" s="32">
        <f t="shared" si="118"/>
        <v>5.3999999999999995</v>
      </c>
    </row>
    <row r="396" spans="1:57" ht="25.5" customHeight="1" x14ac:dyDescent="0.25">
      <c r="A396" s="33" t="s">
        <v>1162</v>
      </c>
      <c r="B396" s="11" t="s">
        <v>35</v>
      </c>
      <c r="C396" s="64" t="s">
        <v>1215</v>
      </c>
      <c r="D396" s="24">
        <f t="shared" si="102"/>
        <v>4</v>
      </c>
      <c r="E396" s="59">
        <f t="shared" si="103"/>
        <v>4.7142857142857144</v>
      </c>
      <c r="F396" s="59">
        <f t="shared" si="104"/>
        <v>5.3999999999999995</v>
      </c>
      <c r="G396" s="11" t="s">
        <v>1163</v>
      </c>
      <c r="H396" s="25" t="str">
        <f>IFERROR(IF($AQ396,INDEX(cpe!$C$2:$C$307,MATCH($AR396,cpe!$F$2:$F$307,0)),INDEX(cpe!$C$2:$C$307,MATCH($AR396,cpe!$D$2:$D$307,0))),"#N/D")</f>
        <v>Institucion Educativa Tecnica la Marina</v>
      </c>
      <c r="I396" s="25" t="str">
        <f>IFERROR(IF($AQ396,INDEX(cpe!$B$2:$B$307,MATCH($AR396,cpe!$F$2:$F$307,0)),INDEX(cpe!$B$2:$B$307,MATCH($AR396,cpe!$D$2:$D$307,0))),"#N/D")</f>
        <v>Chía</v>
      </c>
      <c r="J396" s="26" t="str">
        <f>IF($AQ396,"#N/D",IFERROR(INDEX(Olimpiadas!$B$2:$B$61,MATCH($AO396,Olimpiadas!$C$2:$C$61,0)),"#N/D"))</f>
        <v>#N/D</v>
      </c>
      <c r="K396" s="26" t="str">
        <f>IF($AQ396,"#N/D",IFERROR(INDEX(Olimpiadas!$A$2:$A$61,MATCH($AO396,Olimpiadas!$C$2:$C$61,0)),"#N/D"))</f>
        <v>#N/D</v>
      </c>
      <c r="L396" s="26" t="str">
        <f>IF($AQ396,"#N/D",IFERROR(INDEX(Minculturas!$A$2:$A$48,MATCH($AO396,Minculturas!$C$2:$C$48,0)),"#N/D"))</f>
        <v>#N/D</v>
      </c>
      <c r="M396" s="26" t="str">
        <f>IF($AQ396,"#N/D",IFERROR(INDEX(Minculturas!$B$2:$B$48,MATCH($AO396,Minculturas!$C$2:$C$48,0)),"#N/D"))</f>
        <v>#N/D</v>
      </c>
      <c r="N396" s="27">
        <v>5</v>
      </c>
      <c r="O396" s="28">
        <v>0</v>
      </c>
      <c r="P396" s="28">
        <v>0</v>
      </c>
      <c r="Q396" s="28">
        <v>0</v>
      </c>
      <c r="R396" s="28">
        <v>0</v>
      </c>
      <c r="S396" s="28">
        <v>1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4</v>
      </c>
      <c r="Z396" s="28">
        <v>0</v>
      </c>
      <c r="AA396" s="28">
        <v>0</v>
      </c>
      <c r="AB396" s="28">
        <v>0</v>
      </c>
      <c r="AC396" s="28">
        <v>0</v>
      </c>
      <c r="AD396" s="28">
        <v>0</v>
      </c>
      <c r="AE396" s="28">
        <v>0</v>
      </c>
      <c r="AF396" s="28">
        <v>0</v>
      </c>
      <c r="AG396" s="27">
        <f t="shared" si="105"/>
        <v>1</v>
      </c>
      <c r="AH396" s="28"/>
      <c r="AI396" s="28"/>
      <c r="AJ396" s="28">
        <v>6.7</v>
      </c>
      <c r="AK396" s="28"/>
      <c r="AL396" s="28"/>
      <c r="AM396" s="29" t="s">
        <v>1164</v>
      </c>
      <c r="AO396" t="str">
        <f t="shared" si="106"/>
        <v>chia</v>
      </c>
      <c r="AP396" t="str">
        <f t="shared" si="107"/>
        <v>cundinamarca</v>
      </c>
      <c r="AQ396" t="b">
        <f t="shared" si="108"/>
        <v>0</v>
      </c>
      <c r="AR396" t="str">
        <f t="shared" si="109"/>
        <v>chia</v>
      </c>
      <c r="AS396" s="30">
        <f t="shared" si="110"/>
        <v>1</v>
      </c>
      <c r="AT396" s="30">
        <f t="shared" si="111"/>
        <v>1</v>
      </c>
      <c r="AU396" s="30">
        <f t="shared" si="112"/>
        <v>3</v>
      </c>
      <c r="AV396" s="30">
        <f t="shared" si="113"/>
        <v>0</v>
      </c>
      <c r="AZ396" s="31">
        <f t="shared" si="114"/>
        <v>0</v>
      </c>
      <c r="BA396" s="31">
        <f t="shared" si="115"/>
        <v>4</v>
      </c>
      <c r="BB396" s="32">
        <f>IFERROR(INDEX('Análisis general'!$E$4:$E$28,MATCH($B396,'Análisis general'!$B$4:$B$28,0)),"")</f>
        <v>4.0999999999999996</v>
      </c>
      <c r="BC396" s="31">
        <f t="shared" si="116"/>
        <v>3</v>
      </c>
      <c r="BD396" s="32">
        <f t="shared" si="117"/>
        <v>4.7142857142857144</v>
      </c>
      <c r="BE396" s="32">
        <f t="shared" si="118"/>
        <v>5.3999999999999995</v>
      </c>
    </row>
    <row r="397" spans="1:57" ht="25.5" customHeight="1" x14ac:dyDescent="0.25">
      <c r="A397" s="33" t="s">
        <v>1165</v>
      </c>
      <c r="B397" s="11" t="s">
        <v>35</v>
      </c>
      <c r="C397" s="34" t="s">
        <v>112</v>
      </c>
      <c r="D397" s="24">
        <f t="shared" si="102"/>
        <v>5</v>
      </c>
      <c r="E397" s="59">
        <f t="shared" si="103"/>
        <v>4.7142857142857144</v>
      </c>
      <c r="F397" s="59">
        <f t="shared" si="104"/>
        <v>5.3999999999999995</v>
      </c>
      <c r="G397" s="11" t="s">
        <v>1166</v>
      </c>
      <c r="H397" s="25" t="str">
        <f>IFERROR(IF($AQ397,INDEX(cpe!$C$2:$C$307,MATCH($AR397,cpe!$F$2:$F$307,0)),INDEX(cpe!$C$2:$C$307,MATCH($AR397,cpe!$D$2:$D$307,0))),"#N/D")</f>
        <v>Centro Educativo de Rio Ancho</v>
      </c>
      <c r="I397" s="25" t="str">
        <f>IFERROR(IF($AQ397,INDEX(cpe!$B$2:$B$307,MATCH($AR397,cpe!$F$2:$F$307,0)),INDEX(cpe!$B$2:$B$307,MATCH($AR397,cpe!$D$2:$D$307,0))),"#N/D")</f>
        <v>Girardot</v>
      </c>
      <c r="J397" s="26" t="str">
        <f>IF($AQ397,"#N/D",IFERROR(INDEX(Olimpiadas!$B$2:$B$61,MATCH($AO397,Olimpiadas!$C$2:$C$61,0)),"#N/D"))</f>
        <v>#N/D</v>
      </c>
      <c r="K397" s="26" t="str">
        <f>IF($AQ397,"#N/D",IFERROR(INDEX(Olimpiadas!$A$2:$A$61,MATCH($AO397,Olimpiadas!$C$2:$C$61,0)),"#N/D"))</f>
        <v>#N/D</v>
      </c>
      <c r="L397" s="26" t="str">
        <f>IF($AQ397,"#N/D",IFERROR(INDEX(Minculturas!$A$2:$A$48,MATCH($AO397,Minculturas!$C$2:$C$48,0)),"#N/D"))</f>
        <v>#N/D</v>
      </c>
      <c r="M397" s="26" t="str">
        <f>IF($AQ397,"#N/D",IFERROR(INDEX(Minculturas!$B$2:$B$48,MATCH($AO397,Minculturas!$C$2:$C$48,0)),"#N/D"))</f>
        <v>#N/D</v>
      </c>
      <c r="N397" s="27">
        <v>2</v>
      </c>
      <c r="O397" s="28">
        <v>0</v>
      </c>
      <c r="P397" s="28">
        <v>0</v>
      </c>
      <c r="Q397" s="28">
        <v>1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1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8">
        <v>0</v>
      </c>
      <c r="AF397" s="28">
        <v>0</v>
      </c>
      <c r="AG397" s="27">
        <f t="shared" si="105"/>
        <v>1</v>
      </c>
      <c r="AH397" s="28"/>
      <c r="AI397" s="28"/>
      <c r="AJ397" s="28">
        <v>13.4</v>
      </c>
      <c r="AK397" s="28"/>
      <c r="AL397" s="28"/>
      <c r="AM397" s="29" t="s">
        <v>114</v>
      </c>
      <c r="AO397" t="str">
        <f t="shared" si="106"/>
        <v>girardot</v>
      </c>
      <c r="AP397" t="str">
        <f t="shared" si="107"/>
        <v>cundinamarca</v>
      </c>
      <c r="AQ397" t="b">
        <f t="shared" si="108"/>
        <v>0</v>
      </c>
      <c r="AR397" t="str">
        <f t="shared" si="109"/>
        <v>girardot</v>
      </c>
      <c r="AS397" s="30">
        <f t="shared" si="110"/>
        <v>1</v>
      </c>
      <c r="AT397" s="30">
        <f t="shared" si="111"/>
        <v>1</v>
      </c>
      <c r="AU397" s="30">
        <f t="shared" si="112"/>
        <v>3</v>
      </c>
      <c r="AV397" s="30">
        <f t="shared" si="113"/>
        <v>1</v>
      </c>
      <c r="AZ397" s="31">
        <f t="shared" si="114"/>
        <v>0</v>
      </c>
      <c r="BA397" s="31">
        <f t="shared" si="115"/>
        <v>4</v>
      </c>
      <c r="BB397" s="32">
        <f>IFERROR(INDEX('Análisis general'!$E$4:$E$28,MATCH($B397,'Análisis general'!$B$4:$B$28,0)),"")</f>
        <v>4.0999999999999996</v>
      </c>
      <c r="BC397" s="31">
        <f t="shared" si="116"/>
        <v>3</v>
      </c>
      <c r="BD397" s="32">
        <f t="shared" si="117"/>
        <v>4.7142857142857144</v>
      </c>
      <c r="BE397" s="32">
        <f t="shared" si="118"/>
        <v>5.3999999999999995</v>
      </c>
    </row>
    <row r="398" spans="1:57" ht="25.5" customHeight="1" x14ac:dyDescent="0.25">
      <c r="A398" s="33" t="s">
        <v>1169</v>
      </c>
      <c r="B398" s="11" t="s">
        <v>35</v>
      </c>
      <c r="C398" s="60" t="s">
        <v>1214</v>
      </c>
      <c r="D398" s="24">
        <f t="shared" si="102"/>
        <v>4</v>
      </c>
      <c r="E398" s="59">
        <f t="shared" si="103"/>
        <v>3.8571428571428568</v>
      </c>
      <c r="F398" s="59">
        <f t="shared" si="104"/>
        <v>5.3999999999999995</v>
      </c>
      <c r="G398" s="11" t="s">
        <v>1170</v>
      </c>
      <c r="H398" s="25" t="str">
        <f>IFERROR(IF($AQ398,INDEX(cpe!$C$2:$C$307,MATCH($AR398,cpe!$F$2:$F$307,0)),INDEX(cpe!$C$2:$C$307,MATCH($AR398,cpe!$D$2:$D$307,0))),"#N/D")</f>
        <v>#N/D</v>
      </c>
      <c r="I398" s="25" t="str">
        <f>IFERROR(IF($AQ398,INDEX(cpe!$B$2:$B$307,MATCH($AR398,cpe!$F$2:$F$307,0)),INDEX(cpe!$B$2:$B$307,MATCH($AR398,cpe!$D$2:$D$307,0))),"#N/D")</f>
        <v>#N/D</v>
      </c>
      <c r="J398" s="26" t="str">
        <f>IF($AQ398,"#N/D",IFERROR(INDEX(Olimpiadas!$B$2:$B$61,MATCH($AO398,Olimpiadas!$C$2:$C$61,0)),"#N/D"))</f>
        <v>#N/D</v>
      </c>
      <c r="K398" s="26" t="str">
        <f>IF($AQ398,"#N/D",IFERROR(INDEX(Olimpiadas!$A$2:$A$61,MATCH($AO398,Olimpiadas!$C$2:$C$61,0)),"#N/D"))</f>
        <v>#N/D</v>
      </c>
      <c r="L398" s="26" t="str">
        <f>IF($AQ398,"#N/D",IFERROR(INDEX(Minculturas!$A$2:$A$48,MATCH($AO398,Minculturas!$C$2:$C$48,0)),"#N/D"))</f>
        <v>#N/D</v>
      </c>
      <c r="M398" s="26" t="str">
        <f>IF($AQ398,"#N/D",IFERROR(INDEX(Minculturas!$B$2:$B$48,MATCH($AO398,Minculturas!$C$2:$C$48,0)),"#N/D"))</f>
        <v>#N/D</v>
      </c>
      <c r="N398" s="27">
        <v>2</v>
      </c>
      <c r="O398" s="28">
        <v>0</v>
      </c>
      <c r="P398" s="28">
        <v>0</v>
      </c>
      <c r="Q398" s="28">
        <v>1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1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8">
        <v>0</v>
      </c>
      <c r="AF398" s="28">
        <v>0</v>
      </c>
      <c r="AG398" s="27">
        <f t="shared" si="105"/>
        <v>1</v>
      </c>
      <c r="AH398" s="28"/>
      <c r="AI398" s="28"/>
      <c r="AJ398" s="28">
        <v>21.7</v>
      </c>
      <c r="AK398" s="28"/>
      <c r="AL398" s="28"/>
      <c r="AM398" s="29" t="s">
        <v>1171</v>
      </c>
      <c r="AO398" t="str">
        <f t="shared" si="106"/>
        <v>caqueza</v>
      </c>
      <c r="AP398" t="str">
        <f t="shared" si="107"/>
        <v>cundinamarca</v>
      </c>
      <c r="AQ398" t="b">
        <f t="shared" si="108"/>
        <v>0</v>
      </c>
      <c r="AR398" t="str">
        <f t="shared" si="109"/>
        <v>caqueza</v>
      </c>
      <c r="AS398" s="30">
        <f t="shared" si="110"/>
        <v>0</v>
      </c>
      <c r="AT398" s="30">
        <f t="shared" si="111"/>
        <v>1</v>
      </c>
      <c r="AU398" s="30">
        <f t="shared" si="112"/>
        <v>3</v>
      </c>
      <c r="AV398" s="30">
        <f t="shared" si="113"/>
        <v>1</v>
      </c>
      <c r="AZ398" s="31">
        <f t="shared" si="114"/>
        <v>0</v>
      </c>
      <c r="BA398" s="31">
        <f t="shared" si="115"/>
        <v>3</v>
      </c>
      <c r="BB398" s="32">
        <f>IFERROR(INDEX('Análisis general'!$E$4:$E$28,MATCH($B398,'Análisis general'!$B$4:$B$28,0)),"")</f>
        <v>4.0999999999999996</v>
      </c>
      <c r="BC398" s="31">
        <f t="shared" si="116"/>
        <v>3</v>
      </c>
      <c r="BD398" s="32">
        <f t="shared" si="117"/>
        <v>3.8571428571428568</v>
      </c>
      <c r="BE398" s="32">
        <f t="shared" si="118"/>
        <v>5.3999999999999995</v>
      </c>
    </row>
    <row r="399" spans="1:57" ht="25.5" customHeight="1" x14ac:dyDescent="0.25">
      <c r="A399" s="33" t="s">
        <v>1172</v>
      </c>
      <c r="B399" s="11" t="s">
        <v>49</v>
      </c>
      <c r="C399" s="34" t="s">
        <v>112</v>
      </c>
      <c r="D399" s="24">
        <f t="shared" si="102"/>
        <v>4</v>
      </c>
      <c r="E399" s="59">
        <f t="shared" si="103"/>
        <v>3.8571428571428568</v>
      </c>
      <c r="F399" s="59">
        <f t="shared" si="104"/>
        <v>5.3999999999999995</v>
      </c>
      <c r="G399" s="11" t="s">
        <v>1173</v>
      </c>
      <c r="H399" s="25" t="str">
        <f>IFERROR(IF($AQ399,INDEX(cpe!$C$2:$C$307,MATCH($AR399,cpe!$F$2:$F$307,0)),INDEX(cpe!$C$2:$C$307,MATCH($AR399,cpe!$D$2:$D$307,0))),"#N/D")</f>
        <v>#N/D</v>
      </c>
      <c r="I399" s="25" t="str">
        <f>IFERROR(IF($AQ399,INDEX(cpe!$B$2:$B$307,MATCH($AR399,cpe!$F$2:$F$307,0)),INDEX(cpe!$B$2:$B$307,MATCH($AR399,cpe!$D$2:$D$307,0))),"#N/D")</f>
        <v>#N/D</v>
      </c>
      <c r="J399" s="26" t="str">
        <f>IF($AQ399,"#N/D",IFERROR(INDEX(Olimpiadas!$B$2:$B$61,MATCH($AO399,Olimpiadas!$C$2:$C$61,0)),"#N/D"))</f>
        <v>#N/D</v>
      </c>
      <c r="K399" s="26" t="str">
        <f>IF($AQ399,"#N/D",IFERROR(INDEX(Olimpiadas!$A$2:$A$61,MATCH($AO399,Olimpiadas!$C$2:$C$61,0)),"#N/D"))</f>
        <v>#N/D</v>
      </c>
      <c r="L399" s="26" t="str">
        <f>IF($AQ399,"#N/D",IFERROR(INDEX(Minculturas!$A$2:$A$48,MATCH($AO399,Minculturas!$C$2:$C$48,0)),"#N/D"))</f>
        <v>#N/D</v>
      </c>
      <c r="M399" s="26" t="str">
        <f>IF($AQ399,"#N/D",IFERROR(INDEX(Minculturas!$B$2:$B$48,MATCH($AO399,Minculturas!$C$2:$C$48,0)),"#N/D"))</f>
        <v>#N/D</v>
      </c>
      <c r="N399" s="27">
        <v>2</v>
      </c>
      <c r="O399" s="28">
        <v>0</v>
      </c>
      <c r="P399" s="28">
        <v>0</v>
      </c>
      <c r="Q399" s="28">
        <v>0</v>
      </c>
      <c r="R399" s="28">
        <v>1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1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8">
        <v>0</v>
      </c>
      <c r="AF399" s="28">
        <v>0</v>
      </c>
      <c r="AG399" s="27">
        <f t="shared" si="105"/>
        <v>1</v>
      </c>
      <c r="AH399" s="28" t="s">
        <v>136</v>
      </c>
      <c r="AI399" s="28" t="s">
        <v>1174</v>
      </c>
      <c r="AJ399" s="28">
        <v>14.7</v>
      </c>
      <c r="AK399" s="28"/>
      <c r="AL399" s="28"/>
      <c r="AM399" s="29" t="s">
        <v>114</v>
      </c>
      <c r="AO399" t="str">
        <f t="shared" si="106"/>
        <v>ginebra</v>
      </c>
      <c r="AP399" t="str">
        <f t="shared" si="107"/>
        <v>valle del cauca</v>
      </c>
      <c r="AQ399" t="b">
        <f t="shared" si="108"/>
        <v>0</v>
      </c>
      <c r="AR399" t="str">
        <f t="shared" si="109"/>
        <v>ginebra</v>
      </c>
      <c r="AS399" s="30">
        <f t="shared" si="110"/>
        <v>0</v>
      </c>
      <c r="AT399" s="30">
        <f t="shared" si="111"/>
        <v>1</v>
      </c>
      <c r="AU399" s="30">
        <f t="shared" si="112"/>
        <v>3</v>
      </c>
      <c r="AV399" s="30">
        <f t="shared" si="113"/>
        <v>1</v>
      </c>
      <c r="AZ399" s="31">
        <f t="shared" si="114"/>
        <v>0</v>
      </c>
      <c r="BA399" s="31">
        <f t="shared" si="115"/>
        <v>3</v>
      </c>
      <c r="BB399" s="32">
        <f>IFERROR(INDEX('Análisis general'!$E$4:$E$28,MATCH($B399,'Análisis general'!$B$4:$B$28,0)),"")</f>
        <v>4.9000000000000004</v>
      </c>
      <c r="BC399" s="31">
        <f t="shared" si="116"/>
        <v>3</v>
      </c>
      <c r="BD399" s="32">
        <f t="shared" si="117"/>
        <v>3.8571428571428568</v>
      </c>
      <c r="BE399" s="32">
        <f t="shared" si="118"/>
        <v>5.3999999999999995</v>
      </c>
    </row>
    <row r="400" spans="1:57" ht="25.5" customHeight="1" x14ac:dyDescent="0.25">
      <c r="A400" s="33" t="s">
        <v>1175</v>
      </c>
      <c r="B400" s="11" t="s">
        <v>45</v>
      </c>
      <c r="C400" s="34" t="s">
        <v>112</v>
      </c>
      <c r="D400" s="24">
        <f t="shared" si="102"/>
        <v>4</v>
      </c>
      <c r="E400" s="59">
        <f t="shared" si="103"/>
        <v>3.8571428571428568</v>
      </c>
      <c r="F400" s="59">
        <f t="shared" si="104"/>
        <v>5.3999999999999995</v>
      </c>
      <c r="G400" s="11" t="s">
        <v>1176</v>
      </c>
      <c r="H400" s="25" t="s">
        <v>106</v>
      </c>
      <c r="I400" s="25" t="s">
        <v>106</v>
      </c>
      <c r="J400" s="26" t="s">
        <v>106</v>
      </c>
      <c r="K400" s="26" t="str">
        <f>IF($AQ400,"#N/D",IFERROR(INDEX(Olimpiadas!$A$2:$A$61,MATCH($AO400,Olimpiadas!$C$2:$C$61,0)),"#N/D"))</f>
        <v>#N/D</v>
      </c>
      <c r="L400" s="26" t="str">
        <f>IF($AQ400,"#N/D",IFERROR(INDEX(Minculturas!$A$2:$A$48,MATCH($AO400,Minculturas!$C$2:$C$48,0)),"#N/D"))</f>
        <v>#N/D</v>
      </c>
      <c r="M400" s="26" t="str">
        <f>IF($AQ400,"#N/D",IFERROR(INDEX(Minculturas!$B$2:$B$48,MATCH($AO400,Minculturas!$C$2:$C$48,0)),"#N/D"))</f>
        <v>#N/D</v>
      </c>
      <c r="N400" s="27">
        <v>2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1</v>
      </c>
      <c r="X400" s="28">
        <v>0</v>
      </c>
      <c r="Y400" s="28">
        <v>1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8">
        <v>0</v>
      </c>
      <c r="AF400" s="28">
        <v>0</v>
      </c>
      <c r="AG400" s="27">
        <f t="shared" si="105"/>
        <v>1</v>
      </c>
      <c r="AH400" s="28" t="s">
        <v>1177</v>
      </c>
      <c r="AI400" s="28" t="s">
        <v>1178</v>
      </c>
      <c r="AJ400" s="28">
        <v>41.4</v>
      </c>
      <c r="AK400" s="28"/>
      <c r="AL400" s="28"/>
      <c r="AM400" s="29" t="s">
        <v>114</v>
      </c>
      <c r="AO400" t="str">
        <f t="shared" si="106"/>
        <v>quinchia</v>
      </c>
      <c r="AP400" t="str">
        <f t="shared" si="107"/>
        <v>risaralda</v>
      </c>
      <c r="AQ400" t="b">
        <f t="shared" si="108"/>
        <v>0</v>
      </c>
      <c r="AR400" t="str">
        <f t="shared" si="109"/>
        <v>quinchia</v>
      </c>
      <c r="AS400" s="30">
        <f t="shared" si="110"/>
        <v>0</v>
      </c>
      <c r="AT400" s="30">
        <f t="shared" si="111"/>
        <v>1</v>
      </c>
      <c r="AU400" s="30">
        <f t="shared" si="112"/>
        <v>3</v>
      </c>
      <c r="AV400" s="30">
        <f t="shared" si="113"/>
        <v>1</v>
      </c>
      <c r="AZ400" s="31">
        <f t="shared" si="114"/>
        <v>0</v>
      </c>
      <c r="BA400" s="31">
        <f t="shared" si="115"/>
        <v>3</v>
      </c>
      <c r="BB400" s="32">
        <f>IFERROR(INDEX('Análisis general'!$E$4:$E$28,MATCH($B400,'Análisis general'!$B$4:$B$28,0)),"")</f>
        <v>4.9000000000000004</v>
      </c>
      <c r="BC400" s="31">
        <f t="shared" si="116"/>
        <v>3</v>
      </c>
      <c r="BD400" s="32">
        <f t="shared" si="117"/>
        <v>3.8571428571428568</v>
      </c>
      <c r="BE400" s="32">
        <f t="shared" si="118"/>
        <v>5.3999999999999995</v>
      </c>
    </row>
    <row r="401" spans="1:57" ht="25.5" customHeight="1" x14ac:dyDescent="0.25">
      <c r="A401" s="33" t="s">
        <v>1179</v>
      </c>
      <c r="B401" s="11" t="s">
        <v>35</v>
      </c>
      <c r="C401" s="34" t="s">
        <v>112</v>
      </c>
      <c r="D401" s="24">
        <f t="shared" si="102"/>
        <v>3</v>
      </c>
      <c r="E401" s="59">
        <f t="shared" si="103"/>
        <v>3.8571428571428568</v>
      </c>
      <c r="F401" s="59">
        <f t="shared" si="104"/>
        <v>5.3999999999999995</v>
      </c>
      <c r="G401" s="11" t="s">
        <v>1180</v>
      </c>
      <c r="H401" s="25" t="s">
        <v>106</v>
      </c>
      <c r="I401" s="25" t="s">
        <v>106</v>
      </c>
      <c r="J401" s="26" t="s">
        <v>106</v>
      </c>
      <c r="K401" s="26" t="str">
        <f>IF($AQ401,"#N/D",IFERROR(INDEX(Olimpiadas!$A$2:$A$61,MATCH($AO401,Olimpiadas!$C$2:$C$61,0)),"#N/D"))</f>
        <v>#N/D</v>
      </c>
      <c r="L401" s="26" t="str">
        <f>IF($AQ401,"#N/D",IFERROR(INDEX(Minculturas!$A$2:$A$48,MATCH($AO401,Minculturas!$C$2:$C$48,0)),"#N/D"))</f>
        <v>#N/D</v>
      </c>
      <c r="M401" s="26" t="str">
        <f>IF($AQ401,"#N/D",IFERROR(INDEX(Minculturas!$B$2:$B$48,MATCH($AO401,Minculturas!$C$2:$C$48,0)),"#N/D"))</f>
        <v>#N/D</v>
      </c>
      <c r="N401" s="27">
        <v>5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1</v>
      </c>
      <c r="V401" s="28">
        <v>0</v>
      </c>
      <c r="W401" s="28">
        <v>0</v>
      </c>
      <c r="X401" s="28">
        <v>0</v>
      </c>
      <c r="Y401" s="28">
        <v>3</v>
      </c>
      <c r="Z401" s="28">
        <v>1</v>
      </c>
      <c r="AA401" s="28">
        <v>0</v>
      </c>
      <c r="AB401" s="28">
        <v>0</v>
      </c>
      <c r="AC401" s="28">
        <v>0</v>
      </c>
      <c r="AD401" s="28">
        <v>0</v>
      </c>
      <c r="AE401" s="28">
        <v>0</v>
      </c>
      <c r="AF401" s="28">
        <v>0</v>
      </c>
      <c r="AG401" s="27">
        <f t="shared" si="105"/>
        <v>1</v>
      </c>
      <c r="AH401" s="28"/>
      <c r="AI401" s="28"/>
      <c r="AJ401" s="28">
        <v>10.3</v>
      </c>
      <c r="AK401" s="28"/>
      <c r="AL401" s="28"/>
      <c r="AM401" s="29" t="s">
        <v>114</v>
      </c>
      <c r="AO401" t="str">
        <f t="shared" si="106"/>
        <v>zipaquira</v>
      </c>
      <c r="AP401" t="str">
        <f t="shared" si="107"/>
        <v>cundinamarca</v>
      </c>
      <c r="AQ401" t="b">
        <f t="shared" si="108"/>
        <v>0</v>
      </c>
      <c r="AR401" t="str">
        <f t="shared" si="109"/>
        <v>zipaquira</v>
      </c>
      <c r="AS401" s="30">
        <f t="shared" si="110"/>
        <v>0</v>
      </c>
      <c r="AT401" s="30">
        <f t="shared" si="111"/>
        <v>1</v>
      </c>
      <c r="AU401" s="30">
        <f t="shared" si="112"/>
        <v>3</v>
      </c>
      <c r="AV401" s="30">
        <f t="shared" si="113"/>
        <v>0</v>
      </c>
      <c r="AZ401" s="31">
        <f t="shared" si="114"/>
        <v>0</v>
      </c>
      <c r="BA401" s="31">
        <f t="shared" si="115"/>
        <v>3</v>
      </c>
      <c r="BB401" s="32">
        <f>IFERROR(INDEX('Análisis general'!$E$4:$E$28,MATCH($B401,'Análisis general'!$B$4:$B$28,0)),"")</f>
        <v>4.0999999999999996</v>
      </c>
      <c r="BC401" s="31">
        <f t="shared" si="116"/>
        <v>3</v>
      </c>
      <c r="BD401" s="32">
        <f t="shared" si="117"/>
        <v>3.8571428571428568</v>
      </c>
      <c r="BE401" s="32">
        <f t="shared" si="118"/>
        <v>5.3999999999999995</v>
      </c>
    </row>
    <row r="402" spans="1:57" ht="25.5" customHeight="1" x14ac:dyDescent="0.25">
      <c r="A402" s="33" t="s">
        <v>1126</v>
      </c>
      <c r="B402" s="11" t="s">
        <v>38</v>
      </c>
      <c r="C402" s="34" t="s">
        <v>112</v>
      </c>
      <c r="D402" s="24">
        <f t="shared" si="102"/>
        <v>2</v>
      </c>
      <c r="E402" s="59">
        <f t="shared" si="103"/>
        <v>3</v>
      </c>
      <c r="F402" s="59">
        <f t="shared" si="104"/>
        <v>1.7999999999999998</v>
      </c>
      <c r="G402" s="11" t="s">
        <v>1127</v>
      </c>
      <c r="H402" s="25" t="s">
        <v>1128</v>
      </c>
      <c r="I402" s="25" t="s">
        <v>1127</v>
      </c>
      <c r="J402" s="26" t="s">
        <v>1127</v>
      </c>
      <c r="K402" s="26" t="str">
        <f>IF($AQ402,"#N/D",IFERROR(INDEX(Olimpiadas!$A$2:$A$61,MATCH($AO402,Olimpiadas!$C$2:$C$61,0)),"#N/D"))</f>
        <v>INSTITUCIÓN EDUCATIVA DIVINA PASTORA</v>
      </c>
      <c r="L402" s="26" t="str">
        <f>IF($AQ402,"#N/D",IFERROR(INDEX(Minculturas!$A$2:$A$48,MATCH($AO402,Minculturas!$C$2:$C$48,0)),"#N/D"))</f>
        <v>#N/D</v>
      </c>
      <c r="M402" s="26" t="str">
        <f>IF($AQ402,"#N/D",IFERROR(INDEX(Minculturas!$B$2:$B$48,MATCH($AO402,Minculturas!$C$2:$C$48,0)),"#N/D"))</f>
        <v>#N/D</v>
      </c>
      <c r="N402" s="27">
        <v>2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2</v>
      </c>
      <c r="Z402" s="28">
        <v>0</v>
      </c>
      <c r="AA402" s="28">
        <v>0</v>
      </c>
      <c r="AB402" s="28">
        <v>0</v>
      </c>
      <c r="AC402" s="28">
        <v>0</v>
      </c>
      <c r="AD402" s="28">
        <v>0</v>
      </c>
      <c r="AE402" s="28">
        <v>0</v>
      </c>
      <c r="AF402" s="28">
        <v>0</v>
      </c>
      <c r="AG402" s="27">
        <f t="shared" si="105"/>
        <v>0</v>
      </c>
      <c r="AH402" s="28"/>
      <c r="AI402" s="28"/>
      <c r="AJ402" s="28">
        <v>45.1</v>
      </c>
      <c r="AK402" s="28"/>
      <c r="AL402" s="28"/>
      <c r="AM402" s="29" t="s">
        <v>114</v>
      </c>
      <c r="AO402" t="str">
        <f t="shared" si="106"/>
        <v>riohacha</v>
      </c>
      <c r="AP402" t="str">
        <f t="shared" si="107"/>
        <v>la guajira</v>
      </c>
      <c r="AQ402" t="b">
        <f t="shared" si="108"/>
        <v>0</v>
      </c>
      <c r="AR402" t="str">
        <f t="shared" si="109"/>
        <v>riohacha</v>
      </c>
      <c r="AS402" s="30">
        <f t="shared" si="110"/>
        <v>2</v>
      </c>
      <c r="AT402" s="30">
        <f t="shared" si="111"/>
        <v>0</v>
      </c>
      <c r="AU402" s="30">
        <f t="shared" si="112"/>
        <v>0</v>
      </c>
      <c r="AV402" s="30">
        <f t="shared" si="113"/>
        <v>0</v>
      </c>
      <c r="AZ402" s="31">
        <f t="shared" si="114"/>
        <v>0</v>
      </c>
      <c r="BA402" s="31">
        <f t="shared" si="115"/>
        <v>2</v>
      </c>
      <c r="BB402" s="32">
        <f>IFERROR(INDEX('Análisis general'!$E$4:$E$28,MATCH($B402,'Análisis general'!$B$4:$B$28,0)),"")</f>
        <v>40.1</v>
      </c>
      <c r="BC402" s="31">
        <f t="shared" si="116"/>
        <v>3</v>
      </c>
      <c r="BD402" s="32">
        <f t="shared" si="117"/>
        <v>3</v>
      </c>
      <c r="BE402" s="32">
        <f t="shared" si="118"/>
        <v>1.7999999999999998</v>
      </c>
    </row>
    <row r="403" spans="1:57" ht="25.5" customHeight="1" x14ac:dyDescent="0.25">
      <c r="A403" s="33" t="s">
        <v>1129</v>
      </c>
      <c r="B403" s="11" t="s">
        <v>40</v>
      </c>
      <c r="C403" s="34" t="s">
        <v>112</v>
      </c>
      <c r="D403" s="24">
        <f t="shared" si="102"/>
        <v>2</v>
      </c>
      <c r="E403" s="59">
        <f t="shared" si="103"/>
        <v>2.1428571428571428</v>
      </c>
      <c r="F403" s="59">
        <f t="shared" si="104"/>
        <v>1.7999999999999998</v>
      </c>
      <c r="G403" s="11" t="s">
        <v>1130</v>
      </c>
      <c r="H403" s="25" t="str">
        <f>IFERROR(IF($AQ403,INDEX(cpe!$C$2:$C$307,MATCH($AR403,cpe!$F$2:$F$307,0)),INDEX(cpe!$C$2:$C$307,MATCH($AR403,cpe!$D$2:$D$307,0))),"#N/D")</f>
        <v>Institucion Educativa Hector Ivan Hernandez</v>
      </c>
      <c r="I403" s="25" t="str">
        <f>IFERROR(IF($AQ403,INDEX(cpe!$B$2:$B$307,MATCH($AR403,cpe!$F$2:$F$307,0)),INDEX(cpe!$B$2:$B$307,MATCH($AR403,cpe!$D$2:$D$307,0))),"#N/D")</f>
        <v>Acacías</v>
      </c>
      <c r="J403" s="26" t="str">
        <f>IF($AQ403,"#N/D",IFERROR(INDEX(Olimpiadas!$B$2:$B$61,MATCH($AO403,Olimpiadas!$C$2:$C$61,0)),"#N/D"))</f>
        <v>#N/D</v>
      </c>
      <c r="K403" s="26" t="str">
        <f>IF($AQ403,"#N/D",IFERROR(INDEX(Olimpiadas!$A$2:$A$61,MATCH($AO403,Olimpiadas!$C$2:$C$61,0)),"#N/D"))</f>
        <v>#N/D</v>
      </c>
      <c r="L403" s="26" t="str">
        <f>IF($AQ403,"#N/D",IFERROR(INDEX(Minculturas!$A$2:$A$48,MATCH($AO403,Minculturas!$C$2:$C$48,0)),"#N/D"))</f>
        <v>#N/D</v>
      </c>
      <c r="M403" s="26" t="str">
        <f>IF($AQ403,"#N/D",IFERROR(INDEX(Minculturas!$B$2:$B$48,MATCH($AO403,Minculturas!$C$2:$C$48,0)),"#N/D"))</f>
        <v>#N/D</v>
      </c>
      <c r="N403" s="27">
        <v>1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1</v>
      </c>
      <c r="Z403" s="28">
        <v>0</v>
      </c>
      <c r="AA403" s="28">
        <v>0</v>
      </c>
      <c r="AB403" s="28">
        <v>0</v>
      </c>
      <c r="AC403" s="28">
        <v>0</v>
      </c>
      <c r="AD403" s="28">
        <v>0</v>
      </c>
      <c r="AE403" s="28">
        <v>0</v>
      </c>
      <c r="AF403" s="28">
        <v>0</v>
      </c>
      <c r="AG403" s="27">
        <f t="shared" si="105"/>
        <v>0</v>
      </c>
      <c r="AH403" s="28"/>
      <c r="AI403" s="28"/>
      <c r="AJ403" s="28">
        <v>19.2</v>
      </c>
      <c r="AK403" s="28"/>
      <c r="AL403" s="28"/>
      <c r="AM403" s="29" t="s">
        <v>114</v>
      </c>
      <c r="AO403" t="str">
        <f t="shared" si="106"/>
        <v>acacias</v>
      </c>
      <c r="AP403" t="str">
        <f t="shared" si="107"/>
        <v>meta</v>
      </c>
      <c r="AQ403" t="b">
        <f t="shared" si="108"/>
        <v>0</v>
      </c>
      <c r="AR403" t="str">
        <f t="shared" si="109"/>
        <v>acacias</v>
      </c>
      <c r="AS403" s="30">
        <f t="shared" si="110"/>
        <v>1</v>
      </c>
      <c r="AT403" s="30">
        <f t="shared" si="111"/>
        <v>0</v>
      </c>
      <c r="AU403" s="30">
        <f t="shared" si="112"/>
        <v>0</v>
      </c>
      <c r="AV403" s="30">
        <f t="shared" si="113"/>
        <v>1</v>
      </c>
      <c r="AZ403" s="31">
        <f t="shared" si="114"/>
        <v>0</v>
      </c>
      <c r="BA403" s="31">
        <f t="shared" si="115"/>
        <v>1</v>
      </c>
      <c r="BB403" s="32">
        <f>IFERROR(INDEX('Análisis general'!$E$4:$E$28,MATCH($B403,'Análisis general'!$B$4:$B$28,0)),"")</f>
        <v>12.3</v>
      </c>
      <c r="BC403" s="31">
        <f t="shared" si="116"/>
        <v>3</v>
      </c>
      <c r="BD403" s="32">
        <f t="shared" si="117"/>
        <v>2.1428571428571428</v>
      </c>
      <c r="BE403" s="32">
        <f t="shared" si="118"/>
        <v>1.7999999999999998</v>
      </c>
    </row>
    <row r="404" spans="1:57" ht="25.5" customHeight="1" x14ac:dyDescent="0.25">
      <c r="A404" s="33" t="s">
        <v>1131</v>
      </c>
      <c r="B404" s="11" t="s">
        <v>31</v>
      </c>
      <c r="C404" s="34" t="s">
        <v>112</v>
      </c>
      <c r="D404" s="24">
        <f t="shared" si="102"/>
        <v>2</v>
      </c>
      <c r="E404" s="59">
        <f t="shared" si="103"/>
        <v>2.1428571428571428</v>
      </c>
      <c r="F404" s="59">
        <f t="shared" si="104"/>
        <v>1.7999999999999998</v>
      </c>
      <c r="G404" s="11" t="s">
        <v>1132</v>
      </c>
      <c r="H404" s="25" t="str">
        <f>IFERROR(IF($AQ404,INDEX(cpe!$C$2:$C$307,MATCH($AR404,cpe!$F$2:$F$307,0)),INDEX(cpe!$C$2:$C$307,MATCH($AR404,cpe!$D$2:$D$307,0))),"#N/D")</f>
        <v>Institucion Educativa CASD Hermogenes Maza</v>
      </c>
      <c r="I404" s="25" t="str">
        <f>IFERROR(IF($AQ404,INDEX(cpe!$B$2:$B$307,MATCH($AR404,cpe!$F$2:$F$307,0)),INDEX(cpe!$B$2:$B$307,MATCH($AR404,cpe!$D$2:$D$307,0))),"#N/D")</f>
        <v>Atrato</v>
      </c>
      <c r="J404" s="26" t="str">
        <f>IF($AQ404,"#N/D",IFERROR(INDEX(Olimpiadas!$B$2:$B$61,MATCH($AO404,Olimpiadas!$C$2:$C$61,0)),"#N/D"))</f>
        <v>#N/D</v>
      </c>
      <c r="K404" s="26" t="str">
        <f>IF($AQ404,"#N/D",IFERROR(INDEX(Olimpiadas!$A$2:$A$61,MATCH($AO404,Olimpiadas!$C$2:$C$61,0)),"#N/D"))</f>
        <v>#N/D</v>
      </c>
      <c r="L404" s="26" t="str">
        <f>IF($AQ404,"#N/D",IFERROR(INDEX(Minculturas!$A$2:$A$48,MATCH($AO404,Minculturas!$C$2:$C$48,0)),"#N/D"))</f>
        <v>#N/D</v>
      </c>
      <c r="M404" s="26" t="str">
        <f>IF($AQ404,"#N/D",IFERROR(INDEX(Minculturas!$B$2:$B$48,MATCH($AO404,Minculturas!$C$2:$C$48,0)),"#N/D"))</f>
        <v>#N/D</v>
      </c>
      <c r="N404" s="27">
        <v>4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1</v>
      </c>
      <c r="Z404" s="28">
        <v>0</v>
      </c>
      <c r="AA404" s="28">
        <v>0</v>
      </c>
      <c r="AB404" s="28">
        <v>3</v>
      </c>
      <c r="AC404" s="28">
        <v>0</v>
      </c>
      <c r="AD404" s="28">
        <v>0</v>
      </c>
      <c r="AE404" s="28">
        <v>0</v>
      </c>
      <c r="AF404" s="28">
        <v>0</v>
      </c>
      <c r="AG404" s="27">
        <f t="shared" si="105"/>
        <v>0</v>
      </c>
      <c r="AH404" s="28"/>
      <c r="AI404" s="28"/>
      <c r="AJ404" s="28">
        <v>61.5</v>
      </c>
      <c r="AK404" s="28"/>
      <c r="AL404" s="28"/>
      <c r="AM404" s="29" t="s">
        <v>114</v>
      </c>
      <c r="AO404" t="str">
        <f t="shared" si="106"/>
        <v>atrato</v>
      </c>
      <c r="AP404" t="str">
        <f t="shared" si="107"/>
        <v>choco</v>
      </c>
      <c r="AQ404" t="b">
        <f t="shared" si="108"/>
        <v>0</v>
      </c>
      <c r="AR404" t="str">
        <f t="shared" si="109"/>
        <v>atrato</v>
      </c>
      <c r="AS404" s="30">
        <f t="shared" si="110"/>
        <v>1</v>
      </c>
      <c r="AT404" s="30">
        <f t="shared" si="111"/>
        <v>0</v>
      </c>
      <c r="AU404" s="30">
        <f t="shared" si="112"/>
        <v>0</v>
      </c>
      <c r="AV404" s="30">
        <f t="shared" si="113"/>
        <v>1</v>
      </c>
      <c r="AZ404" s="31">
        <f t="shared" si="114"/>
        <v>0</v>
      </c>
      <c r="BA404" s="31">
        <f t="shared" si="115"/>
        <v>1</v>
      </c>
      <c r="BB404" s="32">
        <f>IFERROR(INDEX('Análisis general'!$E$4:$E$28,MATCH($B404,'Análisis general'!$B$4:$B$28,0)),"")</f>
        <v>30.8</v>
      </c>
      <c r="BC404" s="31">
        <f t="shared" si="116"/>
        <v>3</v>
      </c>
      <c r="BD404" s="32">
        <f t="shared" si="117"/>
        <v>2.1428571428571428</v>
      </c>
      <c r="BE404" s="32">
        <f t="shared" si="118"/>
        <v>1.7999999999999998</v>
      </c>
    </row>
    <row r="405" spans="1:57" ht="25.5" customHeight="1" x14ac:dyDescent="0.25">
      <c r="A405" s="33" t="s">
        <v>1133</v>
      </c>
      <c r="B405" s="11" t="s">
        <v>43</v>
      </c>
      <c r="C405" s="34" t="s">
        <v>112</v>
      </c>
      <c r="D405" s="24">
        <f t="shared" si="102"/>
        <v>2</v>
      </c>
      <c r="E405" s="59">
        <f t="shared" si="103"/>
        <v>2.1428571428571428</v>
      </c>
      <c r="F405" s="59">
        <f t="shared" si="104"/>
        <v>1.7999999999999998</v>
      </c>
      <c r="G405" s="11" t="s">
        <v>1134</v>
      </c>
      <c r="H405" s="25" t="str">
        <f>IFERROR(IF($AQ405,INDEX(cpe!$C$2:$C$307,MATCH($AR405,cpe!$F$2:$F$307,0)),INDEX(cpe!$C$2:$C$307,MATCH($AR405,cpe!$D$2:$D$307,0))),"#N/D")</f>
        <v>#N/D</v>
      </c>
      <c r="I405" s="25" t="str">
        <f>IFERROR(IF($AQ405,INDEX(cpe!$B$2:$B$307,MATCH($AR405,cpe!$F$2:$F$307,0)),INDEX(cpe!$B$2:$B$307,MATCH($AR405,cpe!$D$2:$D$307,0))),"#N/D")</f>
        <v>#N/D</v>
      </c>
      <c r="J405" s="26" t="str">
        <f>IF($AQ405,"#N/D",IFERROR(INDEX(Olimpiadas!$B$2:$B$61,MATCH($AO405,Olimpiadas!$C$2:$C$61,0)),"#N/D"))</f>
        <v>Mocoa</v>
      </c>
      <c r="K405" s="26" t="str">
        <f>IF($AQ405,"#N/D",IFERROR(INDEX(Olimpiadas!$A$2:$A$61,MATCH($AO405,Olimpiadas!$C$2:$C$61,0)),"#N/D"))</f>
        <v>CENTRO EDUCATIVO RURAL PUEBLO VIEJO</v>
      </c>
      <c r="L405" s="26" t="str">
        <f>IF($AQ405,"#N/D",IFERROR(INDEX(Minculturas!$A$2:$A$48,MATCH($AO405,Minculturas!$C$2:$C$48,0)),"#N/D"))</f>
        <v>#N/D</v>
      </c>
      <c r="M405" s="26" t="str">
        <f>IF($AQ405,"#N/D",IFERROR(INDEX(Minculturas!$B$2:$B$48,MATCH($AO405,Minculturas!$C$2:$C$48,0)),"#N/D"))</f>
        <v>#N/D</v>
      </c>
      <c r="N405" s="27">
        <v>1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1</v>
      </c>
      <c r="Z405" s="28">
        <v>0</v>
      </c>
      <c r="AA405" s="28">
        <v>0</v>
      </c>
      <c r="AB405" s="28">
        <v>0</v>
      </c>
      <c r="AC405" s="28">
        <v>0</v>
      </c>
      <c r="AD405" s="28">
        <v>0</v>
      </c>
      <c r="AE405" s="28">
        <v>0</v>
      </c>
      <c r="AF405" s="28">
        <v>0</v>
      </c>
      <c r="AG405" s="27">
        <f t="shared" si="105"/>
        <v>0</v>
      </c>
      <c r="AH405" s="28"/>
      <c r="AI405" s="28"/>
      <c r="AJ405" s="28">
        <v>24.8</v>
      </c>
      <c r="AK405" s="28"/>
      <c r="AL405" s="28"/>
      <c r="AM405" s="29" t="s">
        <v>114</v>
      </c>
      <c r="AO405" t="str">
        <f t="shared" si="106"/>
        <v>mocoa</v>
      </c>
      <c r="AP405" t="str">
        <f t="shared" si="107"/>
        <v>putumayo</v>
      </c>
      <c r="AQ405" t="b">
        <f t="shared" si="108"/>
        <v>0</v>
      </c>
      <c r="AR405" t="str">
        <f t="shared" si="109"/>
        <v>mocoa</v>
      </c>
      <c r="AS405" s="30">
        <f t="shared" si="110"/>
        <v>1</v>
      </c>
      <c r="AT405" s="30">
        <f t="shared" si="111"/>
        <v>0</v>
      </c>
      <c r="AU405" s="30">
        <f t="shared" si="112"/>
        <v>0</v>
      </c>
      <c r="AV405" s="30">
        <f t="shared" si="113"/>
        <v>1</v>
      </c>
      <c r="AZ405" s="31">
        <f t="shared" si="114"/>
        <v>0</v>
      </c>
      <c r="BA405" s="31">
        <f t="shared" si="115"/>
        <v>1</v>
      </c>
      <c r="BB405" s="32">
        <f>IFERROR(INDEX('Análisis general'!$E$4:$E$28,MATCH($B405,'Análisis general'!$B$4:$B$28,0)),"")</f>
        <v>13.6</v>
      </c>
      <c r="BC405" s="31">
        <f t="shared" si="116"/>
        <v>3</v>
      </c>
      <c r="BD405" s="32">
        <f t="shared" si="117"/>
        <v>2.1428571428571428</v>
      </c>
      <c r="BE405" s="32">
        <f t="shared" si="118"/>
        <v>1.7999999999999998</v>
      </c>
    </row>
    <row r="406" spans="1:57" ht="25.5" customHeight="1" x14ac:dyDescent="0.25">
      <c r="A406" s="33" t="s">
        <v>1135</v>
      </c>
      <c r="B406" s="11" t="s">
        <v>33</v>
      </c>
      <c r="C406" s="34" t="s">
        <v>112</v>
      </c>
      <c r="D406" s="24">
        <f t="shared" si="102"/>
        <v>1</v>
      </c>
      <c r="E406" s="59">
        <f t="shared" si="103"/>
        <v>2.1428571428571428</v>
      </c>
      <c r="F406" s="59">
        <f t="shared" si="104"/>
        <v>1.7999999999999998</v>
      </c>
      <c r="G406" s="11" t="s">
        <v>1136</v>
      </c>
      <c r="H406" s="25" t="str">
        <f>IFERROR(IF($AQ406,INDEX(cpe!$C$2:$C$307,MATCH($AR406,cpe!$F$2:$F$307,0)),INDEX(cpe!$C$2:$C$307,MATCH($AR406,cpe!$D$2:$D$307,0))),"#N/D")</f>
        <v>#N/D</v>
      </c>
      <c r="I406" s="25" t="str">
        <f>IFERROR(IF($AQ406,INDEX(cpe!$B$2:$B$307,MATCH($AR406,cpe!$F$2:$F$307,0)),INDEX(cpe!$B$2:$B$307,MATCH($AR406,cpe!$D$2:$D$307,0))),"#N/D")</f>
        <v>#N/D</v>
      </c>
      <c r="J406" s="26" t="str">
        <f>IF($AQ406,"#N/D",IFERROR(INDEX(Olimpiadas!$B$2:$B$61,MATCH($AO406,Olimpiadas!$C$2:$C$61,0)),"#N/D"))</f>
        <v>Montería</v>
      </c>
      <c r="K406" s="26" t="str">
        <f>IF($AQ406,"#N/D",IFERROR(INDEX(Olimpiadas!$A$2:$A$61,MATCH($AO406,Olimpiadas!$C$2:$C$61,0)),"#N/D"))</f>
        <v>INSTITUCIÓN EDUCATIVA PATIO BONITO</v>
      </c>
      <c r="L406" s="26" t="str">
        <f>IF($AQ406,"#N/D",IFERROR(INDEX(Minculturas!$A$2:$A$48,MATCH($AO406,Minculturas!$C$2:$C$48,0)),"#N/D"))</f>
        <v>#N/D</v>
      </c>
      <c r="M406" s="26" t="str">
        <f>IF($AQ406,"#N/D",IFERROR(INDEX(Minculturas!$B$2:$B$48,MATCH($AO406,Minculturas!$C$2:$C$48,0)),"#N/D"))</f>
        <v>#N/D</v>
      </c>
      <c r="N406" s="27">
        <v>3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3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0</v>
      </c>
      <c r="AF406" s="28">
        <v>0</v>
      </c>
      <c r="AG406" s="27">
        <f t="shared" si="105"/>
        <v>0</v>
      </c>
      <c r="AH406" s="28"/>
      <c r="AI406" s="28"/>
      <c r="AJ406" s="28">
        <v>27.1</v>
      </c>
      <c r="AK406" s="28"/>
      <c r="AL406" s="28"/>
      <c r="AM406" s="29" t="s">
        <v>114</v>
      </c>
      <c r="AO406" t="str">
        <f t="shared" si="106"/>
        <v>monteria</v>
      </c>
      <c r="AP406" t="str">
        <f t="shared" si="107"/>
        <v>cordoba</v>
      </c>
      <c r="AQ406" t="b">
        <f t="shared" si="108"/>
        <v>0</v>
      </c>
      <c r="AR406" t="str">
        <f t="shared" si="109"/>
        <v>monteria</v>
      </c>
      <c r="AS406" s="30">
        <f t="shared" si="110"/>
        <v>1</v>
      </c>
      <c r="AT406" s="30">
        <f t="shared" si="111"/>
        <v>0</v>
      </c>
      <c r="AU406" s="30">
        <f t="shared" si="112"/>
        <v>0</v>
      </c>
      <c r="AV406" s="30">
        <f t="shared" si="113"/>
        <v>0</v>
      </c>
      <c r="AZ406" s="31">
        <f t="shared" si="114"/>
        <v>0</v>
      </c>
      <c r="BA406" s="31">
        <f t="shared" si="115"/>
        <v>1</v>
      </c>
      <c r="BB406" s="32">
        <f>IFERROR(INDEX('Análisis general'!$E$4:$E$28,MATCH($B406,'Análisis general'!$B$4:$B$28,0)),"")</f>
        <v>19.8</v>
      </c>
      <c r="BC406" s="31">
        <f t="shared" si="116"/>
        <v>3</v>
      </c>
      <c r="BD406" s="32">
        <f t="shared" si="117"/>
        <v>2.1428571428571428</v>
      </c>
      <c r="BE406" s="32">
        <f t="shared" si="118"/>
        <v>1.7999999999999998</v>
      </c>
    </row>
    <row r="407" spans="1:57" ht="25.5" customHeight="1" x14ac:dyDescent="0.25">
      <c r="A407" s="33" t="s">
        <v>1137</v>
      </c>
      <c r="B407" s="11" t="s">
        <v>29</v>
      </c>
      <c r="C407" s="34" t="s">
        <v>112</v>
      </c>
      <c r="D407" s="24">
        <f t="shared" si="102"/>
        <v>1</v>
      </c>
      <c r="E407" s="59">
        <f t="shared" si="103"/>
        <v>2.1428571428571428</v>
      </c>
      <c r="F407" s="59">
        <f t="shared" si="104"/>
        <v>1.7999999999999998</v>
      </c>
      <c r="G407" s="11" t="s">
        <v>1138</v>
      </c>
      <c r="H407" s="25" t="s">
        <v>106</v>
      </c>
      <c r="I407" s="25" t="s">
        <v>106</v>
      </c>
      <c r="J407" s="26" t="s">
        <v>1138</v>
      </c>
      <c r="K407" s="26" t="str">
        <f>IF($AQ407,"#N/D",IFERROR(INDEX(Olimpiadas!$A$2:$A$61,MATCH($AO407,Olimpiadas!$C$2:$C$61,0)),"#N/D"))</f>
        <v>INSTITUCIÓN EDUCATIVA LOPERENA</v>
      </c>
      <c r="L407" s="26" t="str">
        <f>IF($AQ407,"#N/D",IFERROR(INDEX(Minculturas!$A$2:$A$48,MATCH($AO407,Minculturas!$C$2:$C$48,0)),"#N/D"))</f>
        <v>#N/D</v>
      </c>
      <c r="M407" s="26" t="str">
        <f>IF($AQ407,"#N/D",IFERROR(INDEX(Minculturas!$B$2:$B$48,MATCH($AO407,Minculturas!$C$2:$C$48,0)),"#N/D"))</f>
        <v>#N/D</v>
      </c>
      <c r="N407" s="27">
        <v>4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4</v>
      </c>
      <c r="Z407" s="28">
        <v>0</v>
      </c>
      <c r="AA407" s="28">
        <v>0</v>
      </c>
      <c r="AB407" s="28">
        <v>0</v>
      </c>
      <c r="AC407" s="28">
        <v>0</v>
      </c>
      <c r="AD407" s="28">
        <v>0</v>
      </c>
      <c r="AE407" s="28">
        <v>0</v>
      </c>
      <c r="AF407" s="28">
        <v>0</v>
      </c>
      <c r="AG407" s="27">
        <f t="shared" si="105"/>
        <v>0</v>
      </c>
      <c r="AH407" s="28"/>
      <c r="AI407" s="28"/>
      <c r="AJ407" s="28">
        <v>30.5</v>
      </c>
      <c r="AK407" s="28"/>
      <c r="AL407" s="28"/>
      <c r="AM407" s="29" t="s">
        <v>114</v>
      </c>
      <c r="AO407" t="str">
        <f t="shared" si="106"/>
        <v>valledupar</v>
      </c>
      <c r="AP407" t="str">
        <f t="shared" si="107"/>
        <v>cesar</v>
      </c>
      <c r="AQ407" t="b">
        <f t="shared" si="108"/>
        <v>0</v>
      </c>
      <c r="AR407" t="str">
        <f t="shared" si="109"/>
        <v>valledupar</v>
      </c>
      <c r="AS407" s="30">
        <f t="shared" si="110"/>
        <v>1</v>
      </c>
      <c r="AT407" s="30">
        <f t="shared" si="111"/>
        <v>0</v>
      </c>
      <c r="AU407" s="30">
        <f t="shared" si="112"/>
        <v>0</v>
      </c>
      <c r="AV407" s="30">
        <f t="shared" si="113"/>
        <v>0</v>
      </c>
      <c r="AZ407" s="31">
        <f t="shared" si="114"/>
        <v>0</v>
      </c>
      <c r="BA407" s="31">
        <f t="shared" si="115"/>
        <v>1</v>
      </c>
      <c r="BB407" s="32">
        <f>IFERROR(INDEX('Análisis general'!$E$4:$E$28,MATCH($B407,'Análisis general'!$B$4:$B$28,0)),"")</f>
        <v>14.8</v>
      </c>
      <c r="BC407" s="31">
        <f t="shared" si="116"/>
        <v>3</v>
      </c>
      <c r="BD407" s="32">
        <f t="shared" si="117"/>
        <v>2.1428571428571428</v>
      </c>
      <c r="BE407" s="32">
        <f t="shared" si="118"/>
        <v>1.7999999999999998</v>
      </c>
    </row>
    <row r="408" spans="1:57" ht="25.5" customHeight="1" x14ac:dyDescent="0.25">
      <c r="A408" s="33" t="s">
        <v>1139</v>
      </c>
      <c r="B408" s="11" t="s">
        <v>40</v>
      </c>
      <c r="C408" s="34" t="s">
        <v>112</v>
      </c>
      <c r="D408" s="24">
        <f t="shared" si="102"/>
        <v>1</v>
      </c>
      <c r="E408" s="59">
        <f t="shared" si="103"/>
        <v>2.1428571428571428</v>
      </c>
      <c r="F408" s="59">
        <f t="shared" si="104"/>
        <v>1.7999999999999998</v>
      </c>
      <c r="G408" s="11" t="s">
        <v>1140</v>
      </c>
      <c r="H408" s="25" t="s">
        <v>993</v>
      </c>
      <c r="I408" s="25" t="s">
        <v>1140</v>
      </c>
      <c r="J408" s="26" t="s">
        <v>106</v>
      </c>
      <c r="K408" s="26" t="str">
        <f>IF($AQ408,"#N/D",IFERROR(INDEX(Olimpiadas!$A$2:$A$61,MATCH($AO408,Olimpiadas!$C$2:$C$61,0)),"#N/D"))</f>
        <v>#N/D</v>
      </c>
      <c r="L408" s="26" t="str">
        <f>IF($AQ408,"#N/D",IFERROR(INDEX(Minculturas!$A$2:$A$48,MATCH($AO408,Minculturas!$C$2:$C$48,0)),"#N/D"))</f>
        <v>#N/D</v>
      </c>
      <c r="M408" s="26" t="str">
        <f>IF($AQ408,"#N/D",IFERROR(INDEX(Minculturas!$B$2:$B$48,MATCH($AO408,Minculturas!$C$2:$C$48,0)),"#N/D"))</f>
        <v>#N/D</v>
      </c>
      <c r="N408" s="27">
        <v>4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4</v>
      </c>
      <c r="Z408" s="28">
        <v>0</v>
      </c>
      <c r="AA408" s="28">
        <v>0</v>
      </c>
      <c r="AB408" s="28">
        <v>0</v>
      </c>
      <c r="AC408" s="28">
        <v>0</v>
      </c>
      <c r="AD408" s="28">
        <v>0</v>
      </c>
      <c r="AE408" s="28">
        <v>0</v>
      </c>
      <c r="AF408" s="28">
        <v>0</v>
      </c>
      <c r="AG408" s="27">
        <f t="shared" si="105"/>
        <v>0</v>
      </c>
      <c r="AH408" s="28"/>
      <c r="AI408" s="28"/>
      <c r="AJ408" s="28">
        <v>15.9</v>
      </c>
      <c r="AK408" s="28"/>
      <c r="AL408" s="28"/>
      <c r="AM408" s="29" t="s">
        <v>114</v>
      </c>
      <c r="AO408" t="str">
        <f t="shared" si="106"/>
        <v>villavicencio</v>
      </c>
      <c r="AP408" t="str">
        <f t="shared" si="107"/>
        <v>meta</v>
      </c>
      <c r="AQ408" t="b">
        <f t="shared" si="108"/>
        <v>0</v>
      </c>
      <c r="AR408" t="str">
        <f t="shared" si="109"/>
        <v>villavicencio</v>
      </c>
      <c r="AS408" s="30">
        <f t="shared" si="110"/>
        <v>1</v>
      </c>
      <c r="AT408" s="30">
        <f t="shared" si="111"/>
        <v>0</v>
      </c>
      <c r="AU408" s="30">
        <f t="shared" si="112"/>
        <v>0</v>
      </c>
      <c r="AV408" s="30">
        <f t="shared" si="113"/>
        <v>0</v>
      </c>
      <c r="AZ408" s="31">
        <f t="shared" si="114"/>
        <v>0</v>
      </c>
      <c r="BA408" s="31">
        <f t="shared" si="115"/>
        <v>1</v>
      </c>
      <c r="BB408" s="32">
        <f>IFERROR(INDEX('Análisis general'!$E$4:$E$28,MATCH($B408,'Análisis general'!$B$4:$B$28,0)),"")</f>
        <v>12.3</v>
      </c>
      <c r="BC408" s="31">
        <f t="shared" si="116"/>
        <v>3</v>
      </c>
      <c r="BD408" s="32">
        <f t="shared" si="117"/>
        <v>2.1428571428571428</v>
      </c>
      <c r="BE408" s="32">
        <f t="shared" si="118"/>
        <v>1.7999999999999998</v>
      </c>
    </row>
    <row r="409" spans="1:57" ht="25.5" customHeight="1" x14ac:dyDescent="0.25">
      <c r="A409" s="33" t="s">
        <v>1145</v>
      </c>
      <c r="B409" s="11" t="s">
        <v>28</v>
      </c>
      <c r="C409" s="34" t="s">
        <v>112</v>
      </c>
      <c r="D409" s="24">
        <f t="shared" si="102"/>
        <v>1</v>
      </c>
      <c r="E409" s="59">
        <f t="shared" si="103"/>
        <v>1.2857142857142856</v>
      </c>
      <c r="F409" s="59">
        <f t="shared" si="104"/>
        <v>1.7999999999999998</v>
      </c>
      <c r="G409" s="11" t="s">
        <v>1146</v>
      </c>
      <c r="H409" s="25" t="str">
        <f>IFERROR(IF($AQ409,INDEX(cpe!$C$2:$C$307,MATCH($AR409,cpe!$F$2:$F$307,0)),INDEX(cpe!$C$2:$C$307,MATCH($AR409,cpe!$D$2:$D$307,0))),"#N/D")</f>
        <v>#N/D</v>
      </c>
      <c r="I409" s="25" t="str">
        <f>IFERROR(IF($AQ409,INDEX(cpe!$B$2:$B$307,MATCH($AR409,cpe!$F$2:$F$307,0)),INDEX(cpe!$B$2:$B$307,MATCH($AR409,cpe!$D$2:$D$307,0))),"#N/D")</f>
        <v>#N/D</v>
      </c>
      <c r="J409" s="26" t="str">
        <f>IF($AQ409,"#N/D",IFERROR(INDEX(Olimpiadas!$B$2:$B$61,MATCH($AO409,Olimpiadas!$C$2:$C$61,0)),"#N/D"))</f>
        <v>#N/D</v>
      </c>
      <c r="K409" s="26" t="str">
        <f>IF($AQ409,"#N/D",IFERROR(INDEX(Olimpiadas!$A$2:$A$61,MATCH($AO409,Olimpiadas!$C$2:$C$61,0)),"#N/D"))</f>
        <v>#N/D</v>
      </c>
      <c r="L409" s="26" t="str">
        <f>IF($AQ409,"#N/D",IFERROR(INDEX(Minculturas!$A$2:$A$48,MATCH($AO409,Minculturas!$C$2:$C$48,0)),"#N/D"))</f>
        <v>#N/D</v>
      </c>
      <c r="M409" s="26" t="str">
        <f>IF($AQ409,"#N/D",IFERROR(INDEX(Minculturas!$B$2:$B$48,MATCH($AO409,Minculturas!$C$2:$C$48,0)),"#N/D"))</f>
        <v>#N/D</v>
      </c>
      <c r="N409" s="27">
        <v>1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1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8">
        <v>0</v>
      </c>
      <c r="AF409" s="28">
        <v>0</v>
      </c>
      <c r="AG409" s="27">
        <f t="shared" si="105"/>
        <v>0</v>
      </c>
      <c r="AH409" s="28"/>
      <c r="AI409" s="28"/>
      <c r="AJ409" s="28">
        <v>62.9</v>
      </c>
      <c r="AK409" s="28"/>
      <c r="AL409" s="28"/>
      <c r="AM409" s="29" t="s">
        <v>114</v>
      </c>
      <c r="AO409" t="str">
        <f t="shared" si="106"/>
        <v>almaguer</v>
      </c>
      <c r="AP409" t="str">
        <f t="shared" si="107"/>
        <v>cauca</v>
      </c>
      <c r="AQ409" t="b">
        <f t="shared" si="108"/>
        <v>0</v>
      </c>
      <c r="AR409" t="str">
        <f t="shared" si="109"/>
        <v>almaguer</v>
      </c>
      <c r="AS409" s="30">
        <f t="shared" si="110"/>
        <v>0</v>
      </c>
      <c r="AT409" s="30">
        <f t="shared" si="111"/>
        <v>0</v>
      </c>
      <c r="AU409" s="30">
        <f t="shared" si="112"/>
        <v>0</v>
      </c>
      <c r="AV409" s="30">
        <f t="shared" si="113"/>
        <v>1</v>
      </c>
      <c r="AZ409" s="31">
        <f t="shared" si="114"/>
        <v>0</v>
      </c>
      <c r="BA409" s="31">
        <f t="shared" si="115"/>
        <v>0</v>
      </c>
      <c r="BB409" s="32">
        <f>IFERROR(INDEX('Análisis general'!$E$4:$E$28,MATCH($B409,'Análisis general'!$B$4:$B$28,0)),"")</f>
        <v>13</v>
      </c>
      <c r="BC409" s="31">
        <f t="shared" si="116"/>
        <v>3</v>
      </c>
      <c r="BD409" s="32">
        <f t="shared" si="117"/>
        <v>1.2857142857142856</v>
      </c>
      <c r="BE409" s="32">
        <f t="shared" si="118"/>
        <v>1.7999999999999998</v>
      </c>
    </row>
    <row r="410" spans="1:57" ht="25.5" customHeight="1" x14ac:dyDescent="0.25">
      <c r="A410" s="33" t="s">
        <v>1147</v>
      </c>
      <c r="B410" s="11" t="s">
        <v>29</v>
      </c>
      <c r="C410" s="34" t="s">
        <v>112</v>
      </c>
      <c r="D410" s="24">
        <f t="shared" si="102"/>
        <v>1</v>
      </c>
      <c r="E410" s="59">
        <f t="shared" si="103"/>
        <v>1.2857142857142856</v>
      </c>
      <c r="F410" s="59">
        <f t="shared" si="104"/>
        <v>1.7999999999999998</v>
      </c>
      <c r="G410" s="11" t="s">
        <v>1148</v>
      </c>
      <c r="H410" s="25" t="str">
        <f>IFERROR(IF($AQ410,INDEX(cpe!$C$2:$C$307,MATCH($AR410,cpe!$F$2:$F$307,0)),INDEX(cpe!$C$2:$C$307,MATCH($AR410,cpe!$D$2:$D$307,0))),"#N/D")</f>
        <v>#N/D</v>
      </c>
      <c r="I410" s="25" t="str">
        <f>IFERROR(IF($AQ410,INDEX(cpe!$B$2:$B$307,MATCH($AR410,cpe!$F$2:$F$307,0)),INDEX(cpe!$B$2:$B$307,MATCH($AR410,cpe!$D$2:$D$307,0))),"#N/D")</f>
        <v>#N/D</v>
      </c>
      <c r="J410" s="26" t="str">
        <f>IF($AQ410,"#N/D",IFERROR(INDEX(Olimpiadas!$B$2:$B$61,MATCH($AO410,Olimpiadas!$C$2:$C$61,0)),"#N/D"))</f>
        <v>#N/D</v>
      </c>
      <c r="K410" s="26" t="str">
        <f>IF($AQ410,"#N/D",IFERROR(INDEX(Olimpiadas!$A$2:$A$61,MATCH($AO410,Olimpiadas!$C$2:$C$61,0)),"#N/D"))</f>
        <v>#N/D</v>
      </c>
      <c r="L410" s="26" t="str">
        <f>IF($AQ410,"#N/D",IFERROR(INDEX(Minculturas!$A$2:$A$48,MATCH($AO410,Minculturas!$C$2:$C$48,0)),"#N/D"))</f>
        <v>#N/D</v>
      </c>
      <c r="M410" s="26" t="str">
        <f>IF($AQ410,"#N/D",IFERROR(INDEX(Minculturas!$B$2:$B$48,MATCH($AO410,Minculturas!$C$2:$C$48,0)),"#N/D"))</f>
        <v>#N/D</v>
      </c>
      <c r="N410" s="27">
        <v>1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1</v>
      </c>
      <c r="Z410" s="28">
        <v>0</v>
      </c>
      <c r="AA410" s="28">
        <v>0</v>
      </c>
      <c r="AB410" s="28">
        <v>0</v>
      </c>
      <c r="AC410" s="28">
        <v>0</v>
      </c>
      <c r="AD410" s="28">
        <v>0</v>
      </c>
      <c r="AE410" s="28">
        <v>0</v>
      </c>
      <c r="AF410" s="28">
        <v>0</v>
      </c>
      <c r="AG410" s="27">
        <f t="shared" si="105"/>
        <v>0</v>
      </c>
      <c r="AH410" s="28"/>
      <c r="AI410" s="28"/>
      <c r="AJ410" s="28">
        <v>43.8</v>
      </c>
      <c r="AK410" s="28"/>
      <c r="AL410" s="28"/>
      <c r="AM410" s="29" t="s">
        <v>114</v>
      </c>
      <c r="AO410" t="str">
        <f t="shared" si="106"/>
        <v>bosconia</v>
      </c>
      <c r="AP410" t="str">
        <f t="shared" si="107"/>
        <v>cesar</v>
      </c>
      <c r="AQ410" t="b">
        <f t="shared" si="108"/>
        <v>0</v>
      </c>
      <c r="AR410" t="str">
        <f t="shared" si="109"/>
        <v>bosconia</v>
      </c>
      <c r="AS410" s="30">
        <f t="shared" si="110"/>
        <v>0</v>
      </c>
      <c r="AT410" s="30">
        <f t="shared" si="111"/>
        <v>0</v>
      </c>
      <c r="AU410" s="30">
        <f t="shared" si="112"/>
        <v>0</v>
      </c>
      <c r="AV410" s="30">
        <f t="shared" si="113"/>
        <v>1</v>
      </c>
      <c r="AZ410" s="31">
        <f t="shared" si="114"/>
        <v>0</v>
      </c>
      <c r="BA410" s="31">
        <f t="shared" si="115"/>
        <v>0</v>
      </c>
      <c r="BB410" s="32">
        <f>IFERROR(INDEX('Análisis general'!$E$4:$E$28,MATCH($B410,'Análisis general'!$B$4:$B$28,0)),"")</f>
        <v>14.8</v>
      </c>
      <c r="BC410" s="31">
        <f t="shared" si="116"/>
        <v>3</v>
      </c>
      <c r="BD410" s="32">
        <f t="shared" si="117"/>
        <v>1.2857142857142856</v>
      </c>
      <c r="BE410" s="32">
        <f t="shared" si="118"/>
        <v>1.7999999999999998</v>
      </c>
    </row>
    <row r="411" spans="1:57" ht="25.5" customHeight="1" x14ac:dyDescent="0.25">
      <c r="A411" s="33" t="s">
        <v>1149</v>
      </c>
      <c r="B411" s="11" t="s">
        <v>28</v>
      </c>
      <c r="C411" s="34" t="s">
        <v>112</v>
      </c>
      <c r="D411" s="24">
        <f t="shared" si="102"/>
        <v>1</v>
      </c>
      <c r="E411" s="59">
        <f t="shared" si="103"/>
        <v>1.2857142857142856</v>
      </c>
      <c r="F411" s="59">
        <f t="shared" si="104"/>
        <v>1.7999999999999998</v>
      </c>
      <c r="G411" s="11" t="s">
        <v>1150</v>
      </c>
      <c r="H411" s="25" t="str">
        <f>IFERROR(IF($AQ411,INDEX(cpe!$C$2:$C$307,MATCH($AR411,cpe!$F$2:$F$307,0)),INDEX(cpe!$C$2:$C$307,MATCH($AR411,cpe!$D$2:$D$307,0))),"#N/D")</f>
        <v>#N/D</v>
      </c>
      <c r="I411" s="25" t="str">
        <f>IFERROR(IF($AQ411,INDEX(cpe!$B$2:$B$307,MATCH($AR411,cpe!$F$2:$F$307,0)),INDEX(cpe!$B$2:$B$307,MATCH($AR411,cpe!$D$2:$D$307,0))),"#N/D")</f>
        <v>#N/D</v>
      </c>
      <c r="J411" s="26" t="str">
        <f>IF($AQ411,"#N/D",IFERROR(INDEX(Olimpiadas!$B$2:$B$61,MATCH($AO411,Olimpiadas!$C$2:$C$61,0)),"#N/D"))</f>
        <v>#N/D</v>
      </c>
      <c r="K411" s="26" t="str">
        <f>IF($AQ411,"#N/D",IFERROR(INDEX(Olimpiadas!$A$2:$A$61,MATCH($AO411,Olimpiadas!$C$2:$C$61,0)),"#N/D"))</f>
        <v>#N/D</v>
      </c>
      <c r="L411" s="26" t="str">
        <f>IF($AQ411,"#N/D",IFERROR(INDEX(Minculturas!$A$2:$A$48,MATCH($AO411,Minculturas!$C$2:$C$48,0)),"#N/D"))</f>
        <v>#N/D</v>
      </c>
      <c r="M411" s="26" t="str">
        <f>IF($AQ411,"#N/D",IFERROR(INDEX(Minculturas!$B$2:$B$48,MATCH($AO411,Minculturas!$C$2:$C$48,0)),"#N/D"))</f>
        <v>#N/D</v>
      </c>
      <c r="N411" s="27">
        <v>2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1</v>
      </c>
      <c r="Z411" s="28">
        <v>0</v>
      </c>
      <c r="AA411" s="28">
        <v>0</v>
      </c>
      <c r="AB411" s="28">
        <v>1</v>
      </c>
      <c r="AC411" s="28">
        <v>0</v>
      </c>
      <c r="AD411" s="28">
        <v>0</v>
      </c>
      <c r="AE411" s="28">
        <v>0</v>
      </c>
      <c r="AF411" s="28">
        <v>0</v>
      </c>
      <c r="AG411" s="27">
        <f t="shared" si="105"/>
        <v>0</v>
      </c>
      <c r="AH411" s="28"/>
      <c r="AI411" s="28"/>
      <c r="AJ411" s="28">
        <v>33.700000000000003</v>
      </c>
      <c r="AK411" s="28"/>
      <c r="AL411" s="28"/>
      <c r="AM411" s="29" t="s">
        <v>114</v>
      </c>
      <c r="AO411" t="str">
        <f t="shared" si="106"/>
        <v>corinto</v>
      </c>
      <c r="AP411" t="str">
        <f t="shared" si="107"/>
        <v>cauca</v>
      </c>
      <c r="AQ411" t="b">
        <f t="shared" si="108"/>
        <v>0</v>
      </c>
      <c r="AR411" t="str">
        <f t="shared" si="109"/>
        <v>corinto</v>
      </c>
      <c r="AS411" s="30">
        <f t="shared" si="110"/>
        <v>0</v>
      </c>
      <c r="AT411" s="30">
        <f t="shared" si="111"/>
        <v>0</v>
      </c>
      <c r="AU411" s="30">
        <f t="shared" si="112"/>
        <v>0</v>
      </c>
      <c r="AV411" s="30">
        <f t="shared" si="113"/>
        <v>1</v>
      </c>
      <c r="AZ411" s="31">
        <f t="shared" si="114"/>
        <v>0</v>
      </c>
      <c r="BA411" s="31">
        <f t="shared" si="115"/>
        <v>0</v>
      </c>
      <c r="BB411" s="32">
        <f>IFERROR(INDEX('Análisis general'!$E$4:$E$28,MATCH($B411,'Análisis general'!$B$4:$B$28,0)),"")</f>
        <v>13</v>
      </c>
      <c r="BC411" s="31">
        <f t="shared" si="116"/>
        <v>3</v>
      </c>
      <c r="BD411" s="32">
        <f t="shared" si="117"/>
        <v>1.2857142857142856</v>
      </c>
      <c r="BE411" s="32">
        <f t="shared" si="118"/>
        <v>1.7999999999999998</v>
      </c>
    </row>
    <row r="412" spans="1:57" ht="25.5" customHeight="1" x14ac:dyDescent="0.25">
      <c r="A412" s="33" t="s">
        <v>1151</v>
      </c>
      <c r="B412" s="11" t="s">
        <v>26</v>
      </c>
      <c r="C412" s="34" t="s">
        <v>112</v>
      </c>
      <c r="D412" s="24">
        <f t="shared" si="102"/>
        <v>1</v>
      </c>
      <c r="E412" s="59">
        <f t="shared" si="103"/>
        <v>1.2857142857142856</v>
      </c>
      <c r="F412" s="59">
        <f t="shared" si="104"/>
        <v>1.7999999999999998</v>
      </c>
      <c r="G412" s="11" t="s">
        <v>677</v>
      </c>
      <c r="H412" s="25" t="str">
        <f>IFERROR(IF($AQ412,INDEX(cpe!$C$2:$C$307,MATCH($AR412,cpe!$F$2:$F$307,0)),INDEX(cpe!$C$2:$C$307,MATCH($AR412,cpe!$D$2:$D$307,0))),"#N/D")</f>
        <v>#N/D</v>
      </c>
      <c r="I412" s="25" t="str">
        <f>IFERROR(IF($AQ412,INDEX(cpe!$B$2:$B$307,MATCH($AR412,cpe!$F$2:$F$307,0)),INDEX(cpe!$B$2:$B$307,MATCH($AR412,cpe!$D$2:$D$307,0))),"#N/D")</f>
        <v>#N/D</v>
      </c>
      <c r="J412" s="26" t="str">
        <f>IF($AQ412,"#N/D",IFERROR(INDEX(Olimpiadas!$B$2:$B$61,MATCH($AO412,Olimpiadas!$C$2:$C$61,0)),"#N/D"))</f>
        <v>#N/D</v>
      </c>
      <c r="K412" s="26" t="str">
        <f>IF($AQ412,"#N/D",IFERROR(INDEX(Olimpiadas!$A$2:$A$61,MATCH($AO412,Olimpiadas!$C$2:$C$61,0)),"#N/D"))</f>
        <v>#N/D</v>
      </c>
      <c r="L412" s="26" t="str">
        <f>IF($AQ412,"#N/D",IFERROR(INDEX(Minculturas!$A$2:$A$48,MATCH($AO412,Minculturas!$C$2:$C$48,0)),"#N/D"))</f>
        <v>#N/D</v>
      </c>
      <c r="M412" s="26" t="str">
        <f>IF($AQ412,"#N/D",IFERROR(INDEX(Minculturas!$B$2:$B$48,MATCH($AO412,Minculturas!$C$2:$C$48,0)),"#N/D"))</f>
        <v>#N/D</v>
      </c>
      <c r="N412" s="27">
        <v>1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1</v>
      </c>
      <c r="Z412" s="28">
        <v>0</v>
      </c>
      <c r="AA412" s="28">
        <v>0</v>
      </c>
      <c r="AB412" s="28">
        <v>0</v>
      </c>
      <c r="AC412" s="28">
        <v>0</v>
      </c>
      <c r="AD412" s="28">
        <v>0</v>
      </c>
      <c r="AE412" s="28">
        <v>0</v>
      </c>
      <c r="AF412" s="28">
        <v>0</v>
      </c>
      <c r="AG412" s="27">
        <f t="shared" si="105"/>
        <v>0</v>
      </c>
      <c r="AH412" s="28"/>
      <c r="AI412" s="28"/>
      <c r="AJ412" s="28">
        <v>29.6</v>
      </c>
      <c r="AK412" s="28"/>
      <c r="AL412" s="28"/>
      <c r="AM412" s="29" t="s">
        <v>114</v>
      </c>
      <c r="AO412" t="str">
        <f t="shared" si="106"/>
        <v>florencia</v>
      </c>
      <c r="AP412" t="str">
        <f t="shared" si="107"/>
        <v>caqueta</v>
      </c>
      <c r="AQ412" t="b">
        <f t="shared" si="108"/>
        <v>1</v>
      </c>
      <c r="AR412" t="str">
        <f t="shared" si="109"/>
        <v>florencia|caqueta</v>
      </c>
      <c r="AS412" s="30">
        <f t="shared" si="110"/>
        <v>0</v>
      </c>
      <c r="AT412" s="30">
        <f t="shared" si="111"/>
        <v>0</v>
      </c>
      <c r="AU412" s="30">
        <f t="shared" si="112"/>
        <v>0</v>
      </c>
      <c r="AV412" s="30">
        <f t="shared" si="113"/>
        <v>1</v>
      </c>
      <c r="AZ412" s="31">
        <f t="shared" si="114"/>
        <v>0</v>
      </c>
      <c r="BA412" s="31">
        <f t="shared" si="115"/>
        <v>0</v>
      </c>
      <c r="BB412" s="32">
        <f>IFERROR(INDEX('Análisis general'!$E$4:$E$28,MATCH($B412,'Análisis general'!$B$4:$B$28,0)),"")</f>
        <v>15</v>
      </c>
      <c r="BC412" s="31">
        <f t="shared" si="116"/>
        <v>3</v>
      </c>
      <c r="BD412" s="32">
        <f t="shared" si="117"/>
        <v>1.2857142857142856</v>
      </c>
      <c r="BE412" s="32">
        <f t="shared" si="118"/>
        <v>1.7999999999999998</v>
      </c>
    </row>
    <row r="413" spans="1:57" ht="25.5" customHeight="1" x14ac:dyDescent="0.25">
      <c r="A413" s="33" t="s">
        <v>1152</v>
      </c>
      <c r="B413" s="11" t="s">
        <v>28</v>
      </c>
      <c r="C413" s="34" t="s">
        <v>112</v>
      </c>
      <c r="D413" s="24">
        <f t="shared" si="102"/>
        <v>1</v>
      </c>
      <c r="E413" s="59">
        <f t="shared" si="103"/>
        <v>1.2857142857142856</v>
      </c>
      <c r="F413" s="59">
        <f t="shared" si="104"/>
        <v>1.7999999999999998</v>
      </c>
      <c r="G413" s="11" t="s">
        <v>1153</v>
      </c>
      <c r="H413" s="25" t="str">
        <f>IFERROR(IF($AQ413,INDEX(cpe!$C$2:$C$307,MATCH($AR413,cpe!$F$2:$F$307,0)),INDEX(cpe!$C$2:$C$307,MATCH($AR413,cpe!$D$2:$D$307,0))),"#N/D")</f>
        <v>#N/D</v>
      </c>
      <c r="I413" s="25" t="str">
        <f>IFERROR(IF($AQ413,INDEX(cpe!$B$2:$B$307,MATCH($AR413,cpe!$F$2:$F$307,0)),INDEX(cpe!$B$2:$B$307,MATCH($AR413,cpe!$D$2:$D$307,0))),"#N/D")</f>
        <v>#N/D</v>
      </c>
      <c r="J413" s="26" t="str">
        <f>IF($AQ413,"#N/D",IFERROR(INDEX(Olimpiadas!$B$2:$B$61,MATCH($AO413,Olimpiadas!$C$2:$C$61,0)),"#N/D"))</f>
        <v>#N/D</v>
      </c>
      <c r="K413" s="26" t="str">
        <f>IF($AQ413,"#N/D",IFERROR(INDEX(Olimpiadas!$A$2:$A$61,MATCH($AO413,Olimpiadas!$C$2:$C$61,0)),"#N/D"))</f>
        <v>#N/D</v>
      </c>
      <c r="L413" s="26" t="str">
        <f>IF($AQ413,"#N/D",IFERROR(INDEX(Minculturas!$A$2:$A$48,MATCH($AO413,Minculturas!$C$2:$C$48,0)),"#N/D"))</f>
        <v>#N/D</v>
      </c>
      <c r="M413" s="26" t="str">
        <f>IF($AQ413,"#N/D",IFERROR(INDEX(Minculturas!$B$2:$B$48,MATCH($AO413,Minculturas!$C$2:$C$48,0)),"#N/D"))</f>
        <v>#N/D</v>
      </c>
      <c r="N413" s="27">
        <v>2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1</v>
      </c>
      <c r="Z413" s="28">
        <v>0</v>
      </c>
      <c r="AA413" s="28">
        <v>0</v>
      </c>
      <c r="AB413" s="28">
        <v>1</v>
      </c>
      <c r="AC413" s="28">
        <v>0</v>
      </c>
      <c r="AD413" s="28">
        <v>0</v>
      </c>
      <c r="AE413" s="28">
        <v>0</v>
      </c>
      <c r="AF413" s="28">
        <v>0</v>
      </c>
      <c r="AG413" s="27">
        <f t="shared" si="105"/>
        <v>0</v>
      </c>
      <c r="AH413" s="28"/>
      <c r="AI413" s="28"/>
      <c r="AJ413" s="28">
        <v>20.2</v>
      </c>
      <c r="AK413" s="28"/>
      <c r="AL413" s="28"/>
      <c r="AM413" s="29" t="s">
        <v>114</v>
      </c>
      <c r="AO413" t="str">
        <f t="shared" si="106"/>
        <v>guachene</v>
      </c>
      <c r="AP413" t="str">
        <f t="shared" si="107"/>
        <v>cauca</v>
      </c>
      <c r="AQ413" t="b">
        <f t="shared" si="108"/>
        <v>0</v>
      </c>
      <c r="AR413" t="str">
        <f t="shared" si="109"/>
        <v>guachene</v>
      </c>
      <c r="AS413" s="30">
        <f t="shared" si="110"/>
        <v>0</v>
      </c>
      <c r="AT413" s="30">
        <f t="shared" si="111"/>
        <v>0</v>
      </c>
      <c r="AU413" s="30">
        <f t="shared" si="112"/>
        <v>0</v>
      </c>
      <c r="AV413" s="30">
        <f t="shared" si="113"/>
        <v>1</v>
      </c>
      <c r="AZ413" s="31">
        <f t="shared" si="114"/>
        <v>0</v>
      </c>
      <c r="BA413" s="31">
        <f t="shared" si="115"/>
        <v>0</v>
      </c>
      <c r="BB413" s="32">
        <f>IFERROR(INDEX('Análisis general'!$E$4:$E$28,MATCH($B413,'Análisis general'!$B$4:$B$28,0)),"")</f>
        <v>13</v>
      </c>
      <c r="BC413" s="31">
        <f t="shared" si="116"/>
        <v>3</v>
      </c>
      <c r="BD413" s="32">
        <f t="shared" si="117"/>
        <v>1.2857142857142856</v>
      </c>
      <c r="BE413" s="32">
        <f t="shared" si="118"/>
        <v>1.7999999999999998</v>
      </c>
    </row>
    <row r="414" spans="1:57" ht="25.5" customHeight="1" x14ac:dyDescent="0.25">
      <c r="A414" s="33" t="s">
        <v>1154</v>
      </c>
      <c r="B414" s="11" t="s">
        <v>29</v>
      </c>
      <c r="C414" s="34" t="s">
        <v>112</v>
      </c>
      <c r="D414" s="24">
        <f t="shared" si="102"/>
        <v>1</v>
      </c>
      <c r="E414" s="59">
        <f t="shared" si="103"/>
        <v>1.2857142857142856</v>
      </c>
      <c r="F414" s="59">
        <f t="shared" si="104"/>
        <v>1.7999999999999998</v>
      </c>
      <c r="G414" s="11" t="s">
        <v>1155</v>
      </c>
      <c r="H414" s="25" t="str">
        <f>IFERROR(IF($AQ414,INDEX(cpe!$C$2:$C$307,MATCH($AR414,cpe!$F$2:$F$307,0)),INDEX(cpe!$C$2:$C$307,MATCH($AR414,cpe!$D$2:$D$307,0))),"#N/D")</f>
        <v>#N/D</v>
      </c>
      <c r="I414" s="25" t="str">
        <f>IFERROR(IF($AQ414,INDEX(cpe!$B$2:$B$307,MATCH($AR414,cpe!$F$2:$F$307,0)),INDEX(cpe!$B$2:$B$307,MATCH($AR414,cpe!$D$2:$D$307,0))),"#N/D")</f>
        <v>#N/D</v>
      </c>
      <c r="J414" s="26" t="str">
        <f>IF($AQ414,"#N/D",IFERROR(INDEX(Olimpiadas!$B$2:$B$61,MATCH($AO414,Olimpiadas!$C$2:$C$61,0)),"#N/D"))</f>
        <v>#N/D</v>
      </c>
      <c r="K414" s="26" t="str">
        <f>IF($AQ414,"#N/D",IFERROR(INDEX(Olimpiadas!$A$2:$A$61,MATCH($AO414,Olimpiadas!$C$2:$C$61,0)),"#N/D"))</f>
        <v>#N/D</v>
      </c>
      <c r="L414" s="26" t="str">
        <f>IF($AQ414,"#N/D",IFERROR(INDEX(Minculturas!$A$2:$A$48,MATCH($AO414,Minculturas!$C$2:$C$48,0)),"#N/D"))</f>
        <v>#N/D</v>
      </c>
      <c r="M414" s="26" t="str">
        <f>IF($AQ414,"#N/D",IFERROR(INDEX(Minculturas!$B$2:$B$48,MATCH($AO414,Minculturas!$C$2:$C$48,0)),"#N/D"))</f>
        <v>#N/D</v>
      </c>
      <c r="N414" s="27">
        <v>1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1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8">
        <v>0</v>
      </c>
      <c r="AF414" s="28">
        <v>0</v>
      </c>
      <c r="AG414" s="27">
        <f t="shared" si="105"/>
        <v>0</v>
      </c>
      <c r="AH414" s="28"/>
      <c r="AI414" s="28"/>
      <c r="AJ414" s="28">
        <v>46.1</v>
      </c>
      <c r="AK414" s="28"/>
      <c r="AL414" s="28"/>
      <c r="AM414" s="29" t="s">
        <v>114</v>
      </c>
      <c r="AO414" t="str">
        <f t="shared" si="106"/>
        <v>pailitas</v>
      </c>
      <c r="AP414" t="str">
        <f t="shared" si="107"/>
        <v>cesar</v>
      </c>
      <c r="AQ414" t="b">
        <f t="shared" si="108"/>
        <v>0</v>
      </c>
      <c r="AR414" t="str">
        <f t="shared" si="109"/>
        <v>pailitas</v>
      </c>
      <c r="AS414" s="30">
        <f t="shared" si="110"/>
        <v>0</v>
      </c>
      <c r="AT414" s="30">
        <f t="shared" si="111"/>
        <v>0</v>
      </c>
      <c r="AU414" s="30">
        <f t="shared" si="112"/>
        <v>0</v>
      </c>
      <c r="AV414" s="30">
        <f t="shared" si="113"/>
        <v>1</v>
      </c>
      <c r="AZ414" s="31">
        <f t="shared" si="114"/>
        <v>0</v>
      </c>
      <c r="BA414" s="31">
        <f t="shared" si="115"/>
        <v>0</v>
      </c>
      <c r="BB414" s="32">
        <f>IFERROR(INDEX('Análisis general'!$E$4:$E$28,MATCH($B414,'Análisis general'!$B$4:$B$28,0)),"")</f>
        <v>14.8</v>
      </c>
      <c r="BC414" s="31">
        <f t="shared" si="116"/>
        <v>3</v>
      </c>
      <c r="BD414" s="32">
        <f t="shared" si="117"/>
        <v>1.2857142857142856</v>
      </c>
      <c r="BE414" s="32">
        <f t="shared" si="118"/>
        <v>1.7999999999999998</v>
      </c>
    </row>
    <row r="415" spans="1:57" ht="25.5" customHeight="1" x14ac:dyDescent="0.25">
      <c r="A415" s="33" t="s">
        <v>1156</v>
      </c>
      <c r="B415" s="11" t="s">
        <v>29</v>
      </c>
      <c r="C415" s="34" t="s">
        <v>112</v>
      </c>
      <c r="D415" s="24">
        <f t="shared" si="102"/>
        <v>1</v>
      </c>
      <c r="E415" s="59">
        <f t="shared" si="103"/>
        <v>1.2857142857142856</v>
      </c>
      <c r="F415" s="59">
        <f t="shared" si="104"/>
        <v>1.7999999999999998</v>
      </c>
      <c r="G415" s="11" t="s">
        <v>1157</v>
      </c>
      <c r="H415" s="25" t="s">
        <v>106</v>
      </c>
      <c r="I415" s="25" t="s">
        <v>106</v>
      </c>
      <c r="J415" s="26" t="s">
        <v>106</v>
      </c>
      <c r="K415" s="26" t="str">
        <f>IF($AQ415,"#N/D",IFERROR(INDEX(Olimpiadas!$A$2:$A$61,MATCH($AO415,Olimpiadas!$C$2:$C$61,0)),"#N/D"))</f>
        <v>#N/D</v>
      </c>
      <c r="L415" s="26" t="str">
        <f>IF($AQ415,"#N/D",IFERROR(INDEX(Minculturas!$A$2:$A$48,MATCH($AO415,Minculturas!$C$2:$C$48,0)),"#N/D"))</f>
        <v>#N/D</v>
      </c>
      <c r="M415" s="26" t="str">
        <f>IF($AQ415,"#N/D",IFERROR(INDEX(Minculturas!$B$2:$B$48,MATCH($AO415,Minculturas!$C$2:$C$48,0)),"#N/D"))</f>
        <v>#N/D</v>
      </c>
      <c r="N415" s="27">
        <v>1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1</v>
      </c>
      <c r="Z415" s="28">
        <v>0</v>
      </c>
      <c r="AA415" s="28">
        <v>0</v>
      </c>
      <c r="AB415" s="28">
        <v>0</v>
      </c>
      <c r="AC415" s="28">
        <v>0</v>
      </c>
      <c r="AD415" s="28">
        <v>0</v>
      </c>
      <c r="AE415" s="28">
        <v>0</v>
      </c>
      <c r="AF415" s="28">
        <v>0</v>
      </c>
      <c r="AG415" s="27">
        <f t="shared" si="105"/>
        <v>0</v>
      </c>
      <c r="AH415" s="28"/>
      <c r="AI415" s="28"/>
      <c r="AJ415" s="28">
        <v>40.700000000000003</v>
      </c>
      <c r="AK415" s="28"/>
      <c r="AL415" s="28"/>
      <c r="AM415" s="29" t="s">
        <v>114</v>
      </c>
      <c r="AO415" t="str">
        <f t="shared" si="106"/>
        <v>san diego</v>
      </c>
      <c r="AP415" t="str">
        <f t="shared" si="107"/>
        <v>cesar</v>
      </c>
      <c r="AQ415" t="b">
        <f t="shared" si="108"/>
        <v>0</v>
      </c>
      <c r="AR415" t="str">
        <f t="shared" si="109"/>
        <v>san diego</v>
      </c>
      <c r="AS415" s="30">
        <f t="shared" si="110"/>
        <v>0</v>
      </c>
      <c r="AT415" s="30">
        <f t="shared" si="111"/>
        <v>0</v>
      </c>
      <c r="AU415" s="30">
        <f t="shared" si="112"/>
        <v>0</v>
      </c>
      <c r="AV415" s="30">
        <f t="shared" si="113"/>
        <v>1</v>
      </c>
      <c r="AZ415" s="31">
        <f t="shared" si="114"/>
        <v>0</v>
      </c>
      <c r="BA415" s="31">
        <f t="shared" si="115"/>
        <v>0</v>
      </c>
      <c r="BB415" s="32">
        <f>IFERROR(INDEX('Análisis general'!$E$4:$E$28,MATCH($B415,'Análisis general'!$B$4:$B$28,0)),"")</f>
        <v>14.8</v>
      </c>
      <c r="BC415" s="31">
        <f t="shared" si="116"/>
        <v>3</v>
      </c>
      <c r="BD415" s="32">
        <f t="shared" si="117"/>
        <v>1.2857142857142856</v>
      </c>
      <c r="BE415" s="32">
        <f t="shared" si="118"/>
        <v>1.7999999999999998</v>
      </c>
    </row>
    <row r="416" spans="1:57" ht="25.5" customHeight="1" x14ac:dyDescent="0.25">
      <c r="A416" s="33" t="s">
        <v>1158</v>
      </c>
      <c r="B416" s="11" t="s">
        <v>39</v>
      </c>
      <c r="C416" s="34" t="s">
        <v>112</v>
      </c>
      <c r="D416" s="24">
        <f t="shared" si="102"/>
        <v>0</v>
      </c>
      <c r="E416" s="59">
        <f t="shared" si="103"/>
        <v>1.2857142857142856</v>
      </c>
      <c r="F416" s="59">
        <f t="shared" si="104"/>
        <v>1.7999999999999998</v>
      </c>
      <c r="G416" s="11" t="s">
        <v>1159</v>
      </c>
      <c r="H416" s="25" t="s">
        <v>106</v>
      </c>
      <c r="I416" s="25" t="s">
        <v>106</v>
      </c>
      <c r="J416" s="26" t="s">
        <v>106</v>
      </c>
      <c r="K416" s="26" t="str">
        <f>IF($AQ416,"#N/D",IFERROR(INDEX(Olimpiadas!$A$2:$A$61,MATCH($AO416,Olimpiadas!$C$2:$C$61,0)),"#N/D"))</f>
        <v>#N/D</v>
      </c>
      <c r="L416" s="26" t="str">
        <f>IF($AQ416,"#N/D",IFERROR(INDEX(Minculturas!$A$2:$A$48,MATCH($AO416,Minculturas!$C$2:$C$48,0)),"#N/D"))</f>
        <v>#N/D</v>
      </c>
      <c r="M416" s="26" t="str">
        <f>IF($AQ416,"#N/D",IFERROR(INDEX(Minculturas!$B$2:$B$48,MATCH($AO416,Minculturas!$C$2:$C$48,0)),"#N/D"))</f>
        <v>#N/D</v>
      </c>
      <c r="N416" s="27">
        <v>3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0</v>
      </c>
      <c r="X416" s="28">
        <v>0</v>
      </c>
      <c r="Y416" s="28">
        <v>3</v>
      </c>
      <c r="Z416" s="28">
        <v>0</v>
      </c>
      <c r="AA416" s="28">
        <v>0</v>
      </c>
      <c r="AB416" s="28">
        <v>0</v>
      </c>
      <c r="AC416" s="28">
        <v>0</v>
      </c>
      <c r="AD416" s="28">
        <v>0</v>
      </c>
      <c r="AE416" s="28">
        <v>0</v>
      </c>
      <c r="AF416" s="28">
        <v>0</v>
      </c>
      <c r="AG416" s="27">
        <f t="shared" si="105"/>
        <v>0</v>
      </c>
      <c r="AH416" s="28"/>
      <c r="AI416" s="28"/>
      <c r="AJ416" s="28">
        <v>24.4</v>
      </c>
      <c r="AK416" s="28"/>
      <c r="AL416" s="28"/>
      <c r="AM416" s="29" t="s">
        <v>114</v>
      </c>
      <c r="AO416" t="str">
        <f t="shared" si="106"/>
        <v>santa marta</v>
      </c>
      <c r="AP416" t="str">
        <f t="shared" si="107"/>
        <v>magdalena</v>
      </c>
      <c r="AQ416" t="b">
        <f t="shared" si="108"/>
        <v>0</v>
      </c>
      <c r="AR416" t="str">
        <f t="shared" si="109"/>
        <v>santa marta</v>
      </c>
      <c r="AS416" s="30">
        <f t="shared" si="110"/>
        <v>0</v>
      </c>
      <c r="AT416" s="30">
        <f t="shared" si="111"/>
        <v>0</v>
      </c>
      <c r="AU416" s="30">
        <f t="shared" si="112"/>
        <v>0</v>
      </c>
      <c r="AV416" s="30">
        <f t="shared" si="113"/>
        <v>0</v>
      </c>
      <c r="AZ416" s="31">
        <f t="shared" si="114"/>
        <v>0</v>
      </c>
      <c r="BA416" s="31">
        <f t="shared" si="115"/>
        <v>0</v>
      </c>
      <c r="BB416" s="32">
        <f>IFERROR(INDEX('Análisis general'!$E$4:$E$28,MATCH($B416,'Análisis general'!$B$4:$B$28,0)),"")</f>
        <v>17.600000000000001</v>
      </c>
      <c r="BC416" s="31">
        <f t="shared" si="116"/>
        <v>3</v>
      </c>
      <c r="BD416" s="32">
        <f t="shared" si="117"/>
        <v>1.2857142857142856</v>
      </c>
      <c r="BE416" s="32">
        <f t="shared" si="118"/>
        <v>1.7999999999999998</v>
      </c>
    </row>
    <row r="417" spans="1:57" ht="25.5" customHeight="1" x14ac:dyDescent="0.25">
      <c r="A417" s="33" t="s">
        <v>1160</v>
      </c>
      <c r="B417" s="11" t="s">
        <v>19</v>
      </c>
      <c r="C417" s="34" t="s">
        <v>112</v>
      </c>
      <c r="D417" s="24">
        <f t="shared" si="102"/>
        <v>1</v>
      </c>
      <c r="E417" s="59">
        <f t="shared" si="103"/>
        <v>1.2857142857142856</v>
      </c>
      <c r="F417" s="59">
        <f t="shared" si="104"/>
        <v>1.7999999999999998</v>
      </c>
      <c r="G417" s="11" t="s">
        <v>1161</v>
      </c>
      <c r="H417" s="25" t="s">
        <v>106</v>
      </c>
      <c r="I417" s="25" t="s">
        <v>106</v>
      </c>
      <c r="J417" s="26" t="s">
        <v>106</v>
      </c>
      <c r="K417" s="26" t="str">
        <f>IF($AQ417,"#N/D",IFERROR(INDEX(Olimpiadas!$A$2:$A$61,MATCH($AO417,Olimpiadas!$C$2:$C$61,0)),"#N/D"))</f>
        <v>#N/D</v>
      </c>
      <c r="L417" s="26" t="str">
        <f>IF($AQ417,"#N/D",IFERROR(INDEX(Minculturas!$A$2:$A$48,MATCH($AO417,Minculturas!$C$2:$C$48,0)),"#N/D"))</f>
        <v>#N/D</v>
      </c>
      <c r="M417" s="26" t="str">
        <f>IF($AQ417,"#N/D",IFERROR(INDEX(Minculturas!$B$2:$B$48,MATCH($AO417,Minculturas!$C$2:$C$48,0)),"#N/D"))</f>
        <v>#N/D</v>
      </c>
      <c r="N417" s="27">
        <v>1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1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0</v>
      </c>
      <c r="AF417" s="28">
        <v>0</v>
      </c>
      <c r="AG417" s="27">
        <f t="shared" si="105"/>
        <v>0</v>
      </c>
      <c r="AH417" s="28"/>
      <c r="AI417" s="28"/>
      <c r="AJ417" s="28">
        <v>30.4</v>
      </c>
      <c r="AK417" s="28"/>
      <c r="AL417" s="28"/>
      <c r="AM417" s="29" t="s">
        <v>114</v>
      </c>
      <c r="AO417" t="str">
        <f t="shared" si="106"/>
        <v>turbaco</v>
      </c>
      <c r="AP417" t="str">
        <f t="shared" si="107"/>
        <v>bolivar</v>
      </c>
      <c r="AQ417" t="b">
        <f t="shared" si="108"/>
        <v>0</v>
      </c>
      <c r="AR417" t="str">
        <f t="shared" si="109"/>
        <v>turbaco</v>
      </c>
      <c r="AS417" s="30">
        <f t="shared" si="110"/>
        <v>0</v>
      </c>
      <c r="AT417" s="30">
        <f t="shared" si="111"/>
        <v>0</v>
      </c>
      <c r="AU417" s="30">
        <f t="shared" si="112"/>
        <v>0</v>
      </c>
      <c r="AV417" s="30">
        <f t="shared" si="113"/>
        <v>1</v>
      </c>
      <c r="AZ417" s="31">
        <f t="shared" si="114"/>
        <v>0</v>
      </c>
      <c r="BA417" s="31">
        <f t="shared" si="115"/>
        <v>0</v>
      </c>
      <c r="BB417" s="32">
        <f>IFERROR(INDEX('Análisis general'!$E$4:$E$28,MATCH($B417,'Análisis general'!$B$4:$B$28,0)),"")</f>
        <v>17</v>
      </c>
      <c r="BC417" s="31">
        <f t="shared" si="116"/>
        <v>3</v>
      </c>
      <c r="BD417" s="32">
        <f t="shared" si="117"/>
        <v>1.2857142857142856</v>
      </c>
      <c r="BE417" s="32">
        <f t="shared" si="118"/>
        <v>1.7999999999999998</v>
      </c>
    </row>
    <row r="418" spans="1:57" ht="25.5" customHeight="1" x14ac:dyDescent="0.25">
      <c r="A418" s="33" t="s">
        <v>1167</v>
      </c>
      <c r="B418" s="11" t="s">
        <v>48</v>
      </c>
      <c r="C418" s="34" t="s">
        <v>112</v>
      </c>
      <c r="D418" s="24">
        <f t="shared" si="102"/>
        <v>2</v>
      </c>
      <c r="E418" s="59">
        <f t="shared" si="103"/>
        <v>2.1428571428571428</v>
      </c>
      <c r="F418" s="59">
        <f t="shared" si="104"/>
        <v>1.7999999999999998</v>
      </c>
      <c r="G418" s="11" t="s">
        <v>1168</v>
      </c>
      <c r="H418" s="25" t="str">
        <f>IFERROR(IF($AQ418,INDEX(cpe!$C$2:$C$307,MATCH($AR418,cpe!$F$2:$F$307,0)),INDEX(cpe!$C$2:$C$307,MATCH($AR418,cpe!$D$2:$D$307,0))),"#N/D")</f>
        <v>Institucion Educativa Jorge Eliecer Gaitan</v>
      </c>
      <c r="I418" s="25" t="str">
        <f>IFERROR(IF($AQ418,INDEX(cpe!$B$2:$B$307,MATCH($AR418,cpe!$F$2:$F$307,0)),INDEX(cpe!$B$2:$B$307,MATCH($AR418,cpe!$D$2:$D$307,0))),"#N/D")</f>
        <v>Icononzo</v>
      </c>
      <c r="J418" s="26" t="str">
        <f>IF($AQ418,"#N/D",IFERROR(INDEX(Olimpiadas!$B$2:$B$61,MATCH($AO418,Olimpiadas!$C$2:$C$61,0)),"#N/D"))</f>
        <v>#N/D</v>
      </c>
      <c r="K418" s="26" t="str">
        <f>IF($AQ418,"#N/D",IFERROR(INDEX(Olimpiadas!$A$2:$A$61,MATCH($AO418,Olimpiadas!$C$2:$C$61,0)),"#N/D"))</f>
        <v>#N/D</v>
      </c>
      <c r="L418" s="26" t="str">
        <f>IF($AQ418,"#N/D",IFERROR(INDEX(Minculturas!$A$2:$A$48,MATCH($AO418,Minculturas!$C$2:$C$48,0)),"#N/D"))</f>
        <v>#N/D</v>
      </c>
      <c r="M418" s="26" t="str">
        <f>IF($AQ418,"#N/D",IFERROR(INDEX(Minculturas!$B$2:$B$48,MATCH($AO418,Minculturas!$C$2:$C$48,0)),"#N/D"))</f>
        <v>#N/D</v>
      </c>
      <c r="N418" s="27">
        <v>1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1</v>
      </c>
      <c r="Z418" s="28">
        <v>0</v>
      </c>
      <c r="AA418" s="28">
        <v>0</v>
      </c>
      <c r="AB418" s="28">
        <v>0</v>
      </c>
      <c r="AC418" s="28">
        <v>0</v>
      </c>
      <c r="AD418" s="28">
        <v>0</v>
      </c>
      <c r="AE418" s="28">
        <v>0</v>
      </c>
      <c r="AF418" s="28">
        <v>0</v>
      </c>
      <c r="AG418" s="27">
        <f t="shared" si="105"/>
        <v>0</v>
      </c>
      <c r="AH418" s="28"/>
      <c r="AI418" s="28"/>
      <c r="AJ418" s="28">
        <v>33.700000000000003</v>
      </c>
      <c r="AK418" s="28"/>
      <c r="AL418" s="28"/>
      <c r="AM418" s="29" t="s">
        <v>114</v>
      </c>
      <c r="AO418" t="str">
        <f t="shared" si="106"/>
        <v>icononzo</v>
      </c>
      <c r="AP418" t="str">
        <f t="shared" si="107"/>
        <v>tolima</v>
      </c>
      <c r="AQ418" t="b">
        <f t="shared" si="108"/>
        <v>0</v>
      </c>
      <c r="AR418" t="str">
        <f t="shared" si="109"/>
        <v>icononzo</v>
      </c>
      <c r="AS418" s="30">
        <f t="shared" si="110"/>
        <v>1</v>
      </c>
      <c r="AT418" s="30">
        <f t="shared" si="111"/>
        <v>0</v>
      </c>
      <c r="AU418" s="30">
        <f t="shared" si="112"/>
        <v>0</v>
      </c>
      <c r="AV418" s="30">
        <f t="shared" si="113"/>
        <v>1</v>
      </c>
      <c r="AZ418" s="31">
        <f t="shared" si="114"/>
        <v>0</v>
      </c>
      <c r="BA418" s="31">
        <f t="shared" si="115"/>
        <v>1</v>
      </c>
      <c r="BB418" s="32">
        <f>IFERROR(INDEX('Análisis general'!$E$4:$E$28,MATCH($B418,'Análisis general'!$B$4:$B$28,0)),"")</f>
        <v>12.2</v>
      </c>
      <c r="BC418" s="31">
        <f t="shared" si="116"/>
        <v>3</v>
      </c>
      <c r="BD418" s="32">
        <f t="shared" si="117"/>
        <v>2.1428571428571428</v>
      </c>
      <c r="BE418" s="32">
        <f t="shared" si="118"/>
        <v>1.7999999999999998</v>
      </c>
    </row>
    <row r="419" spans="1:57" ht="25.5" customHeight="1" x14ac:dyDescent="0.25">
      <c r="A419" s="33" t="s">
        <v>1183</v>
      </c>
      <c r="B419" s="11" t="s">
        <v>46</v>
      </c>
      <c r="C419" s="34" t="s">
        <v>112</v>
      </c>
      <c r="D419" s="24">
        <f t="shared" si="102"/>
        <v>1</v>
      </c>
      <c r="E419" s="59">
        <f t="shared" si="103"/>
        <v>2.1428571428571428</v>
      </c>
      <c r="F419" s="59">
        <f t="shared" si="104"/>
        <v>1.7999999999999998</v>
      </c>
      <c r="G419" s="11" t="s">
        <v>1184</v>
      </c>
      <c r="H419" s="25" t="str">
        <f>IFERROR(IF($AQ419,INDEX(cpe!$C$2:$C$307,MATCH($AR419,cpe!$F$2:$F$307,0)),INDEX(cpe!$C$2:$C$307,MATCH($AR419,cpe!$D$2:$D$307,0))),"#N/D")</f>
        <v>Institucion Educativa Tecnica la Vega de los Padres</v>
      </c>
      <c r="I419" s="25" t="str">
        <f>IFERROR(IF($AQ419,INDEX(cpe!$B$2:$B$307,MATCH($AR419,cpe!$F$2:$F$307,0)),INDEX(cpe!$B$2:$B$307,MATCH($AR419,cpe!$D$2:$D$307,0))),"#N/D")</f>
        <v>Floridablanca</v>
      </c>
      <c r="J419" s="26" t="str">
        <f>IF($AQ419,"#N/D",IFERROR(INDEX(Olimpiadas!$B$2:$B$61,MATCH($AO419,Olimpiadas!$C$2:$C$61,0)),"#N/D"))</f>
        <v>#N/D</v>
      </c>
      <c r="K419" s="26" t="str">
        <f>IF($AQ419,"#N/D",IFERROR(INDEX(Olimpiadas!$A$2:$A$61,MATCH($AO419,Olimpiadas!$C$2:$C$61,0)),"#N/D"))</f>
        <v>#N/D</v>
      </c>
      <c r="L419" s="26" t="str">
        <f>IF($AQ419,"#N/D",IFERROR(INDEX(Minculturas!$A$2:$A$48,MATCH($AO419,Minculturas!$C$2:$C$48,0)),"#N/D"))</f>
        <v>#N/D</v>
      </c>
      <c r="M419" s="26" t="str">
        <f>IF($AQ419,"#N/D",IFERROR(INDEX(Minculturas!$B$2:$B$48,MATCH($AO419,Minculturas!$C$2:$C$48,0)),"#N/D"))</f>
        <v>#N/D</v>
      </c>
      <c r="N419" s="27">
        <v>2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2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  <c r="AE419" s="28">
        <v>0</v>
      </c>
      <c r="AF419" s="28">
        <v>0</v>
      </c>
      <c r="AG419" s="27">
        <f t="shared" si="105"/>
        <v>0</v>
      </c>
      <c r="AH419" s="28"/>
      <c r="AI419" s="28"/>
      <c r="AJ419" s="28">
        <v>11</v>
      </c>
      <c r="AK419" s="28"/>
      <c r="AL419" s="28"/>
      <c r="AM419" s="29" t="s">
        <v>114</v>
      </c>
      <c r="AO419" t="str">
        <f t="shared" si="106"/>
        <v>floridablanca</v>
      </c>
      <c r="AP419" t="str">
        <f t="shared" si="107"/>
        <v>santander</v>
      </c>
      <c r="AQ419" t="b">
        <f t="shared" si="108"/>
        <v>0</v>
      </c>
      <c r="AR419" t="str">
        <f t="shared" si="109"/>
        <v>floridablanca</v>
      </c>
      <c r="AS419" s="30">
        <f t="shared" si="110"/>
        <v>1</v>
      </c>
      <c r="AT419" s="30">
        <f t="shared" si="111"/>
        <v>0</v>
      </c>
      <c r="AU419" s="30">
        <f t="shared" si="112"/>
        <v>0</v>
      </c>
      <c r="AV419" s="30">
        <f t="shared" si="113"/>
        <v>0</v>
      </c>
      <c r="AZ419" s="31">
        <f t="shared" si="114"/>
        <v>0</v>
      </c>
      <c r="BA419" s="31">
        <f t="shared" si="115"/>
        <v>1</v>
      </c>
      <c r="BB419" s="32">
        <f>IFERROR(INDEX('Análisis general'!$E$4:$E$28,MATCH($B419,'Análisis general'!$B$4:$B$28,0)),"")</f>
        <v>6.9</v>
      </c>
      <c r="BC419" s="31">
        <f t="shared" si="116"/>
        <v>3</v>
      </c>
      <c r="BD419" s="32">
        <f t="shared" si="117"/>
        <v>2.1428571428571428</v>
      </c>
      <c r="BE419" s="32">
        <f t="shared" si="118"/>
        <v>1.7999999999999998</v>
      </c>
    </row>
    <row r="420" spans="1:57" ht="25.5" customHeight="1" x14ac:dyDescent="0.25">
      <c r="A420" s="33" t="s">
        <v>1185</v>
      </c>
      <c r="B420" s="11" t="s">
        <v>22</v>
      </c>
      <c r="C420" s="34" t="s">
        <v>112</v>
      </c>
      <c r="D420" s="24">
        <f t="shared" si="102"/>
        <v>2</v>
      </c>
      <c r="E420" s="59">
        <f t="shared" si="103"/>
        <v>2.1428571428571428</v>
      </c>
      <c r="F420" s="59">
        <f t="shared" si="104"/>
        <v>1.7999999999999998</v>
      </c>
      <c r="G420" s="11" t="s">
        <v>1186</v>
      </c>
      <c r="H420" s="25" t="s">
        <v>106</v>
      </c>
      <c r="I420" s="25" t="s">
        <v>106</v>
      </c>
      <c r="J420" s="26" t="s">
        <v>1186</v>
      </c>
      <c r="K420" s="26" t="str">
        <f>IF($AQ420,"#N/D",IFERROR(INDEX(Olimpiadas!$A$2:$A$61,MATCH($AO420,Olimpiadas!$C$2:$C$61,0)),"#N/D"))</f>
        <v>INSTITUCIÓN EDUCATIVA SILVINO RODRÍGUEZ</v>
      </c>
      <c r="L420" s="26" t="str">
        <f>IF($AQ420,"#N/D",IFERROR(INDEX(Minculturas!$A$2:$A$48,MATCH($AO420,Minculturas!$C$2:$C$48,0)),"#N/D"))</f>
        <v>#N/D</v>
      </c>
      <c r="M420" s="26" t="str">
        <f>IF($AQ420,"#N/D",IFERROR(INDEX(Minculturas!$B$2:$B$48,MATCH($AO420,Minculturas!$C$2:$C$48,0)),"#N/D"))</f>
        <v>#N/D</v>
      </c>
      <c r="N420" s="27">
        <v>1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1</v>
      </c>
      <c r="Z420" s="28">
        <v>0</v>
      </c>
      <c r="AA420" s="28">
        <v>0</v>
      </c>
      <c r="AB420" s="28">
        <v>0</v>
      </c>
      <c r="AC420" s="28">
        <v>0</v>
      </c>
      <c r="AD420" s="28">
        <v>0</v>
      </c>
      <c r="AE420" s="28">
        <v>0</v>
      </c>
      <c r="AF420" s="28">
        <v>0</v>
      </c>
      <c r="AG420" s="27">
        <f t="shared" si="105"/>
        <v>0</v>
      </c>
      <c r="AH420" s="28"/>
      <c r="AI420" s="28"/>
      <c r="AJ420" s="28">
        <v>11.4</v>
      </c>
      <c r="AK420" s="28"/>
      <c r="AL420" s="28"/>
      <c r="AM420" s="29" t="s">
        <v>114</v>
      </c>
      <c r="AO420" t="str">
        <f t="shared" si="106"/>
        <v>tunja</v>
      </c>
      <c r="AP420" t="str">
        <f t="shared" si="107"/>
        <v>boyaca</v>
      </c>
      <c r="AQ420" t="b">
        <f t="shared" si="108"/>
        <v>0</v>
      </c>
      <c r="AR420" t="str">
        <f t="shared" si="109"/>
        <v>tunja</v>
      </c>
      <c r="AS420" s="30">
        <f t="shared" si="110"/>
        <v>1</v>
      </c>
      <c r="AT420" s="30">
        <f t="shared" si="111"/>
        <v>0</v>
      </c>
      <c r="AU420" s="30">
        <f t="shared" si="112"/>
        <v>0</v>
      </c>
      <c r="AV420" s="30">
        <f t="shared" si="113"/>
        <v>1</v>
      </c>
      <c r="AZ420" s="31">
        <f t="shared" si="114"/>
        <v>0</v>
      </c>
      <c r="BA420" s="31">
        <f t="shared" si="115"/>
        <v>1</v>
      </c>
      <c r="BB420" s="32">
        <f>IFERROR(INDEX('Análisis general'!$E$4:$E$28,MATCH($B420,'Análisis general'!$B$4:$B$28,0)),"")</f>
        <v>6.4</v>
      </c>
      <c r="BC420" s="31">
        <f t="shared" si="116"/>
        <v>3</v>
      </c>
      <c r="BD420" s="32">
        <f t="shared" si="117"/>
        <v>2.1428571428571428</v>
      </c>
      <c r="BE420" s="32">
        <f t="shared" si="118"/>
        <v>1.7999999999999998</v>
      </c>
    </row>
    <row r="421" spans="1:57" ht="25.5" customHeight="1" x14ac:dyDescent="0.25">
      <c r="A421" s="33" t="s">
        <v>1187</v>
      </c>
      <c r="B421" s="11" t="s">
        <v>10</v>
      </c>
      <c r="C421" s="34" t="s">
        <v>112</v>
      </c>
      <c r="D421" s="24">
        <f t="shared" si="102"/>
        <v>1</v>
      </c>
      <c r="E421" s="59">
        <f t="shared" si="103"/>
        <v>1.2857142857142856</v>
      </c>
      <c r="F421" s="59">
        <f t="shared" si="104"/>
        <v>1.7999999999999998</v>
      </c>
      <c r="G421" s="11" t="s">
        <v>428</v>
      </c>
      <c r="H421" s="25" t="str">
        <f>IFERROR(IF($AQ421,INDEX(cpe!$C$2:$C$307,MATCH($AR421,cpe!$F$2:$F$307,0)),INDEX(cpe!$C$2:$C$307,MATCH($AR421,cpe!$D$2:$D$307,0))),"#N/D")</f>
        <v>#N/D</v>
      </c>
      <c r="I421" s="25" t="str">
        <f>IFERROR(IF($AQ421,INDEX(cpe!$B$2:$B$307,MATCH($AR421,cpe!$F$2:$F$307,0)),INDEX(cpe!$B$2:$B$307,MATCH($AR421,cpe!$D$2:$D$307,0))),"#N/D")</f>
        <v>#N/D</v>
      </c>
      <c r="J421" s="26" t="str">
        <f>IF($AQ421,"#N/D",IFERROR(INDEX(Olimpiadas!$B$2:$B$61,MATCH($AO421,Olimpiadas!$C$2:$C$61,0)),"#N/D"))</f>
        <v>#N/D</v>
      </c>
      <c r="K421" s="26" t="str">
        <f>IF($AQ421,"#N/D",IFERROR(INDEX(Olimpiadas!$A$2:$A$61,MATCH($AO421,Olimpiadas!$C$2:$C$61,0)),"#N/D"))</f>
        <v>#N/D</v>
      </c>
      <c r="L421" s="26" t="str">
        <f>IF($AQ421,"#N/D",IFERROR(INDEX(Minculturas!$A$2:$A$48,MATCH($AO421,Minculturas!$C$2:$C$48,0)),"#N/D"))</f>
        <v>#N/D</v>
      </c>
      <c r="M421" s="26" t="str">
        <f>IF($AQ421,"#N/D",IFERROR(INDEX(Minculturas!$B$2:$B$48,MATCH($AO421,Minculturas!$C$2:$C$48,0)),"#N/D"))</f>
        <v>#N/D</v>
      </c>
      <c r="N421" s="27">
        <v>1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1</v>
      </c>
      <c r="Z421" s="28">
        <v>0</v>
      </c>
      <c r="AA421" s="28">
        <v>0</v>
      </c>
      <c r="AB421" s="28">
        <v>0</v>
      </c>
      <c r="AC421" s="28">
        <v>0</v>
      </c>
      <c r="AD421" s="28">
        <v>0</v>
      </c>
      <c r="AE421" s="28">
        <v>0</v>
      </c>
      <c r="AF421" s="28">
        <v>0</v>
      </c>
      <c r="AG421" s="27">
        <f t="shared" si="105"/>
        <v>0</v>
      </c>
      <c r="AH421" s="28"/>
      <c r="AI421" s="28"/>
      <c r="AJ421" s="28">
        <v>29.6</v>
      </c>
      <c r="AK421" s="28"/>
      <c r="AL421" s="28"/>
      <c r="AM421" s="29" t="s">
        <v>114</v>
      </c>
      <c r="AO421" t="str">
        <f t="shared" si="106"/>
        <v>granada</v>
      </c>
      <c r="AP421" t="str">
        <f t="shared" si="107"/>
        <v>antioquia</v>
      </c>
      <c r="AQ421" t="b">
        <f t="shared" si="108"/>
        <v>1</v>
      </c>
      <c r="AR421" t="str">
        <f t="shared" si="109"/>
        <v>granada|antioquia</v>
      </c>
      <c r="AS421" s="30">
        <f t="shared" si="110"/>
        <v>0</v>
      </c>
      <c r="AT421" s="30">
        <f t="shared" si="111"/>
        <v>0</v>
      </c>
      <c r="AU421" s="30">
        <f t="shared" si="112"/>
        <v>0</v>
      </c>
      <c r="AV421" s="30">
        <f t="shared" si="113"/>
        <v>1</v>
      </c>
      <c r="AZ421" s="31">
        <f t="shared" si="114"/>
        <v>0</v>
      </c>
      <c r="BA421" s="31">
        <f t="shared" si="115"/>
        <v>0</v>
      </c>
      <c r="BB421" s="32">
        <f>IFERROR(INDEX('Análisis general'!$E$4:$E$28,MATCH($B421,'Análisis general'!$B$4:$B$28,0)),"")</f>
        <v>9.5</v>
      </c>
      <c r="BC421" s="31">
        <f t="shared" si="116"/>
        <v>3</v>
      </c>
      <c r="BD421" s="32">
        <f t="shared" si="117"/>
        <v>1.2857142857142856</v>
      </c>
      <c r="BE421" s="32">
        <f t="shared" si="118"/>
        <v>1.7999999999999998</v>
      </c>
    </row>
    <row r="422" spans="1:57" ht="25.5" customHeight="1" x14ac:dyDescent="0.25">
      <c r="A422" s="33" t="s">
        <v>1188</v>
      </c>
      <c r="B422" s="11" t="s">
        <v>10</v>
      </c>
      <c r="C422" s="34" t="s">
        <v>112</v>
      </c>
      <c r="D422" s="24">
        <f t="shared" si="102"/>
        <v>0</v>
      </c>
      <c r="E422" s="59">
        <f t="shared" si="103"/>
        <v>1.2857142857142856</v>
      </c>
      <c r="F422" s="59">
        <f t="shared" si="104"/>
        <v>1.7999999999999998</v>
      </c>
      <c r="G422" s="11" t="s">
        <v>1189</v>
      </c>
      <c r="H422" s="25" t="str">
        <f>IFERROR(IF($AQ422,INDEX(cpe!$C$2:$C$307,MATCH($AR422,cpe!$F$2:$F$307,0)),INDEX(cpe!$C$2:$C$307,MATCH($AR422,cpe!$D$2:$D$307,0))),"#N/D")</f>
        <v>#N/D</v>
      </c>
      <c r="I422" s="25" t="str">
        <f>IFERROR(IF($AQ422,INDEX(cpe!$B$2:$B$307,MATCH($AR422,cpe!$F$2:$F$307,0)),INDEX(cpe!$B$2:$B$307,MATCH($AR422,cpe!$D$2:$D$307,0))),"#N/D")</f>
        <v>#N/D</v>
      </c>
      <c r="J422" s="26" t="str">
        <f>IF($AQ422,"#N/D",IFERROR(INDEX(Olimpiadas!$B$2:$B$61,MATCH($AO422,Olimpiadas!$C$2:$C$61,0)),"#N/D"))</f>
        <v>#N/D</v>
      </c>
      <c r="K422" s="26" t="str">
        <f>IF($AQ422,"#N/D",IFERROR(INDEX(Olimpiadas!$A$2:$A$61,MATCH($AO422,Olimpiadas!$C$2:$C$61,0)),"#N/D"))</f>
        <v>#N/D</v>
      </c>
      <c r="L422" s="26" t="str">
        <f>IF($AQ422,"#N/D",IFERROR(INDEX(Minculturas!$A$2:$A$48,MATCH($AO422,Minculturas!$C$2:$C$48,0)),"#N/D"))</f>
        <v>#N/D</v>
      </c>
      <c r="M422" s="26" t="str">
        <f>IF($AQ422,"#N/D",IFERROR(INDEX(Minculturas!$B$2:$B$48,MATCH($AO422,Minculturas!$C$2:$C$48,0)),"#N/D"))</f>
        <v>#N/D</v>
      </c>
      <c r="N422" s="27">
        <v>2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2</v>
      </c>
      <c r="Z422" s="28">
        <v>0</v>
      </c>
      <c r="AA422" s="28">
        <v>0</v>
      </c>
      <c r="AB422" s="28">
        <v>0</v>
      </c>
      <c r="AC422" s="28">
        <v>0</v>
      </c>
      <c r="AD422" s="28">
        <v>0</v>
      </c>
      <c r="AE422" s="28">
        <v>0</v>
      </c>
      <c r="AF422" s="28">
        <v>0</v>
      </c>
      <c r="AG422" s="27">
        <f t="shared" si="105"/>
        <v>0</v>
      </c>
      <c r="AH422" s="28"/>
      <c r="AI422" s="28"/>
      <c r="AJ422" s="28">
        <v>10.9</v>
      </c>
      <c r="AK422" s="28"/>
      <c r="AL422" s="28"/>
      <c r="AM422" s="29" t="s">
        <v>114</v>
      </c>
      <c r="AO422" t="str">
        <f t="shared" si="106"/>
        <v>itagüi</v>
      </c>
      <c r="AP422" t="str">
        <f t="shared" si="107"/>
        <v>antioquia</v>
      </c>
      <c r="AQ422" t="b">
        <f t="shared" si="108"/>
        <v>0</v>
      </c>
      <c r="AR422" t="str">
        <f t="shared" si="109"/>
        <v>itagüi</v>
      </c>
      <c r="AS422" s="30">
        <f t="shared" si="110"/>
        <v>0</v>
      </c>
      <c r="AT422" s="30">
        <f t="shared" si="111"/>
        <v>0</v>
      </c>
      <c r="AU422" s="30">
        <f t="shared" si="112"/>
        <v>0</v>
      </c>
      <c r="AV422" s="30">
        <f t="shared" si="113"/>
        <v>0</v>
      </c>
      <c r="AZ422" s="31">
        <f t="shared" si="114"/>
        <v>0</v>
      </c>
      <c r="BA422" s="31">
        <f t="shared" si="115"/>
        <v>0</v>
      </c>
      <c r="BB422" s="32">
        <f>IFERROR(INDEX('Análisis general'!$E$4:$E$28,MATCH($B422,'Análisis general'!$B$4:$B$28,0)),"")</f>
        <v>9.5</v>
      </c>
      <c r="BC422" s="31">
        <f t="shared" si="116"/>
        <v>3</v>
      </c>
      <c r="BD422" s="32">
        <f t="shared" si="117"/>
        <v>1.2857142857142856</v>
      </c>
      <c r="BE422" s="32">
        <f t="shared" si="118"/>
        <v>1.7999999999999998</v>
      </c>
    </row>
    <row r="423" spans="1:57" ht="25.5" customHeight="1" x14ac:dyDescent="0.25">
      <c r="A423" s="33" t="s">
        <v>1190</v>
      </c>
      <c r="B423" s="11" t="s">
        <v>10</v>
      </c>
      <c r="C423" s="34" t="s">
        <v>112</v>
      </c>
      <c r="D423" s="24">
        <f t="shared" si="102"/>
        <v>1</v>
      </c>
      <c r="E423" s="59">
        <f t="shared" si="103"/>
        <v>1.2857142857142856</v>
      </c>
      <c r="F423" s="59">
        <f t="shared" si="104"/>
        <v>1.7999999999999998</v>
      </c>
      <c r="G423" s="11" t="s">
        <v>1191</v>
      </c>
      <c r="H423" s="25" t="str">
        <f>IFERROR(IF($AQ423,INDEX(cpe!$C$2:$C$307,MATCH($AR423,cpe!$F$2:$F$307,0)),INDEX(cpe!$C$2:$C$307,MATCH($AR423,cpe!$D$2:$D$307,0))),"#N/D")</f>
        <v>#N/D</v>
      </c>
      <c r="I423" s="25" t="str">
        <f>IFERROR(IF($AQ423,INDEX(cpe!$B$2:$B$307,MATCH($AR423,cpe!$F$2:$F$307,0)),INDEX(cpe!$B$2:$B$307,MATCH($AR423,cpe!$D$2:$D$307,0))),"#N/D")</f>
        <v>#N/D</v>
      </c>
      <c r="J423" s="26" t="str">
        <f>IF($AQ423,"#N/D",IFERROR(INDEX(Olimpiadas!$B$2:$B$61,MATCH($AO423,Olimpiadas!$C$2:$C$61,0)),"#N/D"))</f>
        <v>#N/D</v>
      </c>
      <c r="K423" s="26" t="str">
        <f>IF($AQ423,"#N/D",IFERROR(INDEX(Olimpiadas!$A$2:$A$61,MATCH($AO423,Olimpiadas!$C$2:$C$61,0)),"#N/D"))</f>
        <v>#N/D</v>
      </c>
      <c r="L423" s="26" t="str">
        <f>IF($AQ423,"#N/D",IFERROR(INDEX(Minculturas!$A$2:$A$48,MATCH($AO423,Minculturas!$C$2:$C$48,0)),"#N/D"))</f>
        <v>#N/D</v>
      </c>
      <c r="M423" s="26" t="str">
        <f>IF($AQ423,"#N/D",IFERROR(INDEX(Minculturas!$B$2:$B$48,MATCH($AO423,Minculturas!$C$2:$C$48,0)),"#N/D"))</f>
        <v>#N/D</v>
      </c>
      <c r="N423" s="27">
        <v>2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1</v>
      </c>
      <c r="Z423" s="28">
        <v>0</v>
      </c>
      <c r="AA423" s="28">
        <v>0</v>
      </c>
      <c r="AB423" s="28">
        <v>1</v>
      </c>
      <c r="AC423" s="28">
        <v>0</v>
      </c>
      <c r="AD423" s="28">
        <v>0</v>
      </c>
      <c r="AE423" s="28">
        <v>0</v>
      </c>
      <c r="AF423" s="28">
        <v>0</v>
      </c>
      <c r="AG423" s="27">
        <f t="shared" si="105"/>
        <v>0</v>
      </c>
      <c r="AH423" s="28"/>
      <c r="AI423" s="28"/>
      <c r="AJ423" s="28">
        <v>15.4</v>
      </c>
      <c r="AK423" s="28"/>
      <c r="AL423" s="28"/>
      <c r="AM423" s="29" t="s">
        <v>114</v>
      </c>
      <c r="AO423" t="str">
        <f t="shared" si="106"/>
        <v>marinilla</v>
      </c>
      <c r="AP423" t="str">
        <f t="shared" si="107"/>
        <v>antioquia</v>
      </c>
      <c r="AQ423" t="b">
        <f t="shared" si="108"/>
        <v>0</v>
      </c>
      <c r="AR423" t="str">
        <f t="shared" si="109"/>
        <v>marinilla</v>
      </c>
      <c r="AS423" s="30">
        <f t="shared" si="110"/>
        <v>0</v>
      </c>
      <c r="AT423" s="30">
        <f t="shared" si="111"/>
        <v>0</v>
      </c>
      <c r="AU423" s="30">
        <f t="shared" si="112"/>
        <v>0</v>
      </c>
      <c r="AV423" s="30">
        <f t="shared" si="113"/>
        <v>1</v>
      </c>
      <c r="AZ423" s="31">
        <f t="shared" si="114"/>
        <v>0</v>
      </c>
      <c r="BA423" s="31">
        <f t="shared" si="115"/>
        <v>0</v>
      </c>
      <c r="BB423" s="32">
        <f>IFERROR(INDEX('Análisis general'!$E$4:$E$28,MATCH($B423,'Análisis general'!$B$4:$B$28,0)),"")</f>
        <v>9.5</v>
      </c>
      <c r="BC423" s="31">
        <f t="shared" si="116"/>
        <v>3</v>
      </c>
      <c r="BD423" s="32">
        <f t="shared" si="117"/>
        <v>1.2857142857142856</v>
      </c>
      <c r="BE423" s="32">
        <f t="shared" si="118"/>
        <v>1.7999999999999998</v>
      </c>
    </row>
    <row r="424" spans="1:57" ht="25.5" customHeight="1" x14ac:dyDescent="0.25">
      <c r="A424" s="33" t="s">
        <v>1192</v>
      </c>
      <c r="B424" s="11" t="s">
        <v>10</v>
      </c>
      <c r="C424" s="34" t="s">
        <v>112</v>
      </c>
      <c r="D424" s="24">
        <f t="shared" si="102"/>
        <v>0</v>
      </c>
      <c r="E424" s="59">
        <f t="shared" si="103"/>
        <v>1.2857142857142856</v>
      </c>
      <c r="F424" s="59">
        <f t="shared" si="104"/>
        <v>1.7999999999999998</v>
      </c>
      <c r="G424" s="11" t="s">
        <v>1193</v>
      </c>
      <c r="H424" s="25" t="s">
        <v>106</v>
      </c>
      <c r="I424" s="25" t="s">
        <v>106</v>
      </c>
      <c r="J424" s="26" t="s">
        <v>106</v>
      </c>
      <c r="K424" s="26" t="str">
        <f>IF($AQ424,"#N/D",IFERROR(INDEX(Olimpiadas!$A$2:$A$61,MATCH($AO424,Olimpiadas!$C$2:$C$61,0)),"#N/D"))</f>
        <v>#N/D</v>
      </c>
      <c r="L424" s="26" t="str">
        <f>IF($AQ424,"#N/D",IFERROR(INDEX(Minculturas!$A$2:$A$48,MATCH($AO424,Minculturas!$C$2:$C$48,0)),"#N/D"))</f>
        <v>#N/D</v>
      </c>
      <c r="M424" s="26" t="str">
        <f>IF($AQ424,"#N/D",IFERROR(INDEX(Minculturas!$B$2:$B$48,MATCH($AO424,Minculturas!$C$2:$C$48,0)),"#N/D"))</f>
        <v>#N/D</v>
      </c>
      <c r="N424" s="27">
        <v>2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8">
        <v>0</v>
      </c>
      <c r="U424" s="28">
        <v>0</v>
      </c>
      <c r="V424" s="28">
        <v>0</v>
      </c>
      <c r="W424" s="28">
        <v>0</v>
      </c>
      <c r="X424" s="28">
        <v>0</v>
      </c>
      <c r="Y424" s="28">
        <v>2</v>
      </c>
      <c r="Z424" s="28">
        <v>0</v>
      </c>
      <c r="AA424" s="28">
        <v>0</v>
      </c>
      <c r="AB424" s="28">
        <v>0</v>
      </c>
      <c r="AC424" s="28">
        <v>0</v>
      </c>
      <c r="AD424" s="28">
        <v>0</v>
      </c>
      <c r="AE424" s="28">
        <v>0</v>
      </c>
      <c r="AF424" s="28">
        <v>0</v>
      </c>
      <c r="AG424" s="27">
        <f t="shared" si="105"/>
        <v>0</v>
      </c>
      <c r="AH424" s="28"/>
      <c r="AI424" s="28"/>
      <c r="AJ424" s="28">
        <v>44</v>
      </c>
      <c r="AK424" s="28"/>
      <c r="AL424" s="28"/>
      <c r="AM424" s="29" t="s">
        <v>657</v>
      </c>
      <c r="AO424" t="str">
        <f t="shared" si="106"/>
        <v>yali</v>
      </c>
      <c r="AP424" t="str">
        <f t="shared" si="107"/>
        <v>antioquia</v>
      </c>
      <c r="AQ424" t="b">
        <f t="shared" si="108"/>
        <v>0</v>
      </c>
      <c r="AR424" t="str">
        <f t="shared" si="109"/>
        <v>yali</v>
      </c>
      <c r="AS424" s="30">
        <f t="shared" si="110"/>
        <v>0</v>
      </c>
      <c r="AT424" s="30">
        <f t="shared" si="111"/>
        <v>0</v>
      </c>
      <c r="AU424" s="30">
        <f t="shared" si="112"/>
        <v>0</v>
      </c>
      <c r="AV424" s="30">
        <f t="shared" si="113"/>
        <v>0</v>
      </c>
      <c r="AZ424" s="31">
        <f t="shared" si="114"/>
        <v>0</v>
      </c>
      <c r="BA424" s="31">
        <f t="shared" si="115"/>
        <v>0</v>
      </c>
      <c r="BB424" s="32">
        <f>IFERROR(INDEX('Análisis general'!$E$4:$E$28,MATCH($B424,'Análisis general'!$B$4:$B$28,0)),"")</f>
        <v>9.5</v>
      </c>
      <c r="BC424" s="31">
        <f t="shared" si="116"/>
        <v>3</v>
      </c>
      <c r="BD424" s="32">
        <f t="shared" si="117"/>
        <v>1.2857142857142856</v>
      </c>
      <c r="BE424" s="32">
        <f t="shared" si="118"/>
        <v>1.7999999999999998</v>
      </c>
    </row>
    <row r="425" spans="1:57" ht="25.5" customHeight="1" x14ac:dyDescent="0.25">
      <c r="A425" s="33" t="s">
        <v>1194</v>
      </c>
      <c r="B425" s="11" t="s">
        <v>10</v>
      </c>
      <c r="C425" s="34" t="s">
        <v>112</v>
      </c>
      <c r="D425" s="24">
        <f t="shared" si="102"/>
        <v>1</v>
      </c>
      <c r="E425" s="59">
        <f t="shared" si="103"/>
        <v>1.2857142857142856</v>
      </c>
      <c r="F425" s="59">
        <f t="shared" si="104"/>
        <v>1.7999999999999998</v>
      </c>
      <c r="G425" s="11" t="s">
        <v>1195</v>
      </c>
      <c r="H425" s="25" t="s">
        <v>106</v>
      </c>
      <c r="I425" s="25" t="s">
        <v>106</v>
      </c>
      <c r="J425" s="26" t="s">
        <v>106</v>
      </c>
      <c r="K425" s="26" t="str">
        <f>IF($AQ425,"#N/D",IFERROR(INDEX(Olimpiadas!$A$2:$A$61,MATCH($AO425,Olimpiadas!$C$2:$C$61,0)),"#N/D"))</f>
        <v>#N/D</v>
      </c>
      <c r="L425" s="26" t="str">
        <f>IF($AQ425,"#N/D",IFERROR(INDEX(Minculturas!$A$2:$A$48,MATCH($AO425,Minculturas!$C$2:$C$48,0)),"#N/D"))</f>
        <v>#N/D</v>
      </c>
      <c r="M425" s="26" t="str">
        <f>IF($AQ425,"#N/D",IFERROR(INDEX(Minculturas!$B$2:$B$48,MATCH($AO425,Minculturas!$C$2:$C$48,0)),"#N/D"))</f>
        <v>#N/D</v>
      </c>
      <c r="N425" s="27">
        <v>1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1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8">
        <v>0</v>
      </c>
      <c r="AF425" s="28">
        <v>0</v>
      </c>
      <c r="AG425" s="27">
        <f t="shared" si="105"/>
        <v>0</v>
      </c>
      <c r="AH425" s="28"/>
      <c r="AI425" s="28"/>
      <c r="AJ425" s="28">
        <v>46.3</v>
      </c>
      <c r="AK425" s="28"/>
      <c r="AL425" s="28"/>
      <c r="AM425" s="29" t="s">
        <v>365</v>
      </c>
      <c r="AO425" t="str">
        <f t="shared" si="106"/>
        <v>yondo</v>
      </c>
      <c r="AP425" t="str">
        <f t="shared" si="107"/>
        <v>antioquia</v>
      </c>
      <c r="AQ425" t="b">
        <f t="shared" si="108"/>
        <v>0</v>
      </c>
      <c r="AR425" t="str">
        <f t="shared" si="109"/>
        <v>yondo</v>
      </c>
      <c r="AS425" s="30">
        <f t="shared" si="110"/>
        <v>0</v>
      </c>
      <c r="AT425" s="30">
        <f t="shared" si="111"/>
        <v>0</v>
      </c>
      <c r="AU425" s="30">
        <f t="shared" si="112"/>
        <v>0</v>
      </c>
      <c r="AV425" s="30">
        <f t="shared" si="113"/>
        <v>1</v>
      </c>
      <c r="AZ425" s="31">
        <f t="shared" si="114"/>
        <v>0</v>
      </c>
      <c r="BA425" s="31">
        <f t="shared" si="115"/>
        <v>0</v>
      </c>
      <c r="BB425" s="32">
        <f>IFERROR(INDEX('Análisis general'!$E$4:$E$28,MATCH($B425,'Análisis general'!$B$4:$B$28,0)),"")</f>
        <v>9.5</v>
      </c>
      <c r="BC425" s="31">
        <f t="shared" si="116"/>
        <v>3</v>
      </c>
      <c r="BD425" s="32">
        <f t="shared" si="117"/>
        <v>1.2857142857142856</v>
      </c>
      <c r="BE425" s="32">
        <f t="shared" si="118"/>
        <v>1.7999999999999998</v>
      </c>
    </row>
    <row r="426" spans="1:57" ht="25.5" customHeight="1" x14ac:dyDescent="0.25">
      <c r="A426" s="33" t="s">
        <v>1196</v>
      </c>
      <c r="B426" s="11" t="s">
        <v>35</v>
      </c>
      <c r="C426" s="34" t="s">
        <v>112</v>
      </c>
      <c r="D426" s="24">
        <f t="shared" si="102"/>
        <v>2</v>
      </c>
      <c r="E426" s="59">
        <f t="shared" si="103"/>
        <v>2.1428571428571428</v>
      </c>
      <c r="F426" s="59">
        <f t="shared" si="104"/>
        <v>1.7999999999999998</v>
      </c>
      <c r="G426" s="11" t="s">
        <v>1197</v>
      </c>
      <c r="H426" s="25" t="str">
        <f>IFERROR(IF($AQ426,INDEX(cpe!$C$2:$C$307,MATCH($AR426,cpe!$F$2:$F$307,0)),INDEX(cpe!$C$2:$C$307,MATCH($AR426,cpe!$D$2:$D$307,0))),"#N/D")</f>
        <v>Institucion Educativa Rural Departamental San Nicolas</v>
      </c>
      <c r="I426" s="25" t="str">
        <f>IFERROR(IF($AQ426,INDEX(cpe!$B$2:$B$307,MATCH($AR426,cpe!$F$2:$F$307,0)),INDEX(cpe!$B$2:$B$307,MATCH($AR426,cpe!$D$2:$D$307,0))),"#N/D")</f>
        <v>Cogua</v>
      </c>
      <c r="J426" s="26" t="str">
        <f>IF($AQ426,"#N/D",IFERROR(INDEX(Olimpiadas!$B$2:$B$61,MATCH($AO426,Olimpiadas!$C$2:$C$61,0)),"#N/D"))</f>
        <v>#N/D</v>
      </c>
      <c r="K426" s="26" t="str">
        <f>IF($AQ426,"#N/D",IFERROR(INDEX(Olimpiadas!$A$2:$A$61,MATCH($AO426,Olimpiadas!$C$2:$C$61,0)),"#N/D"))</f>
        <v>#N/D</v>
      </c>
      <c r="L426" s="26" t="str">
        <f>IF($AQ426,"#N/D",IFERROR(INDEX(Minculturas!$A$2:$A$48,MATCH($AO426,Minculturas!$C$2:$C$48,0)),"#N/D"))</f>
        <v>#N/D</v>
      </c>
      <c r="M426" s="26" t="str">
        <f>IF($AQ426,"#N/D",IFERROR(INDEX(Minculturas!$B$2:$B$48,MATCH($AO426,Minculturas!$C$2:$C$48,0)),"#N/D"))</f>
        <v>#N/D</v>
      </c>
      <c r="N426" s="27">
        <v>1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1</v>
      </c>
      <c r="Z426" s="28">
        <v>0</v>
      </c>
      <c r="AA426" s="28">
        <v>0</v>
      </c>
      <c r="AB426" s="28">
        <v>0</v>
      </c>
      <c r="AC426" s="28">
        <v>0</v>
      </c>
      <c r="AD426" s="28">
        <v>0</v>
      </c>
      <c r="AE426" s="28">
        <v>0</v>
      </c>
      <c r="AF426" s="28">
        <v>0</v>
      </c>
      <c r="AG426" s="27">
        <f t="shared" si="105"/>
        <v>0</v>
      </c>
      <c r="AH426" s="28"/>
      <c r="AI426" s="28"/>
      <c r="AJ426" s="28">
        <v>12.6</v>
      </c>
      <c r="AK426" s="28"/>
      <c r="AL426" s="28"/>
      <c r="AM426" s="29" t="s">
        <v>114</v>
      </c>
      <c r="AO426" t="str">
        <f t="shared" si="106"/>
        <v>cogua</v>
      </c>
      <c r="AP426" t="str">
        <f t="shared" si="107"/>
        <v>cundinamarca</v>
      </c>
      <c r="AQ426" t="b">
        <f t="shared" si="108"/>
        <v>0</v>
      </c>
      <c r="AR426" t="str">
        <f t="shared" si="109"/>
        <v>cogua</v>
      </c>
      <c r="AS426" s="30">
        <f t="shared" si="110"/>
        <v>1</v>
      </c>
      <c r="AT426" s="30">
        <f t="shared" si="111"/>
        <v>0</v>
      </c>
      <c r="AU426" s="30">
        <f t="shared" si="112"/>
        <v>0</v>
      </c>
      <c r="AV426" s="30">
        <f t="shared" si="113"/>
        <v>1</v>
      </c>
      <c r="AZ426" s="31">
        <f t="shared" si="114"/>
        <v>0</v>
      </c>
      <c r="BA426" s="31">
        <f t="shared" si="115"/>
        <v>1</v>
      </c>
      <c r="BB426" s="32">
        <f>IFERROR(INDEX('Análisis general'!$E$4:$E$28,MATCH($B426,'Análisis general'!$B$4:$B$28,0)),"")</f>
        <v>4.0999999999999996</v>
      </c>
      <c r="BC426" s="31">
        <f t="shared" si="116"/>
        <v>3</v>
      </c>
      <c r="BD426" s="32">
        <f t="shared" si="117"/>
        <v>2.1428571428571428</v>
      </c>
      <c r="BE426" s="32">
        <f t="shared" si="118"/>
        <v>1.7999999999999998</v>
      </c>
    </row>
    <row r="427" spans="1:57" ht="25.5" customHeight="1" x14ac:dyDescent="0.25">
      <c r="A427" s="33" t="s">
        <v>1198</v>
      </c>
      <c r="B427" s="11" t="s">
        <v>35</v>
      </c>
      <c r="C427" s="34" t="s">
        <v>112</v>
      </c>
      <c r="D427" s="24">
        <f t="shared" si="102"/>
        <v>2</v>
      </c>
      <c r="E427" s="59">
        <f t="shared" si="103"/>
        <v>2.1428571428571428</v>
      </c>
      <c r="F427" s="59">
        <f t="shared" si="104"/>
        <v>1.7999999999999998</v>
      </c>
      <c r="G427" s="11" t="s">
        <v>1199</v>
      </c>
      <c r="H427" s="25" t="str">
        <f>IFERROR(IF($AQ427,INDEX(cpe!$C$2:$C$307,MATCH($AR427,cpe!$F$2:$F$307,0)),INDEX(cpe!$C$2:$C$307,MATCH($AR427,cpe!$D$2:$D$307,0))),"#N/D")</f>
        <v>Institucion Etnoeducativa #11</v>
      </c>
      <c r="I427" s="25" t="str">
        <f>IFERROR(IF($AQ427,INDEX(cpe!$B$2:$B$307,MATCH($AR427,cpe!$F$2:$F$307,0)),INDEX(cpe!$B$2:$B$307,MATCH($AR427,cpe!$D$2:$D$307,0))),"#N/D")</f>
        <v>La Palma</v>
      </c>
      <c r="J427" s="26" t="str">
        <f>IF($AQ427,"#N/D",IFERROR(INDEX(Olimpiadas!$B$2:$B$61,MATCH($AO427,Olimpiadas!$C$2:$C$61,0)),"#N/D"))</f>
        <v>#N/D</v>
      </c>
      <c r="K427" s="26" t="str">
        <f>IF($AQ427,"#N/D",IFERROR(INDEX(Olimpiadas!$A$2:$A$61,MATCH($AO427,Olimpiadas!$C$2:$C$61,0)),"#N/D"))</f>
        <v>#N/D</v>
      </c>
      <c r="L427" s="26" t="str">
        <f>IF($AQ427,"#N/D",IFERROR(INDEX(Minculturas!$A$2:$A$48,MATCH($AO427,Minculturas!$C$2:$C$48,0)),"#N/D"))</f>
        <v>#N/D</v>
      </c>
      <c r="M427" s="26" t="str">
        <f>IF($AQ427,"#N/D",IFERROR(INDEX(Minculturas!$B$2:$B$48,MATCH($AO427,Minculturas!$C$2:$C$48,0)),"#N/D"))</f>
        <v>#N/D</v>
      </c>
      <c r="N427" s="27">
        <v>1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1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8">
        <v>0</v>
      </c>
      <c r="AF427" s="28">
        <v>0</v>
      </c>
      <c r="AG427" s="27">
        <f t="shared" si="105"/>
        <v>0</v>
      </c>
      <c r="AH427" s="28"/>
      <c r="AI427" s="28"/>
      <c r="AJ427" s="28">
        <v>39.4</v>
      </c>
      <c r="AK427" s="28"/>
      <c r="AL427" s="28"/>
      <c r="AM427" s="29" t="s">
        <v>114</v>
      </c>
      <c r="AO427" t="str">
        <f t="shared" si="106"/>
        <v>la palma</v>
      </c>
      <c r="AP427" t="str">
        <f t="shared" si="107"/>
        <v>cundinamarca</v>
      </c>
      <c r="AQ427" t="b">
        <f t="shared" si="108"/>
        <v>0</v>
      </c>
      <c r="AR427" t="str">
        <f t="shared" si="109"/>
        <v>la palma</v>
      </c>
      <c r="AS427" s="30">
        <f t="shared" si="110"/>
        <v>1</v>
      </c>
      <c r="AT427" s="30">
        <f t="shared" si="111"/>
        <v>0</v>
      </c>
      <c r="AU427" s="30">
        <f t="shared" si="112"/>
        <v>0</v>
      </c>
      <c r="AV427" s="30">
        <f t="shared" si="113"/>
        <v>1</v>
      </c>
      <c r="AZ427" s="31">
        <f t="shared" si="114"/>
        <v>0</v>
      </c>
      <c r="BA427" s="31">
        <f t="shared" si="115"/>
        <v>1</v>
      </c>
      <c r="BB427" s="32">
        <f>IFERROR(INDEX('Análisis general'!$E$4:$E$28,MATCH($B427,'Análisis general'!$B$4:$B$28,0)),"")</f>
        <v>4.0999999999999996</v>
      </c>
      <c r="BC427" s="31">
        <f t="shared" si="116"/>
        <v>3</v>
      </c>
      <c r="BD427" s="32">
        <f t="shared" si="117"/>
        <v>2.1428571428571428</v>
      </c>
      <c r="BE427" s="32">
        <f t="shared" si="118"/>
        <v>1.7999999999999998</v>
      </c>
    </row>
    <row r="428" spans="1:57" ht="25.5" customHeight="1" x14ac:dyDescent="0.25">
      <c r="A428" s="33" t="s">
        <v>1200</v>
      </c>
      <c r="B428" s="11" t="s">
        <v>35</v>
      </c>
      <c r="C428" s="34" t="s">
        <v>112</v>
      </c>
      <c r="D428" s="24">
        <f t="shared" si="102"/>
        <v>2</v>
      </c>
      <c r="E428" s="59">
        <f t="shared" si="103"/>
        <v>2.1428571428571428</v>
      </c>
      <c r="F428" s="59">
        <f t="shared" si="104"/>
        <v>1.7999999999999998</v>
      </c>
      <c r="G428" s="11" t="s">
        <v>1201</v>
      </c>
      <c r="H428" s="25" t="str">
        <f>IFERROR(IF($AQ428,INDEX(cpe!$C$2:$C$307,MATCH($AR428,cpe!$F$2:$F$307,0)),INDEX(cpe!$C$2:$C$307,MATCH($AR428,cpe!$D$2:$D$307,0))),"#N/D")</f>
        <v>Institucion Educativa Puenes</v>
      </c>
      <c r="I428" s="25" t="str">
        <f>IFERROR(IF($AQ428,INDEX(cpe!$B$2:$B$307,MATCH($AR428,cpe!$F$2:$F$307,0)),INDEX(cpe!$B$2:$B$307,MATCH($AR428,cpe!$D$2:$D$307,0))),"#N/D")</f>
        <v>Pacho</v>
      </c>
      <c r="J428" s="26" t="str">
        <f>IF($AQ428,"#N/D",IFERROR(INDEX(Olimpiadas!$B$2:$B$61,MATCH($AO428,Olimpiadas!$C$2:$C$61,0)),"#N/D"))</f>
        <v>#N/D</v>
      </c>
      <c r="K428" s="26" t="str">
        <f>IF($AQ428,"#N/D",IFERROR(INDEX(Olimpiadas!$A$2:$A$61,MATCH($AO428,Olimpiadas!$C$2:$C$61,0)),"#N/D"))</f>
        <v>#N/D</v>
      </c>
      <c r="L428" s="26" t="str">
        <f>IF($AQ428,"#N/D",IFERROR(INDEX(Minculturas!$A$2:$A$48,MATCH($AO428,Minculturas!$C$2:$C$48,0)),"#N/D"))</f>
        <v>#N/D</v>
      </c>
      <c r="M428" s="26" t="str">
        <f>IF($AQ428,"#N/D",IFERROR(INDEX(Minculturas!$B$2:$B$48,MATCH($AO428,Minculturas!$C$2:$C$48,0)),"#N/D"))</f>
        <v>#N/D</v>
      </c>
      <c r="N428" s="27">
        <v>1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1</v>
      </c>
      <c r="Z428" s="28">
        <v>0</v>
      </c>
      <c r="AA428" s="28">
        <v>0</v>
      </c>
      <c r="AB428" s="28">
        <v>0</v>
      </c>
      <c r="AC428" s="28">
        <v>0</v>
      </c>
      <c r="AD428" s="28">
        <v>0</v>
      </c>
      <c r="AE428" s="28">
        <v>0</v>
      </c>
      <c r="AF428" s="28">
        <v>0</v>
      </c>
      <c r="AG428" s="27">
        <f t="shared" si="105"/>
        <v>0</v>
      </c>
      <c r="AH428" s="28"/>
      <c r="AI428" s="28"/>
      <c r="AJ428" s="28">
        <v>27.7</v>
      </c>
      <c r="AK428" s="28"/>
      <c r="AL428" s="28"/>
      <c r="AM428" s="29" t="s">
        <v>114</v>
      </c>
      <c r="AO428" t="str">
        <f t="shared" si="106"/>
        <v>pacho</v>
      </c>
      <c r="AP428" t="str">
        <f t="shared" si="107"/>
        <v>cundinamarca</v>
      </c>
      <c r="AQ428" t="b">
        <f t="shared" si="108"/>
        <v>0</v>
      </c>
      <c r="AR428" t="str">
        <f t="shared" si="109"/>
        <v>pacho</v>
      </c>
      <c r="AS428" s="30">
        <f t="shared" si="110"/>
        <v>1</v>
      </c>
      <c r="AT428" s="30">
        <f t="shared" si="111"/>
        <v>0</v>
      </c>
      <c r="AU428" s="30">
        <f t="shared" si="112"/>
        <v>0</v>
      </c>
      <c r="AV428" s="30">
        <f t="shared" si="113"/>
        <v>1</v>
      </c>
      <c r="AZ428" s="31">
        <f t="shared" si="114"/>
        <v>0</v>
      </c>
      <c r="BA428" s="31">
        <f t="shared" si="115"/>
        <v>1</v>
      </c>
      <c r="BB428" s="32">
        <f>IFERROR(INDEX('Análisis general'!$E$4:$E$28,MATCH($B428,'Análisis general'!$B$4:$B$28,0)),"")</f>
        <v>4.0999999999999996</v>
      </c>
      <c r="BC428" s="31">
        <f t="shared" si="116"/>
        <v>3</v>
      </c>
      <c r="BD428" s="32">
        <f t="shared" si="117"/>
        <v>2.1428571428571428</v>
      </c>
      <c r="BE428" s="32">
        <f t="shared" si="118"/>
        <v>1.7999999999999998</v>
      </c>
    </row>
    <row r="429" spans="1:57" ht="25.5" customHeight="1" x14ac:dyDescent="0.25">
      <c r="A429" s="33" t="s">
        <v>1202</v>
      </c>
      <c r="B429" s="11" t="s">
        <v>35</v>
      </c>
      <c r="C429" s="34" t="s">
        <v>112</v>
      </c>
      <c r="D429" s="24">
        <f t="shared" si="102"/>
        <v>2</v>
      </c>
      <c r="E429" s="59">
        <f t="shared" si="103"/>
        <v>2.1428571428571428</v>
      </c>
      <c r="F429" s="59">
        <f t="shared" si="104"/>
        <v>1.7999999999999998</v>
      </c>
      <c r="G429" s="11" t="s">
        <v>1203</v>
      </c>
      <c r="H429" s="25" t="s">
        <v>1204</v>
      </c>
      <c r="I429" s="25" t="s">
        <v>1203</v>
      </c>
      <c r="J429" s="26" t="s">
        <v>106</v>
      </c>
      <c r="K429" s="26" t="str">
        <f>IF($AQ429,"#N/D",IFERROR(INDEX(Olimpiadas!$A$2:$A$61,MATCH($AO429,Olimpiadas!$C$2:$C$61,0)),"#N/D"))</f>
        <v>#N/D</v>
      </c>
      <c r="L429" s="26" t="str">
        <f>IF($AQ429,"#N/D",IFERROR(INDEX(Minculturas!$A$2:$A$48,MATCH($AO429,Minculturas!$C$2:$C$48,0)),"#N/D"))</f>
        <v>#N/D</v>
      </c>
      <c r="M429" s="26" t="str">
        <f>IF($AQ429,"#N/D",IFERROR(INDEX(Minculturas!$B$2:$B$48,MATCH($AO429,Minculturas!$C$2:$C$48,0)),"#N/D"))</f>
        <v>#N/D</v>
      </c>
      <c r="N429" s="27">
        <v>1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1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8">
        <v>0</v>
      </c>
      <c r="AF429" s="28">
        <v>0</v>
      </c>
      <c r="AG429" s="27">
        <f t="shared" si="105"/>
        <v>0</v>
      </c>
      <c r="AH429" s="28"/>
      <c r="AI429" s="28"/>
      <c r="AJ429" s="28">
        <v>21.8</v>
      </c>
      <c r="AK429" s="28"/>
      <c r="AL429" s="28"/>
      <c r="AM429" s="29" t="s">
        <v>114</v>
      </c>
      <c r="AO429" t="str">
        <f t="shared" si="106"/>
        <v>san antonio del tequendama</v>
      </c>
      <c r="AP429" t="str">
        <f t="shared" si="107"/>
        <v>cundinamarca</v>
      </c>
      <c r="AQ429" t="b">
        <f t="shared" si="108"/>
        <v>0</v>
      </c>
      <c r="AR429" t="str">
        <f t="shared" si="109"/>
        <v>san antonio del tequendama</v>
      </c>
      <c r="AS429" s="30">
        <f t="shared" si="110"/>
        <v>1</v>
      </c>
      <c r="AT429" s="30">
        <f t="shared" si="111"/>
        <v>0</v>
      </c>
      <c r="AU429" s="30">
        <f t="shared" si="112"/>
        <v>0</v>
      </c>
      <c r="AV429" s="30">
        <f t="shared" si="113"/>
        <v>1</v>
      </c>
      <c r="AZ429" s="31">
        <f t="shared" si="114"/>
        <v>0</v>
      </c>
      <c r="BA429" s="31">
        <f t="shared" si="115"/>
        <v>1</v>
      </c>
      <c r="BB429" s="32">
        <f>IFERROR(INDEX('Análisis general'!$E$4:$E$28,MATCH($B429,'Análisis general'!$B$4:$B$28,0)),"")</f>
        <v>4.0999999999999996</v>
      </c>
      <c r="BC429" s="31">
        <f t="shared" si="116"/>
        <v>3</v>
      </c>
      <c r="BD429" s="32">
        <f t="shared" si="117"/>
        <v>2.1428571428571428</v>
      </c>
      <c r="BE429" s="32">
        <f t="shared" si="118"/>
        <v>1.7999999999999998</v>
      </c>
    </row>
    <row r="430" spans="1:57" ht="25.5" customHeight="1" x14ac:dyDescent="0.25">
      <c r="A430" s="33" t="s">
        <v>1205</v>
      </c>
      <c r="B430" s="11" t="s">
        <v>35</v>
      </c>
      <c r="C430" s="34" t="s">
        <v>112</v>
      </c>
      <c r="D430" s="24">
        <f t="shared" si="102"/>
        <v>1</v>
      </c>
      <c r="E430" s="59">
        <f t="shared" si="103"/>
        <v>1.2857142857142856</v>
      </c>
      <c r="F430" s="59">
        <f t="shared" si="104"/>
        <v>1.7999999999999998</v>
      </c>
      <c r="G430" s="11" t="s">
        <v>1206</v>
      </c>
      <c r="H430" s="25" t="str">
        <f>IFERROR(IF($AQ430,INDEX(cpe!$C$2:$C$307,MATCH($AR430,cpe!$F$2:$F$307,0)),INDEX(cpe!$C$2:$C$307,MATCH($AR430,cpe!$D$2:$D$307,0))),"#N/D")</f>
        <v>#N/D</v>
      </c>
      <c r="I430" s="25" t="str">
        <f>IFERROR(IF($AQ430,INDEX(cpe!$B$2:$B$307,MATCH($AR430,cpe!$F$2:$F$307,0)),INDEX(cpe!$B$2:$B$307,MATCH($AR430,cpe!$D$2:$D$307,0))),"#N/D")</f>
        <v>#N/D</v>
      </c>
      <c r="J430" s="26" t="str">
        <f>IF($AQ430,"#N/D",IFERROR(INDEX(Olimpiadas!$B$2:$B$61,MATCH($AO430,Olimpiadas!$C$2:$C$61,0)),"#N/D"))</f>
        <v>#N/D</v>
      </c>
      <c r="K430" s="26" t="str">
        <f>IF($AQ430,"#N/D",IFERROR(INDEX(Olimpiadas!$A$2:$A$61,MATCH($AO430,Olimpiadas!$C$2:$C$61,0)),"#N/D"))</f>
        <v>#N/D</v>
      </c>
      <c r="L430" s="26" t="str">
        <f>IF($AQ430,"#N/D",IFERROR(INDEX(Minculturas!$A$2:$A$48,MATCH($AO430,Minculturas!$C$2:$C$48,0)),"#N/D"))</f>
        <v>#N/D</v>
      </c>
      <c r="M430" s="26" t="str">
        <f>IF($AQ430,"#N/D",IFERROR(INDEX(Minculturas!$B$2:$B$48,MATCH($AO430,Minculturas!$C$2:$C$48,0)),"#N/D"))</f>
        <v>#N/D</v>
      </c>
      <c r="N430" s="27">
        <v>2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1</v>
      </c>
      <c r="Z430" s="28">
        <v>1</v>
      </c>
      <c r="AA430" s="28">
        <v>0</v>
      </c>
      <c r="AB430" s="28">
        <v>0</v>
      </c>
      <c r="AC430" s="28">
        <v>0</v>
      </c>
      <c r="AD430" s="28">
        <v>0</v>
      </c>
      <c r="AE430" s="28">
        <v>0</v>
      </c>
      <c r="AF430" s="28">
        <v>0</v>
      </c>
      <c r="AG430" s="27">
        <f t="shared" si="105"/>
        <v>0</v>
      </c>
      <c r="AH430" s="28"/>
      <c r="AI430" s="28"/>
      <c r="AJ430" s="28">
        <v>25.8</v>
      </c>
      <c r="AK430" s="28"/>
      <c r="AL430" s="28"/>
      <c r="AM430" s="29" t="s">
        <v>246</v>
      </c>
      <c r="AO430" t="str">
        <f t="shared" si="106"/>
        <v>alban</v>
      </c>
      <c r="AP430" t="str">
        <f t="shared" si="107"/>
        <v>cundinamarca</v>
      </c>
      <c r="AQ430" t="b">
        <f t="shared" si="108"/>
        <v>0</v>
      </c>
      <c r="AR430" t="str">
        <f t="shared" si="109"/>
        <v>alban</v>
      </c>
      <c r="AS430" s="30">
        <f t="shared" si="110"/>
        <v>0</v>
      </c>
      <c r="AT430" s="30">
        <f t="shared" si="111"/>
        <v>0</v>
      </c>
      <c r="AU430" s="30">
        <f t="shared" si="112"/>
        <v>0</v>
      </c>
      <c r="AV430" s="30">
        <f t="shared" si="113"/>
        <v>1</v>
      </c>
      <c r="AZ430" s="31">
        <f t="shared" si="114"/>
        <v>0</v>
      </c>
      <c r="BA430" s="31">
        <f t="shared" si="115"/>
        <v>0</v>
      </c>
      <c r="BB430" s="32">
        <f>IFERROR(INDEX('Análisis general'!$E$4:$E$28,MATCH($B430,'Análisis general'!$B$4:$B$28,0)),"")</f>
        <v>4.0999999999999996</v>
      </c>
      <c r="BC430" s="31">
        <f t="shared" si="116"/>
        <v>3</v>
      </c>
      <c r="BD430" s="32">
        <f t="shared" si="117"/>
        <v>1.2857142857142856</v>
      </c>
      <c r="BE430" s="32">
        <f t="shared" si="118"/>
        <v>1.7999999999999998</v>
      </c>
    </row>
    <row r="431" spans="1:57" ht="25.5" customHeight="1" x14ac:dyDescent="0.25">
      <c r="A431" s="33" t="s">
        <v>1207</v>
      </c>
      <c r="B431" s="11" t="s">
        <v>35</v>
      </c>
      <c r="C431" s="34" t="s">
        <v>112</v>
      </c>
      <c r="D431" s="24">
        <f t="shared" si="102"/>
        <v>1</v>
      </c>
      <c r="E431" s="59">
        <f t="shared" si="103"/>
        <v>1.2857142857142856</v>
      </c>
      <c r="F431" s="59">
        <f t="shared" si="104"/>
        <v>1.7999999999999998</v>
      </c>
      <c r="G431" s="11" t="s">
        <v>1208</v>
      </c>
      <c r="H431" s="25" t="str">
        <f>IFERROR(IF($AQ431,INDEX(cpe!$C$2:$C$307,MATCH($AR431,cpe!$F$2:$F$307,0)),INDEX(cpe!$C$2:$C$307,MATCH($AR431,cpe!$D$2:$D$307,0))),"#N/D")</f>
        <v>#N/D</v>
      </c>
      <c r="I431" s="25" t="str">
        <f>IFERROR(IF($AQ431,INDEX(cpe!$B$2:$B$307,MATCH($AR431,cpe!$F$2:$F$307,0)),INDEX(cpe!$B$2:$B$307,MATCH($AR431,cpe!$D$2:$D$307,0))),"#N/D")</f>
        <v>#N/D</v>
      </c>
      <c r="J431" s="26" t="str">
        <f>IF($AQ431,"#N/D",IFERROR(INDEX(Olimpiadas!$B$2:$B$61,MATCH($AO431,Olimpiadas!$C$2:$C$61,0)),"#N/D"))</f>
        <v>#N/D</v>
      </c>
      <c r="K431" s="26" t="str">
        <f>IF($AQ431,"#N/D",IFERROR(INDEX(Olimpiadas!$A$2:$A$61,MATCH($AO431,Olimpiadas!$C$2:$C$61,0)),"#N/D"))</f>
        <v>#N/D</v>
      </c>
      <c r="L431" s="26" t="str">
        <f>IF($AQ431,"#N/D",IFERROR(INDEX(Minculturas!$A$2:$A$48,MATCH($AO431,Minculturas!$C$2:$C$48,0)),"#N/D"))</f>
        <v>#N/D</v>
      </c>
      <c r="M431" s="26" t="str">
        <f>IF($AQ431,"#N/D",IFERROR(INDEX(Minculturas!$B$2:$B$48,MATCH($AO431,Minculturas!$C$2:$C$48,0)),"#N/D"))</f>
        <v>#N/D</v>
      </c>
      <c r="N431" s="27">
        <v>1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1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  <c r="AE431" s="28">
        <v>0</v>
      </c>
      <c r="AF431" s="28">
        <v>0</v>
      </c>
      <c r="AG431" s="27">
        <f t="shared" si="105"/>
        <v>0</v>
      </c>
      <c r="AH431" s="28"/>
      <c r="AI431" s="28"/>
      <c r="AJ431" s="28">
        <v>18.3</v>
      </c>
      <c r="AK431" s="28"/>
      <c r="AL431" s="28"/>
      <c r="AM431" s="29" t="s">
        <v>114</v>
      </c>
      <c r="AO431" t="str">
        <f t="shared" si="106"/>
        <v>la mesa</v>
      </c>
      <c r="AP431" t="str">
        <f t="shared" si="107"/>
        <v>cundinamarca</v>
      </c>
      <c r="AQ431" t="b">
        <f t="shared" si="108"/>
        <v>0</v>
      </c>
      <c r="AR431" t="str">
        <f t="shared" si="109"/>
        <v>la mesa</v>
      </c>
      <c r="AS431" s="30">
        <f t="shared" si="110"/>
        <v>0</v>
      </c>
      <c r="AT431" s="30">
        <f t="shared" si="111"/>
        <v>0</v>
      </c>
      <c r="AU431" s="30">
        <f t="shared" si="112"/>
        <v>0</v>
      </c>
      <c r="AV431" s="30">
        <f t="shared" si="113"/>
        <v>1</v>
      </c>
      <c r="AZ431" s="31">
        <f t="shared" si="114"/>
        <v>0</v>
      </c>
      <c r="BA431" s="31">
        <f t="shared" si="115"/>
        <v>0</v>
      </c>
      <c r="BB431" s="32">
        <f>IFERROR(INDEX('Análisis general'!$E$4:$E$28,MATCH($B431,'Análisis general'!$B$4:$B$28,0)),"")</f>
        <v>4.0999999999999996</v>
      </c>
      <c r="BC431" s="31">
        <f t="shared" si="116"/>
        <v>3</v>
      </c>
      <c r="BD431" s="32">
        <f t="shared" si="117"/>
        <v>1.2857142857142856</v>
      </c>
      <c r="BE431" s="32">
        <f t="shared" si="118"/>
        <v>1.7999999999999998</v>
      </c>
    </row>
    <row r="432" spans="1:57" ht="25.5" customHeight="1" x14ac:dyDescent="0.25">
      <c r="A432" s="33" t="s">
        <v>1209</v>
      </c>
      <c r="B432" s="11" t="s">
        <v>35</v>
      </c>
      <c r="C432" s="34" t="s">
        <v>112</v>
      </c>
      <c r="D432" s="24">
        <f t="shared" si="102"/>
        <v>1</v>
      </c>
      <c r="E432" s="59">
        <f t="shared" si="103"/>
        <v>1.2857142857142856</v>
      </c>
      <c r="F432" s="59">
        <f t="shared" si="104"/>
        <v>1.7999999999999998</v>
      </c>
      <c r="G432" s="11" t="s">
        <v>1210</v>
      </c>
      <c r="H432" s="25" t="s">
        <v>106</v>
      </c>
      <c r="I432" s="25" t="s">
        <v>106</v>
      </c>
      <c r="J432" s="26" t="s">
        <v>106</v>
      </c>
      <c r="K432" s="26" t="str">
        <f>IF($AQ432,"#N/D",IFERROR(INDEX(Olimpiadas!$A$2:$A$61,MATCH($AO432,Olimpiadas!$C$2:$C$61,0)),"#N/D"))</f>
        <v>#N/D</v>
      </c>
      <c r="L432" s="26" t="str">
        <f>IF($AQ432,"#N/D",IFERROR(INDEX(Minculturas!$A$2:$A$48,MATCH($AO432,Minculturas!$C$2:$C$48,0)),"#N/D"))</f>
        <v>#N/D</v>
      </c>
      <c r="M432" s="26" t="str">
        <f>IF($AQ432,"#N/D",IFERROR(INDEX(Minculturas!$B$2:$B$48,MATCH($AO432,Minculturas!$C$2:$C$48,0)),"#N/D"))</f>
        <v>#N/D</v>
      </c>
      <c r="N432" s="27">
        <v>1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1</v>
      </c>
      <c r="Z432" s="28">
        <v>0</v>
      </c>
      <c r="AA432" s="28">
        <v>0</v>
      </c>
      <c r="AB432" s="28">
        <v>0</v>
      </c>
      <c r="AC432" s="28">
        <v>0</v>
      </c>
      <c r="AD432" s="28">
        <v>0</v>
      </c>
      <c r="AE432" s="28">
        <v>0</v>
      </c>
      <c r="AF432" s="28">
        <v>0</v>
      </c>
      <c r="AG432" s="27">
        <f t="shared" si="105"/>
        <v>0</v>
      </c>
      <c r="AH432" s="28"/>
      <c r="AI432" s="28"/>
      <c r="AJ432" s="28">
        <v>27.4</v>
      </c>
      <c r="AK432" s="28"/>
      <c r="AL432" s="28"/>
      <c r="AM432" s="29" t="s">
        <v>246</v>
      </c>
      <c r="AO432" t="str">
        <f t="shared" si="106"/>
        <v>tibacuy</v>
      </c>
      <c r="AP432" t="str">
        <f t="shared" si="107"/>
        <v>cundinamarca</v>
      </c>
      <c r="AQ432" t="b">
        <f t="shared" si="108"/>
        <v>0</v>
      </c>
      <c r="AR432" t="str">
        <f t="shared" si="109"/>
        <v>tibacuy</v>
      </c>
      <c r="AS432" s="30">
        <f t="shared" si="110"/>
        <v>0</v>
      </c>
      <c r="AT432" s="30">
        <f t="shared" si="111"/>
        <v>0</v>
      </c>
      <c r="AU432" s="30">
        <f t="shared" si="112"/>
        <v>0</v>
      </c>
      <c r="AV432" s="30">
        <f t="shared" si="113"/>
        <v>1</v>
      </c>
      <c r="AZ432" s="31">
        <f t="shared" si="114"/>
        <v>0</v>
      </c>
      <c r="BA432" s="31">
        <f t="shared" si="115"/>
        <v>0</v>
      </c>
      <c r="BB432" s="32">
        <f>IFERROR(INDEX('Análisis general'!$E$4:$E$28,MATCH($B432,'Análisis general'!$B$4:$B$28,0)),"")</f>
        <v>4.0999999999999996</v>
      </c>
      <c r="BC432" s="31">
        <f t="shared" si="116"/>
        <v>3</v>
      </c>
      <c r="BD432" s="32">
        <f t="shared" si="117"/>
        <v>1.2857142857142856</v>
      </c>
      <c r="BE432" s="32">
        <f t="shared" si="118"/>
        <v>1.7999999999999998</v>
      </c>
    </row>
    <row r="433" spans="1:57" ht="25.5" customHeight="1" x14ac:dyDescent="0.25">
      <c r="A433" s="53" t="s">
        <v>1211</v>
      </c>
      <c r="B433" s="7" t="s">
        <v>35</v>
      </c>
      <c r="C433" s="54" t="s">
        <v>112</v>
      </c>
      <c r="D433" s="55">
        <f t="shared" si="102"/>
        <v>1</v>
      </c>
      <c r="E433" s="66">
        <f t="shared" si="103"/>
        <v>1.2857142857142856</v>
      </c>
      <c r="F433" s="66">
        <f t="shared" si="104"/>
        <v>1.7999999999999998</v>
      </c>
      <c r="G433" s="7" t="s">
        <v>1212</v>
      </c>
      <c r="H433" s="25" t="s">
        <v>106</v>
      </c>
      <c r="I433" s="25" t="s">
        <v>106</v>
      </c>
      <c r="J433" s="39" t="s">
        <v>106</v>
      </c>
      <c r="K433" s="39" t="str">
        <f>IF($AQ433,"#N/D",IFERROR(INDEX(Olimpiadas!$A$2:$A$61,MATCH($AO433,Olimpiadas!$C$2:$C$61,0)),"#N/D"))</f>
        <v>#N/D</v>
      </c>
      <c r="L433" s="39" t="str">
        <f>IF($AQ433,"#N/D",IFERROR(INDEX(Minculturas!$A$2:$A$48,MATCH($AO433,Minculturas!$C$2:$C$48,0)),"#N/D"))</f>
        <v>#N/D</v>
      </c>
      <c r="M433" s="39" t="str">
        <f>IF($AQ433,"#N/D",IFERROR(INDEX(Minculturas!$B$2:$B$48,MATCH($AO433,Minculturas!$C$2:$C$48,0)),"#N/D"))</f>
        <v>#N/D</v>
      </c>
      <c r="N433" s="36">
        <v>1</v>
      </c>
      <c r="O433" s="35">
        <v>0</v>
      </c>
      <c r="P433" s="35">
        <v>0</v>
      </c>
      <c r="Q433" s="35">
        <v>0</v>
      </c>
      <c r="R433" s="35">
        <v>0</v>
      </c>
      <c r="S433" s="35">
        <v>0</v>
      </c>
      <c r="T433" s="35">
        <v>0</v>
      </c>
      <c r="U433" s="35">
        <v>0</v>
      </c>
      <c r="V433" s="35">
        <v>0</v>
      </c>
      <c r="W433" s="35">
        <v>0</v>
      </c>
      <c r="X433" s="35">
        <v>0</v>
      </c>
      <c r="Y433" s="35">
        <v>1</v>
      </c>
      <c r="Z433" s="35">
        <v>0</v>
      </c>
      <c r="AA433" s="35">
        <v>0</v>
      </c>
      <c r="AB433" s="35">
        <v>0</v>
      </c>
      <c r="AC433" s="35">
        <v>0</v>
      </c>
      <c r="AD433" s="35">
        <v>0</v>
      </c>
      <c r="AE433" s="35">
        <v>0</v>
      </c>
      <c r="AF433" s="35">
        <v>0</v>
      </c>
      <c r="AG433" s="27">
        <f t="shared" si="105"/>
        <v>0</v>
      </c>
      <c r="AH433" s="35"/>
      <c r="AI433" s="35"/>
      <c r="AJ433" s="35">
        <v>55.5</v>
      </c>
      <c r="AK433" s="35"/>
      <c r="AL433" s="35"/>
      <c r="AM433" s="56" t="s">
        <v>246</v>
      </c>
      <c r="AO433" t="str">
        <f t="shared" si="106"/>
        <v>yacopi</v>
      </c>
      <c r="AP433" t="str">
        <f t="shared" si="107"/>
        <v>cundinamarca</v>
      </c>
      <c r="AQ433" t="b">
        <f t="shared" si="108"/>
        <v>0</v>
      </c>
      <c r="AR433" t="str">
        <f t="shared" si="109"/>
        <v>yacopi</v>
      </c>
      <c r="AS433" s="30">
        <f t="shared" si="110"/>
        <v>0</v>
      </c>
      <c r="AT433" s="30">
        <f t="shared" si="111"/>
        <v>0</v>
      </c>
      <c r="AU433" s="30">
        <f t="shared" si="112"/>
        <v>0</v>
      </c>
      <c r="AV433" s="30">
        <f t="shared" si="113"/>
        <v>1</v>
      </c>
      <c r="AZ433" s="31">
        <f t="shared" si="114"/>
        <v>0</v>
      </c>
      <c r="BA433" s="31">
        <f t="shared" si="115"/>
        <v>0</v>
      </c>
      <c r="BB433" s="32">
        <f>IFERROR(INDEX('Análisis general'!$E$4:$E$28,MATCH($B433,'Análisis general'!$B$4:$B$28,0)),"")</f>
        <v>4.0999999999999996</v>
      </c>
      <c r="BC433" s="31">
        <f t="shared" si="116"/>
        <v>3</v>
      </c>
      <c r="BD433" s="32">
        <f t="shared" si="117"/>
        <v>1.2857142857142856</v>
      </c>
      <c r="BE433" s="32">
        <f t="shared" si="118"/>
        <v>1.7999999999999998</v>
      </c>
    </row>
    <row r="437" spans="1:57" ht="15" customHeight="1" x14ac:dyDescent="0.25">
      <c r="A437" s="57" t="s">
        <v>1213</v>
      </c>
      <c r="B437" s="57"/>
      <c r="C437" s="57"/>
      <c r="D437" s="57"/>
      <c r="E437" s="57"/>
      <c r="F437" s="57"/>
      <c r="G437" s="58"/>
      <c r="H437" s="58"/>
      <c r="I437" s="58"/>
      <c r="J437" s="58"/>
      <c r="K437" s="58"/>
      <c r="L437" s="58"/>
      <c r="M437" s="58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</row>
    <row r="454" spans="1:13" ht="15" customHeight="1" x14ac:dyDescent="0.25">
      <c r="A454" s="28"/>
      <c r="B454" s="28"/>
      <c r="C454" s="28"/>
      <c r="D454" s="28"/>
      <c r="E454" s="28"/>
      <c r="F454" s="28"/>
      <c r="G454" s="28"/>
      <c r="H454" s="35"/>
      <c r="I454" s="35"/>
      <c r="J454" s="35"/>
      <c r="K454" s="35"/>
      <c r="L454" s="35"/>
      <c r="M454" s="35"/>
    </row>
    <row r="455" spans="1:13" ht="15" customHeight="1" x14ac:dyDescent="0.25">
      <c r="A455" s="28"/>
      <c r="B455" s="28"/>
      <c r="C455" s="28"/>
      <c r="D455" s="28"/>
      <c r="E455" s="28"/>
      <c r="F455" s="28"/>
      <c r="G455" s="28"/>
      <c r="H455" s="35"/>
      <c r="I455" s="35"/>
      <c r="J455" s="35"/>
      <c r="K455" s="35"/>
      <c r="L455" s="35"/>
      <c r="M455" s="35"/>
    </row>
    <row r="456" spans="1:13" ht="15" customHeight="1" x14ac:dyDescent="0.25">
      <c r="A456" s="28"/>
      <c r="B456" s="28"/>
      <c r="C456" s="28"/>
      <c r="D456" s="28"/>
      <c r="E456" s="28"/>
      <c r="F456" s="28"/>
      <c r="G456" s="28"/>
      <c r="H456" s="35"/>
      <c r="I456" s="35"/>
      <c r="J456" s="35"/>
      <c r="K456" s="35"/>
      <c r="L456" s="35"/>
      <c r="M456" s="35"/>
    </row>
    <row r="457" spans="1:13" ht="15" customHeight="1" x14ac:dyDescent="0.25">
      <c r="A457" s="28"/>
      <c r="B457" s="28"/>
      <c r="C457" s="28"/>
      <c r="D457" s="28"/>
      <c r="E457" s="28"/>
      <c r="F457" s="28"/>
      <c r="G457" s="28"/>
      <c r="H457" s="35"/>
      <c r="I457" s="35"/>
      <c r="J457" s="35"/>
      <c r="K457" s="35"/>
      <c r="L457" s="35"/>
      <c r="M457" s="35"/>
    </row>
    <row r="458" spans="1:13" ht="15" customHeight="1" x14ac:dyDescent="0.25">
      <c r="A458" s="28"/>
      <c r="B458" s="28"/>
      <c r="C458" s="28"/>
      <c r="D458" s="28"/>
      <c r="E458" s="28"/>
      <c r="F458" s="28"/>
      <c r="G458" s="28"/>
      <c r="H458" s="35"/>
      <c r="I458" s="35"/>
      <c r="J458" s="35"/>
      <c r="K458" s="35"/>
      <c r="L458" s="35"/>
      <c r="M458" s="35"/>
    </row>
    <row r="459" spans="1:13" ht="15" customHeight="1" x14ac:dyDescent="0.25">
      <c r="A459" s="28"/>
      <c r="B459" s="28"/>
      <c r="C459" s="28"/>
      <c r="D459" s="28"/>
      <c r="E459" s="28"/>
      <c r="F459" s="28"/>
      <c r="G459" s="28"/>
      <c r="H459" s="35"/>
      <c r="I459" s="35"/>
      <c r="J459" s="35"/>
      <c r="K459" s="35"/>
      <c r="L459" s="35"/>
      <c r="M459" s="35"/>
    </row>
    <row r="460" spans="1:13" ht="15" customHeight="1" x14ac:dyDescent="0.25">
      <c r="A460" s="28"/>
      <c r="B460" s="28"/>
      <c r="C460" s="28"/>
      <c r="D460" s="28"/>
      <c r="E460" s="28"/>
      <c r="F460" s="28"/>
      <c r="G460" s="28"/>
      <c r="H460" s="35"/>
      <c r="I460" s="35"/>
      <c r="J460" s="35"/>
      <c r="K460" s="35"/>
      <c r="L460" s="35"/>
      <c r="M460" s="35"/>
    </row>
    <row r="461" spans="1:13" ht="15" customHeight="1" x14ac:dyDescent="0.25">
      <c r="A461" s="28"/>
      <c r="B461" s="28"/>
      <c r="C461" s="28"/>
      <c r="D461" s="28"/>
      <c r="E461" s="28"/>
      <c r="F461" s="28"/>
      <c r="G461" s="28"/>
      <c r="H461" s="35"/>
      <c r="I461" s="35"/>
      <c r="J461" s="35"/>
      <c r="K461" s="35"/>
      <c r="L461" s="35"/>
      <c r="M461" s="35"/>
    </row>
    <row r="462" spans="1:13" ht="15" customHeight="1" x14ac:dyDescent="0.25">
      <c r="A462" s="28"/>
      <c r="B462" s="28"/>
      <c r="C462" s="28"/>
      <c r="D462" s="28"/>
      <c r="E462" s="28"/>
      <c r="F462" s="28"/>
      <c r="G462" s="28"/>
      <c r="H462" s="35"/>
      <c r="I462" s="35"/>
      <c r="J462" s="35"/>
      <c r="K462" s="35"/>
      <c r="L462" s="35"/>
      <c r="M462" s="35"/>
    </row>
  </sheetData>
  <autoFilter ref="A1:BG433" xr:uid="{00000000-0009-0000-0000-000002000000}">
    <sortState xmlns:xlrd2="http://schemas.microsoft.com/office/spreadsheetml/2017/richdata2" ref="A2:BG433">
      <sortCondition descending="1" ref="F1:F433"/>
    </sortState>
  </autoFilter>
  <conditionalFormatting sqref="E2:F4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1:B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:BE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462"/>
  <sheetViews>
    <sheetView zoomScale="85" zoomScaleNormal="85" workbookViewId="0">
      <pane ySplit="1" topLeftCell="A2" activePane="bottomLeft" state="frozen"/>
      <selection pane="bottomLeft" activeCell="M1" sqref="M1"/>
    </sheetView>
  </sheetViews>
  <sheetFormatPr baseColWidth="10" defaultColWidth="8.7109375" defaultRowHeight="15" outlineLevelCol="2" x14ac:dyDescent="0.25"/>
  <cols>
    <col min="1" max="4" width="26" customWidth="1"/>
    <col min="5" max="8" width="20" customWidth="1"/>
    <col min="9" max="9" width="50.28515625" customWidth="1"/>
    <col min="10" max="11" width="27.7109375" customWidth="1"/>
    <col min="12" max="19" width="12.7109375" customWidth="1"/>
    <col min="20" max="20" width="17.7109375" customWidth="1"/>
    <col min="21" max="28" width="12.7109375" customWidth="1"/>
    <col min="29" max="29" width="17.5703125" customWidth="1"/>
    <col min="30" max="30" width="14.140625" customWidth="1"/>
    <col min="31" max="31" width="27.7109375" customWidth="1"/>
    <col min="32" max="32" width="20.140625" customWidth="1"/>
    <col min="33" max="33" width="30.5703125" customWidth="1"/>
    <col min="34" max="34" width="15.85546875" customWidth="1"/>
    <col min="35" max="35" width="14.5703125" customWidth="1"/>
    <col min="36" max="36" width="78.5703125" customWidth="1"/>
    <col min="39" max="42" width="8.7109375" outlineLevel="2"/>
  </cols>
  <sheetData>
    <row r="1" spans="1:42" ht="30" customHeight="1" x14ac:dyDescent="0.25">
      <c r="A1" s="16" t="s">
        <v>51</v>
      </c>
      <c r="B1" s="17" t="s">
        <v>3</v>
      </c>
      <c r="C1" s="17" t="s">
        <v>52</v>
      </c>
      <c r="D1" s="67" t="s">
        <v>53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  <c r="J1" s="17" t="s">
        <v>61</v>
      </c>
      <c r="K1" s="17" t="s">
        <v>62</v>
      </c>
      <c r="L1" s="17" t="s">
        <v>63</v>
      </c>
      <c r="M1" s="17" t="s">
        <v>64</v>
      </c>
      <c r="N1" s="17" t="s">
        <v>65</v>
      </c>
      <c r="O1" s="17" t="s">
        <v>66</v>
      </c>
      <c r="P1" s="17" t="s">
        <v>67</v>
      </c>
      <c r="Q1" s="17" t="s">
        <v>68</v>
      </c>
      <c r="R1" s="17" t="s">
        <v>69</v>
      </c>
      <c r="S1" s="17" t="s">
        <v>70</v>
      </c>
      <c r="T1" s="17" t="s">
        <v>71</v>
      </c>
      <c r="U1" s="17" t="s">
        <v>72</v>
      </c>
      <c r="V1" s="17" t="s">
        <v>73</v>
      </c>
      <c r="W1" s="17" t="s">
        <v>74</v>
      </c>
      <c r="X1" s="17" t="s">
        <v>75</v>
      </c>
      <c r="Y1" s="17" t="s">
        <v>76</v>
      </c>
      <c r="Z1" s="17" t="s">
        <v>77</v>
      </c>
      <c r="AA1" s="17" t="s">
        <v>78</v>
      </c>
      <c r="AB1" s="17" t="s">
        <v>79</v>
      </c>
      <c r="AC1" s="17" t="s">
        <v>80</v>
      </c>
      <c r="AD1" s="17" t="s">
        <v>81</v>
      </c>
      <c r="AE1" s="16" t="s">
        <v>82</v>
      </c>
      <c r="AF1" s="17" t="s">
        <v>83</v>
      </c>
      <c r="AG1" s="17" t="s">
        <v>84</v>
      </c>
      <c r="AH1" s="17" t="s">
        <v>85</v>
      </c>
      <c r="AI1" s="17" t="s">
        <v>86</v>
      </c>
      <c r="AJ1" s="17" t="s">
        <v>87</v>
      </c>
      <c r="AK1" s="17" t="s">
        <v>88</v>
      </c>
      <c r="AM1" s="18" t="s">
        <v>89</v>
      </c>
      <c r="AN1" s="18" t="s">
        <v>90</v>
      </c>
      <c r="AO1" s="18" t="s">
        <v>91</v>
      </c>
      <c r="AP1" s="18" t="s">
        <v>92</v>
      </c>
    </row>
    <row r="2" spans="1:42" ht="25.5" customHeight="1" x14ac:dyDescent="0.25">
      <c r="A2" s="22" t="s">
        <v>251</v>
      </c>
      <c r="B2" s="11" t="s">
        <v>49</v>
      </c>
      <c r="C2" s="41" t="s">
        <v>252</v>
      </c>
      <c r="D2" s="68"/>
      <c r="E2" s="11" t="s">
        <v>253</v>
      </c>
      <c r="F2" s="25" t="str">
        <f>IFERROR(IF($AO2,INDEX(cpe!$C$2:$C$307,MATCH($AP2,cpe!$F$2:$F$307,0)),INDEX(cpe!$C$2:$C$307,MATCH($AP2,cpe!$D$2:$D$307,0))),"#N/D")</f>
        <v>Inst Tec Jorge Gaitan Duran</v>
      </c>
      <c r="G2" s="25" t="str">
        <f>IFERROR(IF($AO2,INDEX(cpe!$B$2:$B$307,MATCH($AP2,cpe!$F$2:$F$307,0)),INDEX(cpe!$B$2:$B$307,MATCH($AP2,cpe!$D$2:$D$307,0))),"#N/D")</f>
        <v>Cali</v>
      </c>
      <c r="H2" s="26" t="str">
        <f>IF($AO2,"#N/D",IFERROR(INDEX(Olimpiadas!$B$2:$B$61,MATCH($AM2,Olimpiadas!$C$2:$C$61,0)),"#N/D"))</f>
        <v>Cali</v>
      </c>
      <c r="I2" s="42" t="str">
        <f>IF($AO2,"#N/D",IFERROR(INDEX(Olimpiadas!$A$2:$A$61,MATCH($AM2,Olimpiadas!$C$2:$C$61,0)),"#N/D"))</f>
        <v>INSTITUCIÓN EDUCATIVA JUAN DE AMPUDIA</v>
      </c>
      <c r="J2" s="42" t="str">
        <f>IF($AO2,"#N/D",IFERROR(INDEX(Minculturas!$A$2:$A$48,MATCH($AM2,Minculturas!$C$2:$C$48,0)),"#N/D"))</f>
        <v>#N/D</v>
      </c>
      <c r="K2" s="42" t="str">
        <f>IF($AO2,"#N/D",IFERROR(INDEX(Minculturas!$B$2:$B$48,MATCH($AM2,Minculturas!$C$2:$C$48,0)),"#N/D"))</f>
        <v>#N/D</v>
      </c>
      <c r="L2" s="27">
        <v>434</v>
      </c>
      <c r="M2" s="28">
        <v>0</v>
      </c>
      <c r="N2" s="28">
        <v>0</v>
      </c>
      <c r="O2" s="28">
        <v>0</v>
      </c>
      <c r="P2" s="28">
        <v>31</v>
      </c>
      <c r="Q2" s="28">
        <v>9</v>
      </c>
      <c r="R2" s="28">
        <v>0</v>
      </c>
      <c r="S2" s="28">
        <v>89</v>
      </c>
      <c r="T2" s="28">
        <v>3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7">
        <f>SUM(Tabla43[[#This Row],[Edificación colapsada]:[Robo]])</f>
        <v>132</v>
      </c>
      <c r="AF2" s="28" t="s">
        <v>254</v>
      </c>
      <c r="AG2" s="28" t="s">
        <v>255</v>
      </c>
      <c r="AH2" s="28">
        <v>11.9</v>
      </c>
      <c r="AI2" s="28"/>
      <c r="AJ2" s="28"/>
      <c r="AK2" s="29" t="s">
        <v>256</v>
      </c>
      <c r="AM2" t="str">
        <f t="shared" ref="AM2:AM65" si="0">TRIM(SUBSTITUTE(SUBSTITUTE(SUBSTITUTE(SUBSTITUTE(SUBSTITUTE(SUBSTITUTE(SUBSTITUTE(SUBSTITUTE(SUBSTITUTE(LOWER(E2),"á","a"),"é","e"),"í","i"),"ó","o"),"ú","u"),"ñ","n"),"-"," "),","," "),"."," "))</f>
        <v>cali</v>
      </c>
      <c r="AN2" t="str">
        <f t="shared" ref="AN2:AN65" si="1">TRIM(SUBSTITUTE(SUBSTITUTE(SUBSTITUTE(SUBSTITUTE(SUBSTITUTE(SUBSTITUTE(SUBSTITUTE(SUBSTITUTE(SUBSTITUTE(LOWER(B2),"á","a"),"é","e"),"í","i"),"ó","o"),"ú","u"),"ñ","n"),"-"," "),","," "),"."," "))</f>
        <v>valle del cauca</v>
      </c>
      <c r="AO2" t="b">
        <f t="shared" ref="AO2:AO65" si="2">COUNTIF($AM$2:$AM$433,AM2)&gt;COUNTIFS($AM$2:$AM$433,AM2,$AN$2:$AN$433,AN2)</f>
        <v>0</v>
      </c>
      <c r="AP2" t="str">
        <f t="shared" ref="AP2:AP65" si="3">IF(AO2,AM2&amp;"|"&amp;AN2,AM2)</f>
        <v>cali</v>
      </c>
    </row>
    <row r="3" spans="1:42" ht="25.5" customHeight="1" x14ac:dyDescent="0.25">
      <c r="A3" s="33" t="s">
        <v>257</v>
      </c>
      <c r="B3" s="11" t="s">
        <v>49</v>
      </c>
      <c r="C3" s="41" t="s">
        <v>252</v>
      </c>
      <c r="D3" s="68"/>
      <c r="E3" s="11" t="s">
        <v>258</v>
      </c>
      <c r="F3" s="25" t="str">
        <f>IFERROR(IF($AO3,INDEX(cpe!$C$2:$C$307,MATCH($AP3,cpe!$F$2:$F$307,0)),INDEX(cpe!$C$2:$C$307,MATCH($AP3,cpe!$D$2:$D$307,0))),"#N/D")</f>
        <v>Colegio Externado Nacional Camilo Torres (ied)</v>
      </c>
      <c r="G3" s="25" t="str">
        <f>IFERROR(IF($AO3,INDEX(cpe!$B$2:$B$307,MATCH($AP3,cpe!$F$2:$F$307,0)),INDEX(cpe!$B$2:$B$307,MATCH($AP3,cpe!$D$2:$D$307,0))),"#N/D")</f>
        <v>Calima-El Darién</v>
      </c>
      <c r="H3" s="26" t="str">
        <f>IF($AO3,"#N/D",IFERROR(INDEX(Olimpiadas!$B$2:$B$61,MATCH($AM3,Olimpiadas!$C$2:$C$61,0)),"#N/D"))</f>
        <v>#N/D</v>
      </c>
      <c r="I3" s="26" t="str">
        <f>IF($AO3,"#N/D",IFERROR(INDEX(Olimpiadas!$A$2:$A$61,MATCH($AM3,Olimpiadas!$C$2:$C$61,0)),"#N/D"))</f>
        <v>#N/D</v>
      </c>
      <c r="J3" s="26" t="str">
        <f>IF($AO3,"#N/D",IFERROR(INDEX(Minculturas!$A$2:$A$48,MATCH($AM3,Minculturas!$C$2:$C$48,0)),"#N/D"))</f>
        <v>#N/D</v>
      </c>
      <c r="K3" s="26" t="str">
        <f>IF($AO3,"#N/D",IFERROR(INDEX(Minculturas!$B$2:$B$48,MATCH($AM3,Minculturas!$C$2:$C$48,0)),"#N/D"))</f>
        <v>#N/D</v>
      </c>
      <c r="L3" s="27">
        <v>14</v>
      </c>
      <c r="M3" s="28">
        <v>1</v>
      </c>
      <c r="N3" s="28">
        <v>4</v>
      </c>
      <c r="O3" s="28">
        <v>3</v>
      </c>
      <c r="P3" s="28">
        <v>1</v>
      </c>
      <c r="Q3" s="28">
        <v>2</v>
      </c>
      <c r="R3" s="28">
        <v>1</v>
      </c>
      <c r="S3" s="28">
        <v>0</v>
      </c>
      <c r="T3" s="28">
        <v>0</v>
      </c>
      <c r="U3" s="28">
        <v>0</v>
      </c>
      <c r="V3" s="28">
        <v>1</v>
      </c>
      <c r="W3" s="28">
        <v>0</v>
      </c>
      <c r="X3" s="28">
        <v>1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7">
        <f>SUM(Tabla43[[#This Row],[Edificación colapsada]:[Robo]])</f>
        <v>14</v>
      </c>
      <c r="AF3" s="28" t="s">
        <v>259</v>
      </c>
      <c r="AG3" s="28" t="s">
        <v>260</v>
      </c>
      <c r="AH3" s="28">
        <v>25.7</v>
      </c>
      <c r="AI3" s="28"/>
      <c r="AJ3" s="28"/>
      <c r="AK3" s="29" t="s">
        <v>261</v>
      </c>
      <c r="AM3" t="str">
        <f t="shared" si="0"/>
        <v>calima el darien</v>
      </c>
      <c r="AN3" t="str">
        <f t="shared" si="1"/>
        <v>valle del cauca</v>
      </c>
      <c r="AO3" t="b">
        <f t="shared" si="2"/>
        <v>0</v>
      </c>
      <c r="AP3" t="str">
        <f t="shared" si="3"/>
        <v>calima el darien</v>
      </c>
    </row>
    <row r="4" spans="1:42" ht="25.5" customHeight="1" x14ac:dyDescent="0.25">
      <c r="A4" s="33" t="s">
        <v>824</v>
      </c>
      <c r="B4" s="11" t="s">
        <v>24</v>
      </c>
      <c r="C4" s="41" t="s">
        <v>252</v>
      </c>
      <c r="D4" s="68"/>
      <c r="E4" s="11" t="s">
        <v>825</v>
      </c>
      <c r="F4" s="25" t="str">
        <f>IFERROR(IF($AO4,INDEX(cpe!$C$2:$C$307,MATCH($AP4,cpe!$F$2:$F$307,0)),INDEX(cpe!$C$2:$C$307,MATCH($AP4,cpe!$D$2:$D$307,0))),"#N/D")</f>
        <v>#N/D</v>
      </c>
      <c r="G4" s="25" t="str">
        <f>IFERROR(IF($AO4,INDEX(cpe!$B$2:$B$307,MATCH($AP4,cpe!$F$2:$F$307,0)),INDEX(cpe!$B$2:$B$307,MATCH($AP4,cpe!$D$2:$D$307,0))),"#N/D")</f>
        <v>#N/D</v>
      </c>
      <c r="H4" s="26" t="str">
        <f>IF($AO4,"#N/D",IFERROR(INDEX(Olimpiadas!$B$2:$B$61,MATCH($AM4,Olimpiadas!$C$2:$C$61,0)),"#N/D"))</f>
        <v>Manizales</v>
      </c>
      <c r="I4" s="42" t="str">
        <f>IF($AO4,"#N/D",IFERROR(INDEX(Olimpiadas!$A$2:$A$61,MATCH($AM4,Olimpiadas!$C$2:$C$61,0)),"#N/D"))</f>
        <v>INSTITUCIÓN EDUCATIVA INSTITUTO UNIVERSITARIO DE CALDAS</v>
      </c>
      <c r="J4" s="42" t="str">
        <f>IF($AO4,"#N/D",IFERROR(INDEX(Minculturas!$A$2:$A$48,MATCH($AM4,Minculturas!$C$2:$C$48,0)),"#N/D"))</f>
        <v>#N/D</v>
      </c>
      <c r="K4" s="42" t="str">
        <f>IF($AO4,"#N/D",IFERROR(INDEX(Minculturas!$B$2:$B$48,MATCH($AM4,Minculturas!$C$2:$C$48,0)),"#N/D"))</f>
        <v>#N/D</v>
      </c>
      <c r="L4" s="27">
        <v>388</v>
      </c>
      <c r="M4" s="28">
        <v>12</v>
      </c>
      <c r="N4" s="28">
        <v>110</v>
      </c>
      <c r="O4" s="28">
        <v>6</v>
      </c>
      <c r="P4" s="28">
        <v>13</v>
      </c>
      <c r="Q4" s="28">
        <v>98</v>
      </c>
      <c r="R4" s="28">
        <v>13</v>
      </c>
      <c r="S4" s="28">
        <v>25</v>
      </c>
      <c r="T4" s="28">
        <v>5</v>
      </c>
      <c r="U4" s="28">
        <v>0</v>
      </c>
      <c r="V4" s="28">
        <v>7</v>
      </c>
      <c r="W4" s="28">
        <v>28</v>
      </c>
      <c r="X4" s="28">
        <v>1</v>
      </c>
      <c r="Y4" s="28">
        <v>47</v>
      </c>
      <c r="Z4" s="28">
        <v>21</v>
      </c>
      <c r="AA4" s="28">
        <v>0</v>
      </c>
      <c r="AB4" s="28">
        <v>0</v>
      </c>
      <c r="AC4" s="28">
        <v>0</v>
      </c>
      <c r="AD4" s="28">
        <v>0</v>
      </c>
      <c r="AE4" s="27">
        <f>SUM(Tabla43[[#This Row],[Edificación colapsada]:[Robo]])</f>
        <v>386</v>
      </c>
      <c r="AF4" s="26" t="s">
        <v>826</v>
      </c>
      <c r="AG4" s="26" t="s">
        <v>827</v>
      </c>
      <c r="AH4" s="28">
        <v>13.9</v>
      </c>
      <c r="AI4" s="28"/>
      <c r="AJ4" s="28"/>
      <c r="AK4" s="29" t="s">
        <v>828</v>
      </c>
      <c r="AM4" t="str">
        <f t="shared" si="0"/>
        <v>manizales</v>
      </c>
      <c r="AN4" t="str">
        <f t="shared" si="1"/>
        <v>caldas</v>
      </c>
      <c r="AO4" t="b">
        <f t="shared" si="2"/>
        <v>0</v>
      </c>
      <c r="AP4" t="str">
        <f t="shared" si="3"/>
        <v>manizales</v>
      </c>
    </row>
    <row r="5" spans="1:42" ht="25.5" customHeight="1" x14ac:dyDescent="0.25">
      <c r="A5" s="33" t="s">
        <v>984</v>
      </c>
      <c r="B5" s="11" t="s">
        <v>45</v>
      </c>
      <c r="C5" s="41" t="s">
        <v>252</v>
      </c>
      <c r="D5" s="68"/>
      <c r="E5" s="11" t="s">
        <v>985</v>
      </c>
      <c r="F5" s="25" t="s">
        <v>106</v>
      </c>
      <c r="G5" s="25" t="s">
        <v>106</v>
      </c>
      <c r="H5" s="26" t="s">
        <v>985</v>
      </c>
      <c r="I5" s="42" t="str">
        <f>IF($AO5,"#N/D",IFERROR(INDEX(Olimpiadas!$A$2:$A$61,MATCH($AM5,Olimpiadas!$C$2:$C$61,0)),"#N/D"))</f>
        <v>INSTITUCIÓN EDUCATIVA BYRON GAVIRIA</v>
      </c>
      <c r="J5" s="42" t="str">
        <f>IF($AO5,"#N/D",IFERROR(INDEX(Minculturas!$A$2:$A$48,MATCH($AM5,Minculturas!$C$2:$C$48,0)),"#N/D"))</f>
        <v>#N/D</v>
      </c>
      <c r="K5" s="42" t="str">
        <f>IF($AO5,"#N/D",IFERROR(INDEX(Minculturas!$B$2:$B$48,MATCH($AM5,Minculturas!$C$2:$C$48,0)),"#N/D"))</f>
        <v>#N/D</v>
      </c>
      <c r="L5" s="27">
        <v>250</v>
      </c>
      <c r="M5" s="28">
        <v>33</v>
      </c>
      <c r="N5" s="28">
        <v>54</v>
      </c>
      <c r="O5" s="28">
        <v>17</v>
      </c>
      <c r="P5" s="28">
        <v>13</v>
      </c>
      <c r="Q5" s="28">
        <v>11</v>
      </c>
      <c r="R5" s="28">
        <v>10</v>
      </c>
      <c r="S5" s="28">
        <v>26</v>
      </c>
      <c r="T5" s="28">
        <v>2</v>
      </c>
      <c r="U5" s="28">
        <v>2</v>
      </c>
      <c r="V5" s="28">
        <v>16</v>
      </c>
      <c r="W5" s="28">
        <v>29</v>
      </c>
      <c r="X5" s="28">
        <v>3</v>
      </c>
      <c r="Y5" s="28">
        <v>9</v>
      </c>
      <c r="Z5" s="28">
        <v>16</v>
      </c>
      <c r="AA5" s="28">
        <v>0</v>
      </c>
      <c r="AB5" s="28">
        <v>0</v>
      </c>
      <c r="AC5" s="28">
        <v>4</v>
      </c>
      <c r="AD5" s="28">
        <v>0</v>
      </c>
      <c r="AE5" s="27">
        <f>SUM(Tabla43[[#This Row],[Edificación colapsada]:[Robo]])</f>
        <v>245</v>
      </c>
      <c r="AF5" s="28"/>
      <c r="AG5" s="28"/>
      <c r="AH5" s="28">
        <v>15.1</v>
      </c>
      <c r="AI5" s="28"/>
      <c r="AJ5" s="28"/>
      <c r="AK5" s="29" t="s">
        <v>986</v>
      </c>
      <c r="AM5" t="str">
        <f t="shared" si="0"/>
        <v>pereira</v>
      </c>
      <c r="AN5" t="str">
        <f t="shared" si="1"/>
        <v>risaralda</v>
      </c>
      <c r="AO5" t="b">
        <f t="shared" si="2"/>
        <v>0</v>
      </c>
      <c r="AP5" t="str">
        <f t="shared" si="3"/>
        <v>pereira</v>
      </c>
    </row>
    <row r="6" spans="1:42" ht="25.5" customHeight="1" x14ac:dyDescent="0.25">
      <c r="A6" s="33" t="s">
        <v>586</v>
      </c>
      <c r="B6" s="11" t="s">
        <v>31</v>
      </c>
      <c r="C6" s="41" t="s">
        <v>252</v>
      </c>
      <c r="D6" s="68"/>
      <c r="E6" s="11" t="s">
        <v>587</v>
      </c>
      <c r="F6" s="25" t="s">
        <v>588</v>
      </c>
      <c r="G6" s="25" t="s">
        <v>587</v>
      </c>
      <c r="H6" s="26" t="s">
        <v>106</v>
      </c>
      <c r="I6" s="26" t="str">
        <f>IF($AO6,"#N/D",IFERROR(INDEX(Olimpiadas!$A$2:$A$61,MATCH($AM6,Olimpiadas!$C$2:$C$61,0)),"#N/D"))</f>
        <v>#N/D</v>
      </c>
      <c r="J6" s="26" t="str">
        <f>IF($AO6,"#N/D",IFERROR(INDEX(Minculturas!$A$2:$A$48,MATCH($AM6,Minculturas!$C$2:$C$48,0)),"#N/D"))</f>
        <v>#N/D</v>
      </c>
      <c r="K6" s="26" t="str">
        <f>IF($AO6,"#N/D",IFERROR(INDEX(Minculturas!$B$2:$B$48,MATCH($AM6,Minculturas!$C$2:$C$48,0)),"#N/D"))</f>
        <v>#N/D</v>
      </c>
      <c r="L6" s="27">
        <v>80</v>
      </c>
      <c r="M6" s="28">
        <v>9</v>
      </c>
      <c r="N6" s="28">
        <v>9</v>
      </c>
      <c r="O6" s="28">
        <v>24</v>
      </c>
      <c r="P6" s="28">
        <v>3</v>
      </c>
      <c r="Q6" s="28">
        <v>4</v>
      </c>
      <c r="R6" s="28">
        <v>1</v>
      </c>
      <c r="S6" s="28">
        <v>6</v>
      </c>
      <c r="T6" s="28">
        <v>0</v>
      </c>
      <c r="U6" s="28">
        <v>1</v>
      </c>
      <c r="V6" s="28">
        <v>3</v>
      </c>
      <c r="W6" s="28">
        <v>8</v>
      </c>
      <c r="X6" s="28">
        <v>2</v>
      </c>
      <c r="Y6" s="28">
        <v>3</v>
      </c>
      <c r="Z6" s="28">
        <v>7</v>
      </c>
      <c r="AA6" s="28">
        <v>0</v>
      </c>
      <c r="AB6" s="28">
        <v>0</v>
      </c>
      <c r="AC6" s="28">
        <v>0</v>
      </c>
      <c r="AD6" s="28">
        <v>0</v>
      </c>
      <c r="AE6" s="27">
        <f>SUM(Tabla43[[#This Row],[Edificación colapsada]:[Robo]])</f>
        <v>80</v>
      </c>
      <c r="AF6" s="28" t="s">
        <v>589</v>
      </c>
      <c r="AG6" s="28" t="s">
        <v>590</v>
      </c>
      <c r="AH6" s="28">
        <v>44.4</v>
      </c>
      <c r="AI6" s="28"/>
      <c r="AJ6" s="28"/>
      <c r="AK6" s="29" t="s">
        <v>591</v>
      </c>
      <c r="AM6" t="str">
        <f t="shared" si="0"/>
        <v>quibdo</v>
      </c>
      <c r="AN6" t="str">
        <f t="shared" si="1"/>
        <v>choco</v>
      </c>
      <c r="AO6" t="b">
        <f t="shared" si="2"/>
        <v>0</v>
      </c>
      <c r="AP6" t="str">
        <f t="shared" si="3"/>
        <v>quibdo</v>
      </c>
    </row>
    <row r="7" spans="1:42" ht="25.5" customHeight="1" x14ac:dyDescent="0.25">
      <c r="A7" s="33" t="s">
        <v>664</v>
      </c>
      <c r="B7" s="11" t="s">
        <v>31</v>
      </c>
      <c r="C7" s="41" t="s">
        <v>252</v>
      </c>
      <c r="D7" s="68"/>
      <c r="E7" s="11" t="s">
        <v>665</v>
      </c>
      <c r="F7" s="25" t="s">
        <v>106</v>
      </c>
      <c r="G7" s="25" t="s">
        <v>106</v>
      </c>
      <c r="H7" s="26" t="s">
        <v>106</v>
      </c>
      <c r="I7" s="26" t="str">
        <f>IF($AO7,"#N/D",IFERROR(INDEX(Olimpiadas!$A$2:$A$61,MATCH($AM7,Olimpiadas!$C$2:$C$61,0)),"#N/D"))</f>
        <v>#N/D</v>
      </c>
      <c r="J7" s="26" t="str">
        <f>IF($AO7,"#N/D",IFERROR(INDEX(Minculturas!$A$2:$A$48,MATCH($AM7,Minculturas!$C$2:$C$48,0)),"#N/D"))</f>
        <v>#N/D</v>
      </c>
      <c r="K7" s="26" t="str">
        <f>IF($AO7,"#N/D",IFERROR(INDEX(Minculturas!$B$2:$B$48,MATCH($AM7,Minculturas!$C$2:$C$48,0)),"#N/D"))</f>
        <v>#N/D</v>
      </c>
      <c r="L7" s="27">
        <v>26</v>
      </c>
      <c r="M7" s="28">
        <v>1</v>
      </c>
      <c r="N7" s="28">
        <v>0</v>
      </c>
      <c r="O7" s="28">
        <v>5</v>
      </c>
      <c r="P7" s="28">
        <v>2</v>
      </c>
      <c r="Q7" s="28">
        <v>6</v>
      </c>
      <c r="R7" s="28">
        <v>1</v>
      </c>
      <c r="S7" s="28">
        <v>1</v>
      </c>
      <c r="T7" s="28">
        <v>2</v>
      </c>
      <c r="U7" s="28">
        <v>1</v>
      </c>
      <c r="V7" s="28">
        <v>1</v>
      </c>
      <c r="W7" s="28">
        <v>3</v>
      </c>
      <c r="X7" s="28">
        <v>3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7">
        <f>SUM(Tabla43[[#This Row],[Edificación colapsada]:[Robo]])</f>
        <v>26</v>
      </c>
      <c r="AF7" s="28" t="s">
        <v>666</v>
      </c>
      <c r="AG7" s="28" t="s">
        <v>667</v>
      </c>
      <c r="AH7" s="28">
        <v>59.1</v>
      </c>
      <c r="AI7" s="28"/>
      <c r="AJ7" s="28"/>
      <c r="AK7" s="29" t="s">
        <v>668</v>
      </c>
      <c r="AM7" t="str">
        <f t="shared" si="0"/>
        <v>san jose del palmar</v>
      </c>
      <c r="AN7" t="str">
        <f t="shared" si="1"/>
        <v>choco</v>
      </c>
      <c r="AO7" t="b">
        <f t="shared" si="2"/>
        <v>0</v>
      </c>
      <c r="AP7" t="str">
        <f t="shared" si="3"/>
        <v>san jose del palmar</v>
      </c>
    </row>
    <row r="8" spans="1:42" ht="25.5" customHeight="1" x14ac:dyDescent="0.25">
      <c r="A8" s="33" t="s">
        <v>987</v>
      </c>
      <c r="B8" s="11" t="s">
        <v>49</v>
      </c>
      <c r="C8" s="40" t="s">
        <v>214</v>
      </c>
      <c r="D8" s="68"/>
      <c r="E8" s="11" t="s">
        <v>988</v>
      </c>
      <c r="F8" s="25" t="str">
        <f>IFERROR(IF($AO8,INDEX(cpe!$C$2:$C$307,MATCH($AP8,cpe!$F$2:$F$307,0)),INDEX(cpe!$C$2:$C$307,MATCH($AP8,cpe!$D$2:$D$307,0))),"#N/D")</f>
        <v>Institucion Educativa Indigena No. 3</v>
      </c>
      <c r="G8" s="25" t="str">
        <f>IFERROR(IF($AO8,INDEX(cpe!$B$2:$B$307,MATCH($AP8,cpe!$F$2:$F$307,0)),INDEX(cpe!$B$2:$B$307,MATCH($AP8,cpe!$D$2:$D$307,0))),"#N/D")</f>
        <v>Buenaventura</v>
      </c>
      <c r="H8" s="26" t="str">
        <f>IF($AO8,"#N/D",IFERROR(INDEX(Olimpiadas!$B$2:$B$61,MATCH($AM8,Olimpiadas!$C$2:$C$61,0)),"#N/D"))</f>
        <v>#N/D</v>
      </c>
      <c r="I8" s="26" t="str">
        <f>IF($AO8,"#N/D",IFERROR(INDEX(Olimpiadas!$A$2:$A$61,MATCH($AM8,Olimpiadas!$C$2:$C$61,0)),"#N/D"))</f>
        <v>#N/D</v>
      </c>
      <c r="J8" s="26" t="str">
        <f>IF($AO8,"#N/D",IFERROR(INDEX(Minculturas!$A$2:$A$48,MATCH($AM8,Minculturas!$C$2:$C$48,0)),"#N/D"))</f>
        <v>#N/D</v>
      </c>
      <c r="K8" s="26" t="str">
        <f>IF($AO8,"#N/D",IFERROR(INDEX(Minculturas!$B$2:$B$48,MATCH($AM8,Minculturas!$C$2:$C$48,0)),"#N/D"))</f>
        <v>#N/D</v>
      </c>
      <c r="L8" s="27">
        <v>124</v>
      </c>
      <c r="M8" s="28">
        <v>3</v>
      </c>
      <c r="N8" s="28">
        <v>17</v>
      </c>
      <c r="O8" s="28">
        <v>28</v>
      </c>
      <c r="P8" s="28">
        <v>5</v>
      </c>
      <c r="Q8" s="28">
        <v>30</v>
      </c>
      <c r="R8" s="28">
        <v>2</v>
      </c>
      <c r="S8" s="28">
        <v>7</v>
      </c>
      <c r="T8" s="28">
        <v>5</v>
      </c>
      <c r="U8" s="28">
        <v>0</v>
      </c>
      <c r="V8" s="28">
        <v>2</v>
      </c>
      <c r="W8" s="28">
        <v>5</v>
      </c>
      <c r="X8" s="28">
        <v>1</v>
      </c>
      <c r="Y8" s="28">
        <v>2</v>
      </c>
      <c r="Z8" s="28">
        <v>14</v>
      </c>
      <c r="AA8" s="28">
        <v>2</v>
      </c>
      <c r="AB8" s="28">
        <v>1</v>
      </c>
      <c r="AC8" s="28">
        <v>0</v>
      </c>
      <c r="AD8" s="28">
        <v>0</v>
      </c>
      <c r="AE8" s="27">
        <f>SUM(Tabla43[[#This Row],[Edificación colapsada]:[Robo]])</f>
        <v>124</v>
      </c>
      <c r="AF8" s="28" t="s">
        <v>328</v>
      </c>
      <c r="AG8" s="28" t="s">
        <v>989</v>
      </c>
      <c r="AH8" s="28">
        <v>41</v>
      </c>
      <c r="AI8" s="28"/>
      <c r="AJ8" s="28"/>
      <c r="AK8" s="29" t="s">
        <v>990</v>
      </c>
      <c r="AM8" t="str">
        <f t="shared" si="0"/>
        <v>buenaventura</v>
      </c>
      <c r="AN8" t="str">
        <f t="shared" si="1"/>
        <v>valle del cauca</v>
      </c>
      <c r="AO8" t="b">
        <f t="shared" si="2"/>
        <v>0</v>
      </c>
      <c r="AP8" t="str">
        <f t="shared" si="3"/>
        <v>buenaventura</v>
      </c>
    </row>
    <row r="9" spans="1:42" ht="25.5" customHeight="1" x14ac:dyDescent="0.25">
      <c r="A9" s="33" t="s">
        <v>1017</v>
      </c>
      <c r="B9" s="11" t="s">
        <v>49</v>
      </c>
      <c r="C9" s="40" t="s">
        <v>214</v>
      </c>
      <c r="D9" s="68"/>
      <c r="E9" s="11" t="s">
        <v>1018</v>
      </c>
      <c r="F9" s="25" t="str">
        <f>IFERROR(IF($AO9,INDEX(cpe!$C$2:$C$307,MATCH($AP9,cpe!$F$2:$F$307,0)),INDEX(cpe!$C$2:$C$307,MATCH($AP9,cpe!$D$2:$D$307,0))),"#N/D")</f>
        <v>#N/D</v>
      </c>
      <c r="G9" s="25" t="str">
        <f>IFERROR(IF($AO9,INDEX(cpe!$B$2:$B$307,MATCH($AP9,cpe!$F$2:$F$307,0)),INDEX(cpe!$B$2:$B$307,MATCH($AP9,cpe!$D$2:$D$307,0))),"#N/D")</f>
        <v>#N/D</v>
      </c>
      <c r="H9" s="26" t="str">
        <f>IF($AO9,"#N/D",IFERROR(INDEX(Olimpiadas!$B$2:$B$61,MATCH($AM9,Olimpiadas!$C$2:$C$61,0)),"#N/D"))</f>
        <v>#N/D</v>
      </c>
      <c r="I9" s="26" t="str">
        <f>IF($AO9,"#N/D",IFERROR(INDEX(Olimpiadas!$A$2:$A$61,MATCH($AM9,Olimpiadas!$C$2:$C$61,0)),"#N/D"))</f>
        <v>#N/D</v>
      </c>
      <c r="J9" s="26" t="str">
        <f>IF($AO9,"#N/D",IFERROR(INDEX(Minculturas!$A$2:$A$48,MATCH($AM9,Minculturas!$C$2:$C$48,0)),"#N/D"))</f>
        <v>#N/D</v>
      </c>
      <c r="K9" s="26" t="str">
        <f>IF($AO9,"#N/D",IFERROR(INDEX(Minculturas!$B$2:$B$48,MATCH($AM9,Minculturas!$C$2:$C$48,0)),"#N/D"))</f>
        <v>#N/D</v>
      </c>
      <c r="L9" s="27">
        <v>23</v>
      </c>
      <c r="M9" s="28">
        <v>1</v>
      </c>
      <c r="N9" s="28">
        <v>3</v>
      </c>
      <c r="O9" s="28">
        <v>1</v>
      </c>
      <c r="P9" s="28">
        <v>2</v>
      </c>
      <c r="Q9" s="28">
        <v>1</v>
      </c>
      <c r="R9" s="28">
        <v>1</v>
      </c>
      <c r="S9" s="28">
        <v>2</v>
      </c>
      <c r="T9" s="28">
        <v>0</v>
      </c>
      <c r="U9" s="28">
        <v>1</v>
      </c>
      <c r="V9" s="28">
        <v>5</v>
      </c>
      <c r="W9" s="28">
        <v>3</v>
      </c>
      <c r="X9" s="28">
        <v>1</v>
      </c>
      <c r="Y9" s="28">
        <v>0</v>
      </c>
      <c r="Z9" s="28">
        <v>2</v>
      </c>
      <c r="AA9" s="28">
        <v>0</v>
      </c>
      <c r="AB9" s="28">
        <v>0</v>
      </c>
      <c r="AC9" s="28">
        <v>0</v>
      </c>
      <c r="AD9" s="28">
        <v>0</v>
      </c>
      <c r="AE9" s="27">
        <f>SUM(Tabla43[[#This Row],[Edificación colapsada]:[Robo]])</f>
        <v>23</v>
      </c>
      <c r="AF9" s="28" t="s">
        <v>233</v>
      </c>
      <c r="AG9" s="28" t="s">
        <v>704</v>
      </c>
      <c r="AH9" s="28">
        <v>35.799999999999997</v>
      </c>
      <c r="AI9" s="28"/>
      <c r="AJ9" s="28"/>
      <c r="AK9" s="29" t="s">
        <v>1019</v>
      </c>
      <c r="AM9" t="str">
        <f t="shared" si="0"/>
        <v>el cairo</v>
      </c>
      <c r="AN9" t="str">
        <f t="shared" si="1"/>
        <v>valle del cauca</v>
      </c>
      <c r="AO9" t="b">
        <f t="shared" si="2"/>
        <v>0</v>
      </c>
      <c r="AP9" t="str">
        <f t="shared" si="3"/>
        <v>el cairo</v>
      </c>
    </row>
    <row r="10" spans="1:42" ht="25.5" customHeight="1" x14ac:dyDescent="0.25">
      <c r="A10" s="33" t="s">
        <v>971</v>
      </c>
      <c r="B10" s="11" t="s">
        <v>31</v>
      </c>
      <c r="C10" s="40" t="s">
        <v>214</v>
      </c>
      <c r="D10" s="68"/>
      <c r="E10" s="11" t="s">
        <v>972</v>
      </c>
      <c r="F10" s="25" t="str">
        <f>IFERROR(IF($AO10,INDEX(cpe!$C$2:$C$307,MATCH($AP10,cpe!$F$2:$F$307,0)),INDEX(cpe!$C$2:$C$307,MATCH($AP10,cpe!$D$2:$D$307,0))),"#N/D")</f>
        <v>#N/D</v>
      </c>
      <c r="G10" s="25" t="str">
        <f>IFERROR(IF($AO10,INDEX(cpe!$B$2:$B$307,MATCH($AP10,cpe!$F$2:$F$307,0)),INDEX(cpe!$B$2:$B$307,MATCH($AP10,cpe!$D$2:$D$307,0))),"#N/D")</f>
        <v>#N/D</v>
      </c>
      <c r="H10" s="26" t="str">
        <f>IF($AO10,"#N/D",IFERROR(INDEX(Olimpiadas!$B$2:$B$61,MATCH($AM10,Olimpiadas!$C$2:$C$61,0)),"#N/D"))</f>
        <v>#N/D</v>
      </c>
      <c r="I10" s="26" t="str">
        <f>IF($AO10,"#N/D",IFERROR(INDEX(Olimpiadas!$A$2:$A$61,MATCH($AM10,Olimpiadas!$C$2:$C$61,0)),"#N/D"))</f>
        <v>#N/D</v>
      </c>
      <c r="J10" s="26" t="str">
        <f>IF($AO10,"#N/D",IFERROR(INDEX(Minculturas!$A$2:$A$48,MATCH($AM10,Minculturas!$C$2:$C$48,0)),"#N/D"))</f>
        <v>#N/D</v>
      </c>
      <c r="K10" s="26" t="str">
        <f>IF($AO10,"#N/D",IFERROR(INDEX(Minculturas!$B$2:$B$48,MATCH($AM10,Minculturas!$C$2:$C$48,0)),"#N/D"))</f>
        <v>#N/D</v>
      </c>
      <c r="L10" s="27">
        <v>5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1</v>
      </c>
      <c r="S10" s="28">
        <v>2</v>
      </c>
      <c r="T10" s="28">
        <v>0</v>
      </c>
      <c r="U10" s="28">
        <v>0</v>
      </c>
      <c r="V10" s="28">
        <v>0</v>
      </c>
      <c r="W10" s="28">
        <v>1</v>
      </c>
      <c r="X10" s="28">
        <v>1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7">
        <f>SUM(Tabla43[[#This Row],[Edificación colapsada]:[Robo]])</f>
        <v>5</v>
      </c>
      <c r="AF10" s="28" t="s">
        <v>973</v>
      </c>
      <c r="AG10" s="28" t="s">
        <v>974</v>
      </c>
      <c r="AH10" s="28">
        <v>60.1</v>
      </c>
      <c r="AI10" s="28"/>
      <c r="AJ10" s="28"/>
      <c r="AK10" s="29" t="s">
        <v>975</v>
      </c>
      <c r="AM10" t="str">
        <f t="shared" si="0"/>
        <v>novita</v>
      </c>
      <c r="AN10" t="str">
        <f t="shared" si="1"/>
        <v>choco</v>
      </c>
      <c r="AO10" t="b">
        <f t="shared" si="2"/>
        <v>0</v>
      </c>
      <c r="AP10" t="str">
        <f t="shared" si="3"/>
        <v>novita</v>
      </c>
    </row>
    <row r="11" spans="1:42" ht="25.5" customHeight="1" x14ac:dyDescent="0.25">
      <c r="A11" s="33" t="s">
        <v>213</v>
      </c>
      <c r="B11" s="11" t="s">
        <v>31</v>
      </c>
      <c r="C11" s="40" t="s">
        <v>214</v>
      </c>
      <c r="D11" s="68"/>
      <c r="E11" s="11" t="s">
        <v>215</v>
      </c>
      <c r="F11" s="25" t="s">
        <v>106</v>
      </c>
      <c r="G11" s="25" t="s">
        <v>106</v>
      </c>
      <c r="H11" s="26" t="s">
        <v>106</v>
      </c>
      <c r="I11" s="26" t="str">
        <f>IF($AO11,"#N/D",IFERROR(INDEX(Olimpiadas!$A$2:$A$61,MATCH($AM11,Olimpiadas!$C$2:$C$61,0)),"#N/D"))</f>
        <v>#N/D</v>
      </c>
      <c r="J11" s="26" t="str">
        <f>IF($AO11,"#N/D",IFERROR(INDEX(Minculturas!$A$2:$A$48,MATCH($AM11,Minculturas!$C$2:$C$48,0)),"#N/D"))</f>
        <v>#N/D</v>
      </c>
      <c r="K11" s="26" t="str">
        <f>IF($AO11,"#N/D",IFERROR(INDEX(Minculturas!$B$2:$B$48,MATCH($AM11,Minculturas!$C$2:$C$48,0)),"#N/D"))</f>
        <v>#N/D</v>
      </c>
      <c r="L11" s="27">
        <v>3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2</v>
      </c>
      <c r="W11" s="28">
        <v>0</v>
      </c>
      <c r="X11" s="28">
        <v>0</v>
      </c>
      <c r="Y11" s="28">
        <v>0</v>
      </c>
      <c r="Z11" s="28">
        <v>1</v>
      </c>
      <c r="AA11" s="28">
        <v>0</v>
      </c>
      <c r="AB11" s="28">
        <v>0</v>
      </c>
      <c r="AC11" s="28">
        <v>0</v>
      </c>
      <c r="AD11" s="28">
        <v>0</v>
      </c>
      <c r="AE11" s="27">
        <f>SUM(Tabla43[[#This Row],[Edificación colapsada]:[Robo]])</f>
        <v>3</v>
      </c>
      <c r="AF11" s="28" t="s">
        <v>216</v>
      </c>
      <c r="AG11" s="28" t="s">
        <v>217</v>
      </c>
      <c r="AH11" s="28">
        <v>75.099999999999994</v>
      </c>
      <c r="AI11" s="28"/>
      <c r="AJ11" s="28"/>
      <c r="AK11" s="29" t="s">
        <v>218</v>
      </c>
      <c r="AM11" t="str">
        <f t="shared" si="0"/>
        <v>rio iro</v>
      </c>
      <c r="AN11" t="str">
        <f t="shared" si="1"/>
        <v>choco</v>
      </c>
      <c r="AO11" t="b">
        <f t="shared" si="2"/>
        <v>0</v>
      </c>
      <c r="AP11" t="str">
        <f t="shared" si="3"/>
        <v>rio iro</v>
      </c>
    </row>
    <row r="12" spans="1:42" ht="25.5" customHeight="1" x14ac:dyDescent="0.25">
      <c r="A12" s="33" t="s">
        <v>991</v>
      </c>
      <c r="B12" s="11" t="s">
        <v>49</v>
      </c>
      <c r="C12" s="40" t="s">
        <v>214</v>
      </c>
      <c r="D12" s="68"/>
      <c r="E12" s="11" t="s">
        <v>992</v>
      </c>
      <c r="F12" s="25" t="s">
        <v>993</v>
      </c>
      <c r="G12" s="25" t="s">
        <v>992</v>
      </c>
      <c r="H12" s="26" t="s">
        <v>106</v>
      </c>
      <c r="I12" s="26" t="str">
        <f>IF($AO12,"#N/D",IFERROR(INDEX(Olimpiadas!$A$2:$A$61,MATCH($AM12,Olimpiadas!$C$2:$C$61,0)),"#N/D"))</f>
        <v>#N/D</v>
      </c>
      <c r="J12" s="26" t="str">
        <f>IF($AO12,"#N/D",IFERROR(INDEX(Minculturas!$A$2:$A$48,MATCH($AM12,Minculturas!$C$2:$C$48,0)),"#N/D"))</f>
        <v>#N/D</v>
      </c>
      <c r="K12" s="26" t="str">
        <f>IF($AO12,"#N/D",IFERROR(INDEX(Minculturas!$B$2:$B$48,MATCH($AM12,Minculturas!$C$2:$C$48,0)),"#N/D"))</f>
        <v>#N/D</v>
      </c>
      <c r="L12" s="27">
        <v>17</v>
      </c>
      <c r="M12" s="28">
        <v>0</v>
      </c>
      <c r="N12" s="28">
        <v>5</v>
      </c>
      <c r="O12" s="28">
        <v>2</v>
      </c>
      <c r="P12" s="28">
        <v>1</v>
      </c>
      <c r="Q12" s="28">
        <v>1</v>
      </c>
      <c r="R12" s="28">
        <v>0</v>
      </c>
      <c r="S12" s="28">
        <v>2</v>
      </c>
      <c r="T12" s="28">
        <v>0</v>
      </c>
      <c r="U12" s="28">
        <v>0</v>
      </c>
      <c r="V12" s="28">
        <v>0</v>
      </c>
      <c r="W12" s="28">
        <v>3</v>
      </c>
      <c r="X12" s="28">
        <v>1</v>
      </c>
      <c r="Y12" s="28">
        <v>1</v>
      </c>
      <c r="Z12" s="28">
        <v>1</v>
      </c>
      <c r="AA12" s="28">
        <v>0</v>
      </c>
      <c r="AB12" s="28">
        <v>0</v>
      </c>
      <c r="AC12" s="28">
        <v>0</v>
      </c>
      <c r="AD12" s="28">
        <v>0</v>
      </c>
      <c r="AE12" s="27">
        <f>SUM(Tabla43[[#This Row],[Edificación colapsada]:[Robo]])</f>
        <v>17</v>
      </c>
      <c r="AF12" s="28" t="s">
        <v>994</v>
      </c>
      <c r="AG12" s="28" t="s">
        <v>995</v>
      </c>
      <c r="AH12" s="28">
        <v>27.4</v>
      </c>
      <c r="AI12" s="28"/>
      <c r="AJ12" s="28"/>
      <c r="AK12" s="29" t="s">
        <v>996</v>
      </c>
      <c r="AM12" t="str">
        <f t="shared" si="0"/>
        <v>sevilla</v>
      </c>
      <c r="AN12" t="str">
        <f t="shared" si="1"/>
        <v>valle del cauca</v>
      </c>
      <c r="AO12" t="b">
        <f t="shared" si="2"/>
        <v>0</v>
      </c>
      <c r="AP12" t="str">
        <f t="shared" si="3"/>
        <v>sevilla</v>
      </c>
    </row>
    <row r="13" spans="1:42" ht="25.5" customHeight="1" x14ac:dyDescent="0.25">
      <c r="A13" s="33" t="s">
        <v>751</v>
      </c>
      <c r="B13" s="11" t="s">
        <v>35</v>
      </c>
      <c r="C13" s="40" t="s">
        <v>214</v>
      </c>
      <c r="D13" s="68"/>
      <c r="E13" s="11" t="s">
        <v>752</v>
      </c>
      <c r="F13" s="25" t="s">
        <v>106</v>
      </c>
      <c r="G13" s="25" t="s">
        <v>106</v>
      </c>
      <c r="H13" s="26" t="s">
        <v>106</v>
      </c>
      <c r="I13" s="26" t="str">
        <f>IF($AO13,"#N/D",IFERROR(INDEX(Olimpiadas!$A$2:$A$61,MATCH($AM13,Olimpiadas!$C$2:$C$61,0)),"#N/D"))</f>
        <v>#N/D</v>
      </c>
      <c r="J13" s="26" t="str">
        <f>IF($AO13,"#N/D",IFERROR(INDEX(Minculturas!$A$2:$A$48,MATCH($AM13,Minculturas!$C$2:$C$48,0)),"#N/D"))</f>
        <v>#N/D</v>
      </c>
      <c r="K13" s="26" t="str">
        <f>IF($AO13,"#N/D",IFERROR(INDEX(Minculturas!$B$2:$B$48,MATCH($AM13,Minculturas!$C$2:$C$48,0)),"#N/D"))</f>
        <v>#N/D</v>
      </c>
      <c r="L13" s="27">
        <v>1</v>
      </c>
      <c r="M13" s="28">
        <v>0</v>
      </c>
      <c r="N13" s="28">
        <v>1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7">
        <f>SUM(Tabla43[[#This Row],[Edificación colapsada]:[Robo]])</f>
        <v>1</v>
      </c>
      <c r="AF13" s="28"/>
      <c r="AG13" s="28"/>
      <c r="AH13" s="28">
        <v>18.5</v>
      </c>
      <c r="AI13" s="28"/>
      <c r="AJ13" s="28"/>
      <c r="AK13" s="29" t="s">
        <v>753</v>
      </c>
      <c r="AM13" t="str">
        <f t="shared" si="0"/>
        <v>tena</v>
      </c>
      <c r="AN13" t="str">
        <f t="shared" si="1"/>
        <v>cundinamarca</v>
      </c>
      <c r="AO13" t="b">
        <f t="shared" si="2"/>
        <v>0</v>
      </c>
      <c r="AP13" t="str">
        <f t="shared" si="3"/>
        <v>tena</v>
      </c>
    </row>
    <row r="14" spans="1:42" ht="25.5" customHeight="1" x14ac:dyDescent="0.25">
      <c r="A14" s="33" t="s">
        <v>303</v>
      </c>
      <c r="B14" s="11" t="s">
        <v>49</v>
      </c>
      <c r="C14" s="40" t="s">
        <v>214</v>
      </c>
      <c r="D14" s="68"/>
      <c r="E14" s="11" t="s">
        <v>304</v>
      </c>
      <c r="F14" s="25" t="s">
        <v>106</v>
      </c>
      <c r="G14" s="25" t="s">
        <v>106</v>
      </c>
      <c r="H14" s="26" t="s">
        <v>106</v>
      </c>
      <c r="I14" s="26" t="str">
        <f>IF($AO14,"#N/D",IFERROR(INDEX(Olimpiadas!$A$2:$A$61,MATCH($AM14,Olimpiadas!$C$2:$C$61,0)),"#N/D"))</f>
        <v>#N/D</v>
      </c>
      <c r="J14" s="26" t="str">
        <f>IF($AO14,"#N/D",IFERROR(INDEX(Minculturas!$A$2:$A$48,MATCH($AM14,Minculturas!$C$2:$C$48,0)),"#N/D"))</f>
        <v>#N/D</v>
      </c>
      <c r="K14" s="26" t="str">
        <f>IF($AO14,"#N/D",IFERROR(INDEX(Minculturas!$B$2:$B$48,MATCH($AM14,Minculturas!$C$2:$C$48,0)),"#N/D"))</f>
        <v>#N/D</v>
      </c>
      <c r="L14" s="27">
        <v>11</v>
      </c>
      <c r="M14" s="28">
        <v>0</v>
      </c>
      <c r="N14" s="28">
        <v>2</v>
      </c>
      <c r="O14" s="28">
        <v>4</v>
      </c>
      <c r="P14" s="28">
        <v>1</v>
      </c>
      <c r="Q14" s="28">
        <v>0</v>
      </c>
      <c r="R14" s="28">
        <v>0</v>
      </c>
      <c r="S14" s="28">
        <v>1</v>
      </c>
      <c r="T14" s="28">
        <v>0</v>
      </c>
      <c r="U14" s="28">
        <v>0</v>
      </c>
      <c r="V14" s="28">
        <v>0</v>
      </c>
      <c r="W14" s="28">
        <v>0</v>
      </c>
      <c r="X14" s="28">
        <v>1</v>
      </c>
      <c r="Y14" s="28">
        <v>0</v>
      </c>
      <c r="Z14" s="28">
        <v>1</v>
      </c>
      <c r="AA14" s="28">
        <v>1</v>
      </c>
      <c r="AB14" s="28">
        <v>0</v>
      </c>
      <c r="AC14" s="28">
        <v>0</v>
      </c>
      <c r="AD14" s="28">
        <v>0</v>
      </c>
      <c r="AE14" s="27">
        <f>SUM(Tabla43[[#This Row],[Edificación colapsada]:[Robo]])</f>
        <v>11</v>
      </c>
      <c r="AF14" s="28" t="s">
        <v>305</v>
      </c>
      <c r="AG14" s="28" t="s">
        <v>306</v>
      </c>
      <c r="AH14" s="28">
        <v>17.2</v>
      </c>
      <c r="AI14" s="28"/>
      <c r="AJ14" s="28"/>
      <c r="AK14" s="29" t="s">
        <v>307</v>
      </c>
      <c r="AM14" t="str">
        <f t="shared" si="0"/>
        <v>zarzal</v>
      </c>
      <c r="AN14" t="str">
        <f t="shared" si="1"/>
        <v>valle del cauca</v>
      </c>
      <c r="AO14" t="b">
        <f t="shared" si="2"/>
        <v>0</v>
      </c>
      <c r="AP14" t="str">
        <f t="shared" si="3"/>
        <v>zarzal</v>
      </c>
    </row>
    <row r="15" spans="1:42" ht="25.5" customHeight="1" x14ac:dyDescent="0.25">
      <c r="A15" s="33" t="s">
        <v>172</v>
      </c>
      <c r="B15" s="11" t="s">
        <v>24</v>
      </c>
      <c r="C15" s="23" t="s">
        <v>104</v>
      </c>
      <c r="D15" s="69"/>
      <c r="E15" s="11" t="s">
        <v>173</v>
      </c>
      <c r="F15" s="25" t="str">
        <f>IFERROR(IF($AO15,INDEX(cpe!$C$2:$C$307,MATCH($AP15,cpe!$F$2:$F$307,0)),INDEX(cpe!$C$2:$C$307,MATCH($AP15,cpe!$D$2:$D$307,0))),"#N/D")</f>
        <v>#N/D</v>
      </c>
      <c r="G15" s="25" t="str">
        <f>IFERROR(IF($AO15,INDEX(cpe!$B$2:$B$307,MATCH($AP15,cpe!$F$2:$F$307,0)),INDEX(cpe!$B$2:$B$307,MATCH($AP15,cpe!$D$2:$D$307,0))),"#N/D")</f>
        <v>#N/D</v>
      </c>
      <c r="H15" s="26" t="str">
        <f>IF($AO15,"#N/D",IFERROR(INDEX(Olimpiadas!$B$2:$B$61,MATCH($AM15,Olimpiadas!$C$2:$C$61,0)),"#N/D"))</f>
        <v>#N/D</v>
      </c>
      <c r="I15" s="26" t="str">
        <f>IF($AO15,"#N/D",IFERROR(INDEX(Olimpiadas!$A$2:$A$61,MATCH($AM15,Olimpiadas!$C$2:$C$61,0)),"#N/D"))</f>
        <v>#N/D</v>
      </c>
      <c r="J15" s="26" t="str">
        <f>IF($AO15,"#N/D",IFERROR(INDEX(Minculturas!$A$2:$A$48,MATCH($AM15,Minculturas!$C$2:$C$48,0)),"#N/D"))</f>
        <v>#N/D</v>
      </c>
      <c r="K15" s="26" t="str">
        <f>IF($AO15,"#N/D",IFERROR(INDEX(Minculturas!$B$2:$B$48,MATCH($AM15,Minculturas!$C$2:$C$48,0)),"#N/D"))</f>
        <v>#N/D</v>
      </c>
      <c r="L15" s="27">
        <v>12</v>
      </c>
      <c r="M15" s="28">
        <v>0</v>
      </c>
      <c r="N15" s="28">
        <v>4</v>
      </c>
      <c r="O15" s="28">
        <v>1</v>
      </c>
      <c r="P15" s="28">
        <v>0</v>
      </c>
      <c r="Q15" s="28">
        <v>2</v>
      </c>
      <c r="R15" s="28">
        <v>1</v>
      </c>
      <c r="S15" s="28">
        <v>1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3</v>
      </c>
      <c r="AA15" s="28">
        <v>0</v>
      </c>
      <c r="AB15" s="28">
        <v>0</v>
      </c>
      <c r="AC15" s="28">
        <v>0</v>
      </c>
      <c r="AD15" s="28">
        <v>0</v>
      </c>
      <c r="AE15" s="27">
        <f>SUM(Tabla43[[#This Row],[Edificación colapsada]:[Robo]])</f>
        <v>12</v>
      </c>
      <c r="AF15" s="38" t="s">
        <v>174</v>
      </c>
      <c r="AG15" s="38" t="s">
        <v>175</v>
      </c>
      <c r="AH15" s="28">
        <v>32.5</v>
      </c>
      <c r="AI15" s="28"/>
      <c r="AJ15" s="28"/>
      <c r="AK15" s="29" t="s">
        <v>176</v>
      </c>
      <c r="AM15" t="str">
        <f t="shared" si="0"/>
        <v>anserma</v>
      </c>
      <c r="AN15" t="str">
        <f t="shared" si="1"/>
        <v>caldas</v>
      </c>
      <c r="AO15" t="b">
        <f t="shared" si="2"/>
        <v>0</v>
      </c>
      <c r="AP15" t="str">
        <f t="shared" si="3"/>
        <v>anserma</v>
      </c>
    </row>
    <row r="16" spans="1:42" ht="25.5" customHeight="1" x14ac:dyDescent="0.25">
      <c r="A16" s="33" t="s">
        <v>513</v>
      </c>
      <c r="B16" s="11" t="s">
        <v>35</v>
      </c>
      <c r="C16" s="23" t="s">
        <v>104</v>
      </c>
      <c r="D16" s="69"/>
      <c r="E16" s="11" t="s">
        <v>514</v>
      </c>
      <c r="F16" s="25" t="str">
        <f>IFERROR(IF($AO16,INDEX(cpe!$C$2:$C$307,MATCH($AP16,cpe!$F$2:$F$307,0)),INDEX(cpe!$C$2:$C$307,MATCH($AP16,cpe!$D$2:$D$307,0))),"#N/D")</f>
        <v>#N/D</v>
      </c>
      <c r="G16" s="25" t="str">
        <f>IFERROR(IF($AO16,INDEX(cpe!$B$2:$B$307,MATCH($AP16,cpe!$F$2:$F$307,0)),INDEX(cpe!$B$2:$B$307,MATCH($AP16,cpe!$D$2:$D$307,0))),"#N/D")</f>
        <v>#N/D</v>
      </c>
      <c r="H16" s="26" t="str">
        <f>IF($AO16,"#N/D",IFERROR(INDEX(Olimpiadas!$B$2:$B$61,MATCH($AM16,Olimpiadas!$C$2:$C$61,0)),"#N/D"))</f>
        <v>#N/D</v>
      </c>
      <c r="I16" s="26" t="str">
        <f>IF($AO16,"#N/D",IFERROR(INDEX(Olimpiadas!$A$2:$A$61,MATCH($AM16,Olimpiadas!$C$2:$C$61,0)),"#N/D"))</f>
        <v>#N/D</v>
      </c>
      <c r="J16" s="26" t="str">
        <f>IF($AO16,"#N/D",IFERROR(INDEX(Minculturas!$A$2:$A$48,MATCH($AM16,Minculturas!$C$2:$C$48,0)),"#N/D"))</f>
        <v>#N/D</v>
      </c>
      <c r="K16" s="26" t="str">
        <f>IF($AO16,"#N/D",IFERROR(INDEX(Minculturas!$B$2:$B$48,MATCH($AM16,Minculturas!$C$2:$C$48,0)),"#N/D"))</f>
        <v>#N/D</v>
      </c>
      <c r="L16" s="27">
        <v>3</v>
      </c>
      <c r="M16" s="28">
        <v>0</v>
      </c>
      <c r="N16" s="28">
        <v>0</v>
      </c>
      <c r="O16" s="28">
        <v>2</v>
      </c>
      <c r="P16" s="28">
        <v>0</v>
      </c>
      <c r="Q16" s="28">
        <v>1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7">
        <f>SUM(Tabla43[[#This Row],[Edificación colapsada]:[Robo]])</f>
        <v>3</v>
      </c>
      <c r="AF16" s="28"/>
      <c r="AG16" s="28"/>
      <c r="AH16" s="28">
        <v>28.4</v>
      </c>
      <c r="AI16" s="28"/>
      <c r="AJ16" s="28"/>
      <c r="AK16" s="29" t="s">
        <v>515</v>
      </c>
      <c r="AM16" t="str">
        <f t="shared" si="0"/>
        <v>apulo</v>
      </c>
      <c r="AN16" t="str">
        <f t="shared" si="1"/>
        <v>cundinamarca</v>
      </c>
      <c r="AO16" t="b">
        <f t="shared" si="2"/>
        <v>0</v>
      </c>
      <c r="AP16" t="str">
        <f t="shared" si="3"/>
        <v>apulo</v>
      </c>
    </row>
    <row r="17" spans="1:42" ht="25.5" customHeight="1" x14ac:dyDescent="0.25">
      <c r="A17" s="33" t="s">
        <v>829</v>
      </c>
      <c r="B17" s="11" t="s">
        <v>44</v>
      </c>
      <c r="C17" s="23" t="s">
        <v>104</v>
      </c>
      <c r="D17" s="69"/>
      <c r="E17" s="11" t="s">
        <v>830</v>
      </c>
      <c r="F17" s="25" t="str">
        <f>IFERROR(IF($AO17,INDEX(cpe!$C$2:$C$307,MATCH($AP17,cpe!$F$2:$F$307,0)),INDEX(cpe!$C$2:$C$307,MATCH($AP17,cpe!$D$2:$D$307,0))),"#N/D")</f>
        <v>#N/D</v>
      </c>
      <c r="G17" s="25" t="str">
        <f>IFERROR(IF($AO17,INDEX(cpe!$B$2:$B$307,MATCH($AP17,cpe!$F$2:$F$307,0)),INDEX(cpe!$B$2:$B$307,MATCH($AP17,cpe!$D$2:$D$307,0))),"#N/D")</f>
        <v>#N/D</v>
      </c>
      <c r="H17" s="11" t="s">
        <v>830</v>
      </c>
      <c r="I17" s="52" t="s">
        <v>831</v>
      </c>
      <c r="J17" s="52" t="str">
        <f>IF($AO17,"#N/D",IFERROR(INDEX(Minculturas!$A$2:$A$48,MATCH($AM17,Minculturas!$C$2:$C$48,0)),"#N/D"))</f>
        <v>#N/D</v>
      </c>
      <c r="K17" s="52" t="str">
        <f>IF($AO17,"#N/D",IFERROR(INDEX(Minculturas!$B$2:$B$48,MATCH($AM17,Minculturas!$C$2:$C$48,0)),"#N/D"))</f>
        <v>#N/D</v>
      </c>
      <c r="L17" s="27">
        <v>121</v>
      </c>
      <c r="M17" s="28">
        <v>3</v>
      </c>
      <c r="N17" s="28">
        <v>34</v>
      </c>
      <c r="O17" s="28">
        <v>11</v>
      </c>
      <c r="P17" s="28">
        <v>6</v>
      </c>
      <c r="Q17" s="28">
        <v>12</v>
      </c>
      <c r="R17" s="28">
        <v>6</v>
      </c>
      <c r="S17" s="28">
        <v>5</v>
      </c>
      <c r="T17" s="28">
        <v>4</v>
      </c>
      <c r="U17" s="28">
        <v>0</v>
      </c>
      <c r="V17" s="28">
        <v>2</v>
      </c>
      <c r="W17" s="28">
        <v>5</v>
      </c>
      <c r="X17" s="28">
        <v>4</v>
      </c>
      <c r="Y17" s="28">
        <v>3</v>
      </c>
      <c r="Z17" s="28">
        <v>22</v>
      </c>
      <c r="AA17" s="28">
        <v>0</v>
      </c>
      <c r="AB17" s="28">
        <v>0</v>
      </c>
      <c r="AC17" s="28">
        <v>1</v>
      </c>
      <c r="AD17" s="28">
        <v>1</v>
      </c>
      <c r="AE17" s="27">
        <f>SUM(Tabla43[[#This Row],[Edificación colapsada]:[Robo]])</f>
        <v>119</v>
      </c>
      <c r="AF17" s="28" t="s">
        <v>832</v>
      </c>
      <c r="AG17" s="28" t="s">
        <v>833</v>
      </c>
      <c r="AH17" s="28">
        <v>14.4</v>
      </c>
      <c r="AI17" s="28"/>
      <c r="AJ17" s="28"/>
      <c r="AK17" s="29" t="s">
        <v>834</v>
      </c>
      <c r="AM17" t="str">
        <f t="shared" si="0"/>
        <v>armenia</v>
      </c>
      <c r="AN17" t="str">
        <f t="shared" si="1"/>
        <v>quindio</v>
      </c>
      <c r="AO17" t="b">
        <f t="shared" si="2"/>
        <v>1</v>
      </c>
      <c r="AP17" t="str">
        <f t="shared" si="3"/>
        <v>armenia|quindio</v>
      </c>
    </row>
    <row r="18" spans="1:42" ht="25.5" customHeight="1" x14ac:dyDescent="0.25">
      <c r="A18" s="33" t="s">
        <v>1020</v>
      </c>
      <c r="B18" s="11" t="s">
        <v>45</v>
      </c>
      <c r="C18" s="23" t="s">
        <v>104</v>
      </c>
      <c r="D18" s="69"/>
      <c r="E18" s="11" t="s">
        <v>1021</v>
      </c>
      <c r="F18" s="25" t="str">
        <f>IFERROR(IF($AO18,INDEX(cpe!$C$2:$C$307,MATCH($AP18,cpe!$F$2:$F$307,0)),INDEX(cpe!$C$2:$C$307,MATCH($AP18,cpe!$D$2:$D$307,0))),"#N/D")</f>
        <v>#N/D</v>
      </c>
      <c r="G18" s="25" t="str">
        <f>IFERROR(IF($AO18,INDEX(cpe!$B$2:$B$307,MATCH($AP18,cpe!$F$2:$F$307,0)),INDEX(cpe!$B$2:$B$307,MATCH($AP18,cpe!$D$2:$D$307,0))),"#N/D")</f>
        <v>#N/D</v>
      </c>
      <c r="H18" s="26" t="str">
        <f>IF($AO18,"#N/D",IFERROR(INDEX(Olimpiadas!$B$2:$B$61,MATCH($AM18,Olimpiadas!$C$2:$C$61,0)),"#N/D"))</f>
        <v>#N/D</v>
      </c>
      <c r="I18" s="26" t="str">
        <f>IF($AO18,"#N/D",IFERROR(INDEX(Olimpiadas!$A$2:$A$61,MATCH($AM18,Olimpiadas!$C$2:$C$61,0)),"#N/D"))</f>
        <v>#N/D</v>
      </c>
      <c r="J18" s="26" t="str">
        <f>IF($AO18,"#N/D",IFERROR(INDEX(Minculturas!$A$2:$A$48,MATCH($AM18,Minculturas!$C$2:$C$48,0)),"#N/D"))</f>
        <v>#N/D</v>
      </c>
      <c r="K18" s="26" t="str">
        <f>IF($AO18,"#N/D",IFERROR(INDEX(Minculturas!$B$2:$B$48,MATCH($AM18,Minculturas!$C$2:$C$48,0)),"#N/D"))</f>
        <v>#N/D</v>
      </c>
      <c r="L18" s="27">
        <v>10</v>
      </c>
      <c r="M18" s="28">
        <v>0</v>
      </c>
      <c r="N18" s="35">
        <v>2</v>
      </c>
      <c r="O18" s="35">
        <v>2</v>
      </c>
      <c r="P18" s="35">
        <v>1</v>
      </c>
      <c r="Q18" s="35">
        <v>0</v>
      </c>
      <c r="R18" s="35">
        <v>1</v>
      </c>
      <c r="S18" s="35">
        <v>2</v>
      </c>
      <c r="T18" s="35">
        <v>0</v>
      </c>
      <c r="U18" s="35">
        <v>0</v>
      </c>
      <c r="V18" s="35">
        <v>0</v>
      </c>
      <c r="W18" s="35">
        <v>1</v>
      </c>
      <c r="X18" s="35">
        <v>0</v>
      </c>
      <c r="Y18" s="35">
        <v>0</v>
      </c>
      <c r="Z18" s="35">
        <v>1</v>
      </c>
      <c r="AA18" s="35">
        <v>0</v>
      </c>
      <c r="AB18" s="35">
        <v>0</v>
      </c>
      <c r="AC18" s="35">
        <v>0</v>
      </c>
      <c r="AD18" s="35">
        <v>0</v>
      </c>
      <c r="AE18" s="36">
        <f>SUM(Tabla43[[#This Row],[Edificación colapsada]:[Robo]])</f>
        <v>10</v>
      </c>
      <c r="AF18" s="37" t="s">
        <v>1022</v>
      </c>
      <c r="AG18" s="37" t="s">
        <v>1023</v>
      </c>
      <c r="AH18" s="28">
        <v>35.6</v>
      </c>
      <c r="AI18" s="28"/>
      <c r="AJ18" s="28"/>
      <c r="AK18" s="29" t="s">
        <v>1024</v>
      </c>
      <c r="AM18" t="str">
        <f t="shared" si="0"/>
        <v>belen de umbria</v>
      </c>
      <c r="AN18" t="str">
        <f t="shared" si="1"/>
        <v>risaralda</v>
      </c>
      <c r="AO18" t="b">
        <f t="shared" si="2"/>
        <v>0</v>
      </c>
      <c r="AP18" t="str">
        <f t="shared" si="3"/>
        <v>belen de umbria</v>
      </c>
    </row>
    <row r="19" spans="1:42" ht="25.5" customHeight="1" x14ac:dyDescent="0.25">
      <c r="A19" s="33" t="s">
        <v>997</v>
      </c>
      <c r="B19" s="11" t="s">
        <v>49</v>
      </c>
      <c r="C19" s="23" t="s">
        <v>104</v>
      </c>
      <c r="D19" s="69"/>
      <c r="E19" s="11" t="s">
        <v>998</v>
      </c>
      <c r="F19" s="25" t="str">
        <f>IFERROR(IF($AO19,INDEX(cpe!$C$2:$C$307,MATCH($AP19,cpe!$F$2:$F$307,0)),INDEX(cpe!$C$2:$C$307,MATCH($AP19,cpe!$D$2:$D$307,0))),"#N/D")</f>
        <v>Institucion Educativa Distrital la Luz</v>
      </c>
      <c r="G19" s="25" t="str">
        <f>IFERROR(IF($AO19,INDEX(cpe!$B$2:$B$307,MATCH($AP19,cpe!$F$2:$F$307,0)),INDEX(cpe!$B$2:$B$307,MATCH($AP19,cpe!$D$2:$D$307,0))),"#N/D")</f>
        <v>Buga</v>
      </c>
      <c r="H19" s="26" t="str">
        <f>IF($AO19,"#N/D",IFERROR(INDEX(Olimpiadas!$B$2:$B$61,MATCH($AM19,Olimpiadas!$C$2:$C$61,0)),"#N/D"))</f>
        <v>#N/D</v>
      </c>
      <c r="I19" s="26" t="str">
        <f>IF($AO19,"#N/D",IFERROR(INDEX(Olimpiadas!$A$2:$A$61,MATCH($AM19,Olimpiadas!$C$2:$C$61,0)),"#N/D"))</f>
        <v>#N/D</v>
      </c>
      <c r="J19" s="26" t="str">
        <f>IF($AO19,"#N/D",IFERROR(INDEX(Minculturas!$A$2:$A$48,MATCH($AM19,Minculturas!$C$2:$C$48,0)),"#N/D"))</f>
        <v>#N/D</v>
      </c>
      <c r="K19" s="26" t="str">
        <f>IF($AO19,"#N/D",IFERROR(INDEX(Minculturas!$B$2:$B$48,MATCH($AM19,Minculturas!$C$2:$C$48,0)),"#N/D"))</f>
        <v>#N/D</v>
      </c>
      <c r="L19" s="27">
        <v>41</v>
      </c>
      <c r="M19" s="28">
        <v>0</v>
      </c>
      <c r="N19" s="28">
        <v>8</v>
      </c>
      <c r="O19" s="28">
        <v>0</v>
      </c>
      <c r="P19" s="28">
        <v>5</v>
      </c>
      <c r="Q19" s="28">
        <v>3</v>
      </c>
      <c r="R19" s="28">
        <v>2</v>
      </c>
      <c r="S19" s="28">
        <v>1</v>
      </c>
      <c r="T19" s="28">
        <v>6</v>
      </c>
      <c r="U19" s="28">
        <v>1</v>
      </c>
      <c r="V19" s="28">
        <v>1</v>
      </c>
      <c r="W19" s="28">
        <v>3</v>
      </c>
      <c r="X19" s="28">
        <v>2</v>
      </c>
      <c r="Y19" s="28">
        <v>0</v>
      </c>
      <c r="Z19" s="28">
        <v>8</v>
      </c>
      <c r="AA19" s="28">
        <v>1</v>
      </c>
      <c r="AB19" s="28">
        <v>0</v>
      </c>
      <c r="AC19" s="28">
        <v>0</v>
      </c>
      <c r="AD19" s="28">
        <v>0</v>
      </c>
      <c r="AE19" s="27">
        <f>SUM(Tabla43[[#This Row],[Edificación colapsada]:[Robo]])</f>
        <v>41</v>
      </c>
      <c r="AF19" s="28"/>
      <c r="AG19" s="28"/>
      <c r="AH19" s="28">
        <v>12.3</v>
      </c>
      <c r="AI19" s="28"/>
      <c r="AJ19" s="28"/>
      <c r="AK19" s="29" t="s">
        <v>999</v>
      </c>
      <c r="AM19" t="str">
        <f t="shared" si="0"/>
        <v>buga</v>
      </c>
      <c r="AN19" t="str">
        <f t="shared" si="1"/>
        <v>valle del cauca</v>
      </c>
      <c r="AO19" t="b">
        <f t="shared" si="2"/>
        <v>0</v>
      </c>
      <c r="AP19" t="str">
        <f t="shared" si="3"/>
        <v>buga</v>
      </c>
    </row>
    <row r="20" spans="1:42" ht="25.5" customHeight="1" x14ac:dyDescent="0.25">
      <c r="A20" s="33" t="s">
        <v>734</v>
      </c>
      <c r="B20" s="11" t="s">
        <v>35</v>
      </c>
      <c r="C20" s="23" t="s">
        <v>104</v>
      </c>
      <c r="D20" s="69"/>
      <c r="E20" s="11" t="s">
        <v>735</v>
      </c>
      <c r="F20" s="25" t="str">
        <f>IFERROR(IF($AO20,INDEX(cpe!$C$2:$C$307,MATCH($AP20,cpe!$F$2:$F$307,0)),INDEX(cpe!$C$2:$C$307,MATCH($AP20,cpe!$D$2:$D$307,0))),"#N/D")</f>
        <v>Institucion Educativa Distrital del Barrio Simon Bolivar</v>
      </c>
      <c r="G20" s="25" t="str">
        <f>IFERROR(IF($AO20,INDEX(cpe!$B$2:$B$307,MATCH($AP20,cpe!$F$2:$F$307,0)),INDEX(cpe!$B$2:$B$307,MATCH($AP20,cpe!$D$2:$D$307,0))),"#N/D")</f>
        <v>Cabrera</v>
      </c>
      <c r="H20" s="26" t="str">
        <f>IF($AO20,"#N/D",IFERROR(INDEX(Olimpiadas!$B$2:$B$61,MATCH($AM20,Olimpiadas!$C$2:$C$61,0)),"#N/D"))</f>
        <v>#N/D</v>
      </c>
      <c r="I20" s="26" t="str">
        <f>IF($AO20,"#N/D",IFERROR(INDEX(Olimpiadas!$A$2:$A$61,MATCH($AM20,Olimpiadas!$C$2:$C$61,0)),"#N/D"))</f>
        <v>#N/D</v>
      </c>
      <c r="J20" s="26" t="str">
        <f>IF($AO20,"#N/D",IFERROR(INDEX(Minculturas!$A$2:$A$48,MATCH($AM20,Minculturas!$C$2:$C$48,0)),"#N/D"))</f>
        <v>#N/D</v>
      </c>
      <c r="K20" s="26" t="str">
        <f>IF($AO20,"#N/D",IFERROR(INDEX(Minculturas!$B$2:$B$48,MATCH($AM20,Minculturas!$C$2:$C$48,0)),"#N/D"))</f>
        <v>#N/D</v>
      </c>
      <c r="L20" s="27">
        <v>1</v>
      </c>
      <c r="M20" s="28">
        <v>0</v>
      </c>
      <c r="N20" s="28">
        <v>0</v>
      </c>
      <c r="O20" s="28">
        <v>0</v>
      </c>
      <c r="P20" s="28">
        <v>0</v>
      </c>
      <c r="Q20" s="28">
        <v>1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7">
        <f>SUM(Tabla43[[#This Row],[Edificación colapsada]:[Robo]])</f>
        <v>1</v>
      </c>
      <c r="AF20" s="28"/>
      <c r="AG20" s="28"/>
      <c r="AH20" s="28">
        <v>39.5</v>
      </c>
      <c r="AI20" s="28"/>
      <c r="AJ20" s="28"/>
      <c r="AK20" s="29" t="s">
        <v>736</v>
      </c>
      <c r="AM20" t="str">
        <f t="shared" si="0"/>
        <v>cabrera</v>
      </c>
      <c r="AN20" t="str">
        <f t="shared" si="1"/>
        <v>cundinamarca</v>
      </c>
      <c r="AO20" t="b">
        <f t="shared" si="2"/>
        <v>0</v>
      </c>
      <c r="AP20" t="str">
        <f t="shared" si="3"/>
        <v>cabrera</v>
      </c>
    </row>
    <row r="21" spans="1:42" ht="25.5" customHeight="1" x14ac:dyDescent="0.25">
      <c r="A21" s="33" t="s">
        <v>1169</v>
      </c>
      <c r="B21" s="11" t="s">
        <v>35</v>
      </c>
      <c r="C21" s="23" t="s">
        <v>104</v>
      </c>
      <c r="D21" s="69"/>
      <c r="E21" s="11" t="s">
        <v>1170</v>
      </c>
      <c r="F21" s="25" t="str">
        <f>IFERROR(IF($AO21,INDEX(cpe!$C$2:$C$307,MATCH($AP21,cpe!$F$2:$F$307,0)),INDEX(cpe!$C$2:$C$307,MATCH($AP21,cpe!$D$2:$D$307,0))),"#N/D")</f>
        <v>#N/D</v>
      </c>
      <c r="G21" s="25" t="str">
        <f>IFERROR(IF($AO21,INDEX(cpe!$B$2:$B$307,MATCH($AP21,cpe!$F$2:$F$307,0)),INDEX(cpe!$B$2:$B$307,MATCH($AP21,cpe!$D$2:$D$307,0))),"#N/D")</f>
        <v>#N/D</v>
      </c>
      <c r="H21" s="26" t="str">
        <f>IF($AO21,"#N/D",IFERROR(INDEX(Olimpiadas!$B$2:$B$61,MATCH($AM21,Olimpiadas!$C$2:$C$61,0)),"#N/D"))</f>
        <v>#N/D</v>
      </c>
      <c r="I21" s="26" t="str">
        <f>IF($AO21,"#N/D",IFERROR(INDEX(Olimpiadas!$A$2:$A$61,MATCH($AM21,Olimpiadas!$C$2:$C$61,0)),"#N/D"))</f>
        <v>#N/D</v>
      </c>
      <c r="J21" s="26" t="str">
        <f>IF($AO21,"#N/D",IFERROR(INDEX(Minculturas!$A$2:$A$48,MATCH($AM21,Minculturas!$C$2:$C$48,0)),"#N/D"))</f>
        <v>#N/D</v>
      </c>
      <c r="K21" s="26" t="str">
        <f>IF($AO21,"#N/D",IFERROR(INDEX(Minculturas!$B$2:$B$48,MATCH($AM21,Minculturas!$C$2:$C$48,0)),"#N/D"))</f>
        <v>#N/D</v>
      </c>
      <c r="L21" s="27">
        <v>2</v>
      </c>
      <c r="M21" s="28">
        <v>0</v>
      </c>
      <c r="N21" s="28">
        <v>0</v>
      </c>
      <c r="O21" s="28">
        <v>1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1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7">
        <f>SUM(Tabla43[[#This Row],[Edificación colapsada]:[Robo]])</f>
        <v>2</v>
      </c>
      <c r="AF21" s="28"/>
      <c r="AG21" s="28"/>
      <c r="AH21" s="28">
        <v>21.7</v>
      </c>
      <c r="AI21" s="28"/>
      <c r="AJ21" s="28"/>
      <c r="AK21" s="29" t="s">
        <v>1171</v>
      </c>
      <c r="AM21" t="str">
        <f t="shared" si="0"/>
        <v>caqueza</v>
      </c>
      <c r="AN21" t="str">
        <f t="shared" si="1"/>
        <v>cundinamarca</v>
      </c>
      <c r="AO21" t="b">
        <f t="shared" si="2"/>
        <v>0</v>
      </c>
      <c r="AP21" t="str">
        <f t="shared" si="3"/>
        <v>caqueza</v>
      </c>
    </row>
    <row r="22" spans="1:42" ht="25.5" customHeight="1" x14ac:dyDescent="0.25">
      <c r="A22" s="33" t="s">
        <v>1000</v>
      </c>
      <c r="B22" s="11" t="s">
        <v>49</v>
      </c>
      <c r="C22" s="23" t="s">
        <v>104</v>
      </c>
      <c r="D22" s="69"/>
      <c r="E22" s="11" t="s">
        <v>1001</v>
      </c>
      <c r="F22" s="25" t="str">
        <f>IFERROR(IF($AO22,INDEX(cpe!$C$2:$C$307,MATCH($AP22,cpe!$F$2:$F$307,0)),INDEX(cpe!$C$2:$C$307,MATCH($AP22,cpe!$D$2:$D$307,0))),"#N/D")</f>
        <v>Colegio San Francisco de Asis</v>
      </c>
      <c r="G22" s="25" t="str">
        <f>IFERROR(IF($AO22,INDEX(cpe!$B$2:$B$307,MATCH($AP22,cpe!$F$2:$F$307,0)),INDEX(cpe!$B$2:$B$307,MATCH($AP22,cpe!$D$2:$D$307,0))),"#N/D")</f>
        <v>Cartago</v>
      </c>
      <c r="H22" s="26" t="str">
        <f>IF($AO22,"#N/D",IFERROR(INDEX(Olimpiadas!$B$2:$B$61,MATCH($AM22,Olimpiadas!$C$2:$C$61,0)),"#N/D"))</f>
        <v>#N/D</v>
      </c>
      <c r="I22" s="26" t="str">
        <f>IF($AO22,"#N/D",IFERROR(INDEX(Olimpiadas!$A$2:$A$61,MATCH($AM22,Olimpiadas!$C$2:$C$61,0)),"#N/D"))</f>
        <v>#N/D</v>
      </c>
      <c r="J22" s="26" t="str">
        <f>IF($AO22,"#N/D",IFERROR(INDEX(Minculturas!$A$2:$A$48,MATCH($AM22,Minculturas!$C$2:$C$48,0)),"#N/D"))</f>
        <v>#N/D</v>
      </c>
      <c r="K22" s="26" t="str">
        <f>IF($AO22,"#N/D",IFERROR(INDEX(Minculturas!$B$2:$B$48,MATCH($AM22,Minculturas!$C$2:$C$48,0)),"#N/D"))</f>
        <v>#N/D</v>
      </c>
      <c r="L22" s="27">
        <v>29</v>
      </c>
      <c r="M22" s="28">
        <v>1</v>
      </c>
      <c r="N22" s="28">
        <v>8</v>
      </c>
      <c r="O22" s="28">
        <v>1</v>
      </c>
      <c r="P22" s="28">
        <v>2</v>
      </c>
      <c r="Q22" s="28">
        <v>1</v>
      </c>
      <c r="R22" s="28">
        <v>3</v>
      </c>
      <c r="S22" s="28">
        <v>2</v>
      </c>
      <c r="T22" s="28">
        <v>2</v>
      </c>
      <c r="U22" s="28">
        <v>0</v>
      </c>
      <c r="V22" s="28">
        <v>1</v>
      </c>
      <c r="W22" s="28">
        <v>1</v>
      </c>
      <c r="X22" s="28">
        <v>0</v>
      </c>
      <c r="Y22" s="28">
        <v>1</v>
      </c>
      <c r="Z22" s="28">
        <v>5</v>
      </c>
      <c r="AA22" s="28">
        <v>1</v>
      </c>
      <c r="AB22" s="28">
        <v>0</v>
      </c>
      <c r="AC22" s="28">
        <v>0</v>
      </c>
      <c r="AD22" s="28">
        <v>0</v>
      </c>
      <c r="AE22" s="27">
        <f>SUM(Tabla43[[#This Row],[Edificación colapsada]:[Robo]])</f>
        <v>29</v>
      </c>
      <c r="AF22" s="28">
        <v>225</v>
      </c>
      <c r="AG22" s="28" t="s">
        <v>1002</v>
      </c>
      <c r="AH22" s="28">
        <v>16.600000000000001</v>
      </c>
      <c r="AI22" s="28"/>
      <c r="AJ22" s="28"/>
      <c r="AK22" s="29" t="s">
        <v>1003</v>
      </c>
      <c r="AM22" t="str">
        <f t="shared" si="0"/>
        <v>cartago</v>
      </c>
      <c r="AN22" t="str">
        <f t="shared" si="1"/>
        <v>valle del cauca</v>
      </c>
      <c r="AO22" t="b">
        <f t="shared" si="2"/>
        <v>0</v>
      </c>
      <c r="AP22" t="str">
        <f t="shared" si="3"/>
        <v>cartago</v>
      </c>
    </row>
    <row r="23" spans="1:42" ht="25.5" customHeight="1" x14ac:dyDescent="0.25">
      <c r="A23" s="33" t="s">
        <v>846</v>
      </c>
      <c r="B23" s="11" t="s">
        <v>24</v>
      </c>
      <c r="C23" s="23" t="s">
        <v>104</v>
      </c>
      <c r="D23" s="69"/>
      <c r="E23" s="11" t="s">
        <v>847</v>
      </c>
      <c r="F23" s="25" t="str">
        <f>IFERROR(IF($AO23,INDEX(cpe!$C$2:$C$307,MATCH($AP23,cpe!$F$2:$F$307,0)),INDEX(cpe!$C$2:$C$307,MATCH($AP23,cpe!$D$2:$D$307,0))),"#N/D")</f>
        <v>#N/D</v>
      </c>
      <c r="G23" s="25" t="str">
        <f>IFERROR(IF($AO23,INDEX(cpe!$B$2:$B$307,MATCH($AP23,cpe!$F$2:$F$307,0)),INDEX(cpe!$B$2:$B$307,MATCH($AP23,cpe!$D$2:$D$307,0))),"#N/D")</f>
        <v>#N/D</v>
      </c>
      <c r="H23" s="26" t="str">
        <f>IF($AO23,"#N/D",IFERROR(INDEX(Olimpiadas!$B$2:$B$61,MATCH($AM23,Olimpiadas!$C$2:$C$61,0)),"#N/D"))</f>
        <v>#N/D</v>
      </c>
      <c r="I23" s="26" t="str">
        <f>IF($AO23,"#N/D",IFERROR(INDEX(Olimpiadas!$A$2:$A$61,MATCH($AM23,Olimpiadas!$C$2:$C$61,0)),"#N/D"))</f>
        <v>#N/D</v>
      </c>
      <c r="J23" s="26" t="str">
        <f>IF($AO23,"#N/D",IFERROR(INDEX(Minculturas!$A$2:$A$48,MATCH($AM23,Minculturas!$C$2:$C$48,0)),"#N/D"))</f>
        <v>#N/D</v>
      </c>
      <c r="K23" s="26" t="str">
        <f>IF($AO23,"#N/D",IFERROR(INDEX(Minculturas!$B$2:$B$48,MATCH($AM23,Minculturas!$C$2:$C$48,0)),"#N/D"))</f>
        <v>#N/D</v>
      </c>
      <c r="L23" s="27">
        <v>33</v>
      </c>
      <c r="M23" s="28">
        <v>0</v>
      </c>
      <c r="N23" s="28">
        <v>5</v>
      </c>
      <c r="O23" s="28">
        <v>2</v>
      </c>
      <c r="P23" s="28">
        <v>2</v>
      </c>
      <c r="Q23" s="28">
        <v>12</v>
      </c>
      <c r="R23" s="28">
        <v>1</v>
      </c>
      <c r="S23" s="28">
        <v>1</v>
      </c>
      <c r="T23" s="28">
        <v>1</v>
      </c>
      <c r="U23" s="28">
        <v>0</v>
      </c>
      <c r="V23" s="28">
        <v>0</v>
      </c>
      <c r="W23" s="28">
        <v>5</v>
      </c>
      <c r="X23" s="28">
        <v>0</v>
      </c>
      <c r="Y23" s="28">
        <v>1</v>
      </c>
      <c r="Z23" s="28">
        <v>3</v>
      </c>
      <c r="AA23" s="28">
        <v>0</v>
      </c>
      <c r="AB23" s="28">
        <v>0</v>
      </c>
      <c r="AC23" s="28">
        <v>0</v>
      </c>
      <c r="AD23" s="28">
        <v>0</v>
      </c>
      <c r="AE23" s="27">
        <f>SUM(Tabla43[[#This Row],[Edificación colapsada]:[Robo]])</f>
        <v>33</v>
      </c>
      <c r="AF23" s="38" t="s">
        <v>848</v>
      </c>
      <c r="AG23" s="38" t="s">
        <v>849</v>
      </c>
      <c r="AH23" s="28">
        <v>21.8</v>
      </c>
      <c r="AI23" s="28"/>
      <c r="AJ23" s="28"/>
      <c r="AK23" s="29" t="s">
        <v>850</v>
      </c>
      <c r="AM23" t="str">
        <f t="shared" si="0"/>
        <v>chinchina</v>
      </c>
      <c r="AN23" t="str">
        <f t="shared" si="1"/>
        <v>caldas</v>
      </c>
      <c r="AO23" t="b">
        <f t="shared" si="2"/>
        <v>0</v>
      </c>
      <c r="AP23" t="str">
        <f t="shared" si="3"/>
        <v>chinchina</v>
      </c>
    </row>
    <row r="24" spans="1:42" ht="25.5" customHeight="1" x14ac:dyDescent="0.25">
      <c r="A24" s="33" t="s">
        <v>1025</v>
      </c>
      <c r="B24" s="11" t="s">
        <v>45</v>
      </c>
      <c r="C24" s="23" t="s">
        <v>104</v>
      </c>
      <c r="D24" s="69"/>
      <c r="E24" s="11" t="s">
        <v>1026</v>
      </c>
      <c r="F24" s="25" t="str">
        <f>IFERROR(IF($AO24,INDEX(cpe!$C$2:$C$307,MATCH($AP24,cpe!$F$2:$F$307,0)),INDEX(cpe!$C$2:$C$307,MATCH($AP24,cpe!$D$2:$D$307,0))),"#N/D")</f>
        <v>#N/D</v>
      </c>
      <c r="G24" s="25" t="str">
        <f>IFERROR(IF($AO24,INDEX(cpe!$B$2:$B$307,MATCH($AP24,cpe!$F$2:$F$307,0)),INDEX(cpe!$B$2:$B$307,MATCH($AP24,cpe!$D$2:$D$307,0))),"#N/D")</f>
        <v>#N/D</v>
      </c>
      <c r="H24" s="26" t="str">
        <f>IF($AO24,"#N/D",IFERROR(INDEX(Olimpiadas!$B$2:$B$61,MATCH($AM24,Olimpiadas!$C$2:$C$61,0)),"#N/D"))</f>
        <v>#N/D</v>
      </c>
      <c r="I24" s="26" t="str">
        <f>IF($AO24,"#N/D",IFERROR(INDEX(Olimpiadas!$A$2:$A$61,MATCH($AM24,Olimpiadas!$C$2:$C$61,0)),"#N/D"))</f>
        <v>#N/D</v>
      </c>
      <c r="J24" s="26" t="str">
        <f>IF($AO24,"#N/D",IFERROR(INDEX(Minculturas!$A$2:$A$48,MATCH($AM24,Minculturas!$C$2:$C$48,0)),"#N/D"))</f>
        <v>#N/D</v>
      </c>
      <c r="K24" s="26" t="str">
        <f>IF($AO24,"#N/D",IFERROR(INDEX(Minculturas!$B$2:$B$48,MATCH($AM24,Minculturas!$C$2:$C$48,0)),"#N/D"))</f>
        <v>#N/D</v>
      </c>
      <c r="L24" s="27">
        <v>67</v>
      </c>
      <c r="M24" s="28">
        <v>4</v>
      </c>
      <c r="N24" s="28">
        <v>10</v>
      </c>
      <c r="O24" s="28">
        <v>5</v>
      </c>
      <c r="P24" s="28">
        <v>3</v>
      </c>
      <c r="Q24" s="28">
        <v>18</v>
      </c>
      <c r="R24" s="28">
        <v>1</v>
      </c>
      <c r="S24" s="28">
        <v>5</v>
      </c>
      <c r="T24" s="28">
        <v>0</v>
      </c>
      <c r="U24" s="28">
        <v>0</v>
      </c>
      <c r="V24" s="28">
        <v>5</v>
      </c>
      <c r="W24" s="28">
        <v>9</v>
      </c>
      <c r="X24" s="28">
        <v>0</v>
      </c>
      <c r="Y24" s="28">
        <v>2</v>
      </c>
      <c r="Z24" s="28">
        <v>4</v>
      </c>
      <c r="AA24" s="28">
        <v>1</v>
      </c>
      <c r="AB24" s="28">
        <v>0</v>
      </c>
      <c r="AC24" s="28">
        <v>0</v>
      </c>
      <c r="AD24" s="28">
        <v>0</v>
      </c>
      <c r="AE24" s="27">
        <f>SUM(Tabla43[[#This Row],[Edificación colapsada]:[Robo]])</f>
        <v>67</v>
      </c>
      <c r="AF24" s="28" t="s">
        <v>1027</v>
      </c>
      <c r="AG24" s="28" t="s">
        <v>1028</v>
      </c>
      <c r="AH24" s="28">
        <v>13.7</v>
      </c>
      <c r="AI24" s="28"/>
      <c r="AJ24" s="28"/>
      <c r="AK24" s="29" t="s">
        <v>1029</v>
      </c>
      <c r="AM24" t="str">
        <f t="shared" si="0"/>
        <v>dosquebradas</v>
      </c>
      <c r="AN24" t="str">
        <f t="shared" si="1"/>
        <v>risaralda</v>
      </c>
      <c r="AO24" t="b">
        <f t="shared" si="2"/>
        <v>0</v>
      </c>
      <c r="AP24" t="str">
        <f t="shared" si="3"/>
        <v>dosquebradas</v>
      </c>
    </row>
    <row r="25" spans="1:42" ht="25.5" customHeight="1" x14ac:dyDescent="0.25">
      <c r="A25" s="33" t="s">
        <v>1004</v>
      </c>
      <c r="B25" s="11" t="s">
        <v>49</v>
      </c>
      <c r="C25" s="23" t="s">
        <v>104</v>
      </c>
      <c r="D25" s="69"/>
      <c r="E25" s="11" t="s">
        <v>1005</v>
      </c>
      <c r="F25" s="25" t="str">
        <f>IFERROR(IF($AO25,INDEX(cpe!$C$2:$C$307,MATCH($AP25,cpe!$F$2:$F$307,0)),INDEX(cpe!$C$2:$C$307,MATCH($AP25,cpe!$D$2:$D$307,0))),"#N/D")</f>
        <v>Institucion Educativa el Morro</v>
      </c>
      <c r="G25" s="25" t="str">
        <f>IFERROR(IF($AO25,INDEX(cpe!$B$2:$B$307,MATCH($AP25,cpe!$F$2:$F$307,0)),INDEX(cpe!$B$2:$B$307,MATCH($AP25,cpe!$D$2:$D$307,0))),"#N/D")</f>
        <v>El Águila</v>
      </c>
      <c r="H25" s="26" t="str">
        <f>IF($AO25,"#N/D",IFERROR(INDEX(Olimpiadas!$B$2:$B$61,MATCH($AM25,Olimpiadas!$C$2:$C$61,0)),"#N/D"))</f>
        <v>#N/D</v>
      </c>
      <c r="I25" s="26" t="str">
        <f>IF($AO25,"#N/D",IFERROR(INDEX(Olimpiadas!$A$2:$A$61,MATCH($AM25,Olimpiadas!$C$2:$C$61,0)),"#N/D"))</f>
        <v>#N/D</v>
      </c>
      <c r="J25" s="26" t="str">
        <f>IF($AO25,"#N/D",IFERROR(INDEX(Minculturas!$A$2:$A$48,MATCH($AM25,Minculturas!$C$2:$C$48,0)),"#N/D"))</f>
        <v>#N/D</v>
      </c>
      <c r="K25" s="26" t="str">
        <f>IF($AO25,"#N/D",IFERROR(INDEX(Minculturas!$B$2:$B$48,MATCH($AM25,Minculturas!$C$2:$C$48,0)),"#N/D"))</f>
        <v>#N/D</v>
      </c>
      <c r="L25" s="27">
        <v>15</v>
      </c>
      <c r="M25" s="28">
        <v>1</v>
      </c>
      <c r="N25" s="28">
        <v>1</v>
      </c>
      <c r="O25" s="28">
        <v>1</v>
      </c>
      <c r="P25" s="28">
        <v>3</v>
      </c>
      <c r="Q25" s="28">
        <v>2</v>
      </c>
      <c r="R25" s="28">
        <v>1</v>
      </c>
      <c r="S25" s="28">
        <v>1</v>
      </c>
      <c r="T25" s="28">
        <v>2</v>
      </c>
      <c r="U25" s="28">
        <v>0</v>
      </c>
      <c r="V25" s="28">
        <v>0</v>
      </c>
      <c r="W25" s="28">
        <v>3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7">
        <f>SUM(Tabla43[[#This Row],[Edificación colapsada]:[Robo]])</f>
        <v>15</v>
      </c>
      <c r="AF25" s="28" t="s">
        <v>1006</v>
      </c>
      <c r="AG25" s="28" t="s">
        <v>1007</v>
      </c>
      <c r="AH25" s="28">
        <v>43.5</v>
      </c>
      <c r="AI25" s="28"/>
      <c r="AJ25" s="28"/>
      <c r="AK25" s="29" t="s">
        <v>1008</v>
      </c>
      <c r="AM25" t="str">
        <f t="shared" si="0"/>
        <v>el aguila</v>
      </c>
      <c r="AN25" t="str">
        <f t="shared" si="1"/>
        <v>valle del cauca</v>
      </c>
      <c r="AO25" t="b">
        <f t="shared" si="2"/>
        <v>0</v>
      </c>
      <c r="AP25" t="str">
        <f t="shared" si="3"/>
        <v>el aguila</v>
      </c>
    </row>
    <row r="26" spans="1:42" ht="25.5" customHeight="1" x14ac:dyDescent="0.25">
      <c r="A26" s="33" t="s">
        <v>516</v>
      </c>
      <c r="B26" s="11" t="s">
        <v>49</v>
      </c>
      <c r="C26" s="23" t="s">
        <v>104</v>
      </c>
      <c r="D26" s="69"/>
      <c r="E26" s="11" t="s">
        <v>517</v>
      </c>
      <c r="F26" s="25" t="str">
        <f>IFERROR(IF($AO26,INDEX(cpe!$C$2:$C$307,MATCH($AP26,cpe!$F$2:$F$307,0)),INDEX(cpe!$C$2:$C$307,MATCH($AP26,cpe!$D$2:$D$307,0))),"#N/D")</f>
        <v>#N/D</v>
      </c>
      <c r="G26" s="25" t="str">
        <f>IFERROR(IF($AO26,INDEX(cpe!$B$2:$B$307,MATCH($AP26,cpe!$F$2:$F$307,0)),INDEX(cpe!$B$2:$B$307,MATCH($AP26,cpe!$D$2:$D$307,0))),"#N/D")</f>
        <v>#N/D</v>
      </c>
      <c r="H26" s="26" t="str">
        <f>IF($AO26,"#N/D",IFERROR(INDEX(Olimpiadas!$B$2:$B$61,MATCH($AM26,Olimpiadas!$C$2:$C$61,0)),"#N/D"))</f>
        <v>#N/D</v>
      </c>
      <c r="I26" s="26" t="str">
        <f>IF($AO26,"#N/D",IFERROR(INDEX(Olimpiadas!$A$2:$A$61,MATCH($AM26,Olimpiadas!$C$2:$C$61,0)),"#N/D"))</f>
        <v>#N/D</v>
      </c>
      <c r="J26" s="26" t="str">
        <f>IF($AO26,"#N/D",IFERROR(INDEX(Minculturas!$A$2:$A$48,MATCH($AM26,Minculturas!$C$2:$C$48,0)),"#N/D"))</f>
        <v>#N/D</v>
      </c>
      <c r="K26" s="26" t="str">
        <f>IF($AO26,"#N/D",IFERROR(INDEX(Minculturas!$B$2:$B$48,MATCH($AM26,Minculturas!$C$2:$C$48,0)),"#N/D"))</f>
        <v>#N/D</v>
      </c>
      <c r="L26" s="27">
        <v>4</v>
      </c>
      <c r="M26" s="28">
        <v>0</v>
      </c>
      <c r="N26" s="28">
        <v>1</v>
      </c>
      <c r="O26" s="28">
        <v>0</v>
      </c>
      <c r="P26" s="28">
        <v>1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1</v>
      </c>
      <c r="Y26" s="28">
        <v>0</v>
      </c>
      <c r="Z26" s="28">
        <v>1</v>
      </c>
      <c r="AA26" s="28">
        <v>0</v>
      </c>
      <c r="AB26" s="28">
        <v>0</v>
      </c>
      <c r="AC26" s="28">
        <v>0</v>
      </c>
      <c r="AD26" s="28">
        <v>0</v>
      </c>
      <c r="AE26" s="27">
        <f>SUM(Tabla43[[#This Row],[Edificación colapsada]:[Robo]])</f>
        <v>4</v>
      </c>
      <c r="AF26" s="28"/>
      <c r="AG26" s="28"/>
      <c r="AH26" s="28">
        <v>18.899999999999999</v>
      </c>
      <c r="AI26" s="28"/>
      <c r="AJ26" s="28"/>
      <c r="AK26" s="29" t="s">
        <v>518</v>
      </c>
      <c r="AM26" t="str">
        <f t="shared" si="0"/>
        <v>florida</v>
      </c>
      <c r="AN26" t="str">
        <f t="shared" si="1"/>
        <v>valle del cauca</v>
      </c>
      <c r="AO26" t="b">
        <f t="shared" si="2"/>
        <v>0</v>
      </c>
      <c r="AP26" t="str">
        <f t="shared" si="3"/>
        <v>florida</v>
      </c>
    </row>
    <row r="27" spans="1:42" ht="25.5" customHeight="1" x14ac:dyDescent="0.25">
      <c r="A27" s="33" t="s">
        <v>754</v>
      </c>
      <c r="B27" s="11" t="s">
        <v>45</v>
      </c>
      <c r="C27" s="23" t="s">
        <v>104</v>
      </c>
      <c r="D27" s="69"/>
      <c r="E27" s="11" t="s">
        <v>755</v>
      </c>
      <c r="F27" s="25" t="str">
        <f>IFERROR(IF($AO27,INDEX(cpe!$C$2:$C$307,MATCH($AP27,cpe!$F$2:$F$307,0)),INDEX(cpe!$C$2:$C$307,MATCH($AP27,cpe!$D$2:$D$307,0))),"#N/D")</f>
        <v>#N/D</v>
      </c>
      <c r="G27" s="25" t="str">
        <f>IFERROR(IF($AO27,INDEX(cpe!$B$2:$B$307,MATCH($AP27,cpe!$F$2:$F$307,0)),INDEX(cpe!$B$2:$B$307,MATCH($AP27,cpe!$D$2:$D$307,0))),"#N/D")</f>
        <v>#N/D</v>
      </c>
      <c r="H27" s="26" t="str">
        <f>IF($AO27,"#N/D",IFERROR(INDEX(Olimpiadas!$B$2:$B$61,MATCH($AM27,Olimpiadas!$C$2:$C$61,0)),"#N/D"))</f>
        <v>#N/D</v>
      </c>
      <c r="I27" s="26" t="str">
        <f>IF($AO27,"#N/D",IFERROR(INDEX(Olimpiadas!$A$2:$A$61,MATCH($AM27,Olimpiadas!$C$2:$C$61,0)),"#N/D"))</f>
        <v>#N/D</v>
      </c>
      <c r="J27" s="26" t="str">
        <f>IF($AO27,"#N/D",IFERROR(INDEX(Minculturas!$A$2:$A$48,MATCH($AM27,Minculturas!$C$2:$C$48,0)),"#N/D"))</f>
        <v>#N/D</v>
      </c>
      <c r="K27" s="26" t="str">
        <f>IF($AO27,"#N/D",IFERROR(INDEX(Minculturas!$B$2:$B$48,MATCH($AM27,Minculturas!$C$2:$C$48,0)),"#N/D"))</f>
        <v>#N/D</v>
      </c>
      <c r="L27" s="27">
        <v>1</v>
      </c>
      <c r="M27" s="28">
        <v>0</v>
      </c>
      <c r="N27" s="35">
        <v>1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6">
        <f>SUM(Tabla43[[#This Row],[Edificación colapsada]:[Robo]])</f>
        <v>1</v>
      </c>
      <c r="AF27" s="37" t="s">
        <v>756</v>
      </c>
      <c r="AG27" s="37" t="s">
        <v>757</v>
      </c>
      <c r="AH27" s="28">
        <v>37.5</v>
      </c>
      <c r="AI27" s="28"/>
      <c r="AJ27" s="28"/>
      <c r="AK27" s="29" t="s">
        <v>758</v>
      </c>
      <c r="AM27" t="str">
        <f t="shared" si="0"/>
        <v>la celia</v>
      </c>
      <c r="AN27" t="str">
        <f t="shared" si="1"/>
        <v>risaralda</v>
      </c>
      <c r="AO27" t="b">
        <f t="shared" si="2"/>
        <v>0</v>
      </c>
      <c r="AP27" t="str">
        <f t="shared" si="3"/>
        <v>la celia</v>
      </c>
    </row>
    <row r="28" spans="1:42" ht="25.5" customHeight="1" x14ac:dyDescent="0.25">
      <c r="A28" s="33" t="s">
        <v>1030</v>
      </c>
      <c r="B28" s="11" t="s">
        <v>49</v>
      </c>
      <c r="C28" s="23" t="s">
        <v>104</v>
      </c>
      <c r="D28" s="69"/>
      <c r="E28" s="11" t="s">
        <v>379</v>
      </c>
      <c r="F28" s="25" t="str">
        <f>IFERROR(IF($AO28,INDEX(cpe!$C$2:$C$307,MATCH($AP28,cpe!$F$2:$F$307,0)),INDEX(cpe!$C$2:$C$307,MATCH($AP28,cpe!$D$2:$D$307,0))),"#N/D")</f>
        <v>#N/D</v>
      </c>
      <c r="G28" s="25" t="str">
        <f>IFERROR(IF($AO28,INDEX(cpe!$B$2:$B$307,MATCH($AP28,cpe!$F$2:$F$307,0)),INDEX(cpe!$B$2:$B$307,MATCH($AP28,cpe!$D$2:$D$307,0))),"#N/D")</f>
        <v>#N/D</v>
      </c>
      <c r="H28" s="26" t="str">
        <f>IF($AO28,"#N/D",IFERROR(INDEX(Olimpiadas!$B$2:$B$61,MATCH($AM28,Olimpiadas!$C$2:$C$61,0)),"#N/D"))</f>
        <v>#N/D</v>
      </c>
      <c r="I28" s="26" t="str">
        <f>IF($AO28,"#N/D",IFERROR(INDEX(Olimpiadas!$A$2:$A$61,MATCH($AM28,Olimpiadas!$C$2:$C$61,0)),"#N/D"))</f>
        <v>#N/D</v>
      </c>
      <c r="J28" s="26" t="str">
        <f>IF($AO28,"#N/D",IFERROR(INDEX(Minculturas!$A$2:$A$48,MATCH($AM28,Minculturas!$C$2:$C$48,0)),"#N/D"))</f>
        <v>#N/D</v>
      </c>
      <c r="K28" s="26" t="str">
        <f>IF($AO28,"#N/D",IFERROR(INDEX(Minculturas!$B$2:$B$48,MATCH($AM28,Minculturas!$C$2:$C$48,0)),"#N/D"))</f>
        <v>#N/D</v>
      </c>
      <c r="L28" s="27">
        <v>14</v>
      </c>
      <c r="M28" s="28">
        <v>0</v>
      </c>
      <c r="N28" s="28">
        <v>2</v>
      </c>
      <c r="O28" s="28">
        <v>3</v>
      </c>
      <c r="P28" s="28">
        <v>1</v>
      </c>
      <c r="Q28" s="28">
        <v>1</v>
      </c>
      <c r="R28" s="28">
        <v>0</v>
      </c>
      <c r="S28" s="28">
        <v>1</v>
      </c>
      <c r="T28" s="28">
        <v>1</v>
      </c>
      <c r="U28" s="28">
        <v>0</v>
      </c>
      <c r="V28" s="28">
        <v>1</v>
      </c>
      <c r="W28" s="28">
        <v>1</v>
      </c>
      <c r="X28" s="28">
        <v>1</v>
      </c>
      <c r="Y28" s="28">
        <v>0</v>
      </c>
      <c r="Z28" s="28">
        <v>2</v>
      </c>
      <c r="AA28" s="28">
        <v>0</v>
      </c>
      <c r="AB28" s="28">
        <v>0</v>
      </c>
      <c r="AC28" s="28">
        <v>0</v>
      </c>
      <c r="AD28" s="28">
        <v>0</v>
      </c>
      <c r="AE28" s="27">
        <f>SUM(Tabla43[[#This Row],[Edificación colapsada]:[Robo]])</f>
        <v>14</v>
      </c>
      <c r="AF28" s="28" t="s">
        <v>1031</v>
      </c>
      <c r="AG28" s="28" t="s">
        <v>791</v>
      </c>
      <c r="AH28" s="28">
        <v>22.5</v>
      </c>
      <c r="AI28" s="28"/>
      <c r="AJ28" s="28"/>
      <c r="AK28" s="29" t="s">
        <v>1032</v>
      </c>
      <c r="AM28" t="str">
        <f t="shared" si="0"/>
        <v>la union</v>
      </c>
      <c r="AN28" t="str">
        <f t="shared" si="1"/>
        <v>valle del cauca</v>
      </c>
      <c r="AO28" t="b">
        <f t="shared" si="2"/>
        <v>1</v>
      </c>
      <c r="AP28" t="str">
        <f t="shared" si="3"/>
        <v>la union|valle del cauca</v>
      </c>
    </row>
    <row r="29" spans="1:42" ht="25.5" customHeight="1" x14ac:dyDescent="0.25">
      <c r="A29" s="33" t="s">
        <v>612</v>
      </c>
      <c r="B29" s="11" t="s">
        <v>24</v>
      </c>
      <c r="C29" s="23" t="s">
        <v>104</v>
      </c>
      <c r="D29" s="69"/>
      <c r="E29" s="11" t="s">
        <v>613</v>
      </c>
      <c r="F29" s="25" t="str">
        <f>IFERROR(IF($AO29,INDEX(cpe!$C$2:$C$307,MATCH($AP29,cpe!$F$2:$F$307,0)),INDEX(cpe!$C$2:$C$307,MATCH($AP29,cpe!$D$2:$D$307,0))),"#N/D")</f>
        <v>#N/D</v>
      </c>
      <c r="G29" s="25" t="str">
        <f>IFERROR(IF($AO29,INDEX(cpe!$B$2:$B$307,MATCH($AP29,cpe!$F$2:$F$307,0)),INDEX(cpe!$B$2:$B$307,MATCH($AP29,cpe!$D$2:$D$307,0))),"#N/D")</f>
        <v>#N/D</v>
      </c>
      <c r="H29" s="26" t="str">
        <f>IF($AO29,"#N/D",IFERROR(INDEX(Olimpiadas!$B$2:$B$61,MATCH($AM29,Olimpiadas!$C$2:$C$61,0)),"#N/D"))</f>
        <v>#N/D</v>
      </c>
      <c r="I29" s="26" t="str">
        <f>IF($AO29,"#N/D",IFERROR(INDEX(Olimpiadas!$A$2:$A$61,MATCH($AM29,Olimpiadas!$C$2:$C$61,0)),"#N/D"))</f>
        <v>#N/D</v>
      </c>
      <c r="J29" s="26" t="str">
        <f>IF($AO29,"#N/D",IFERROR(INDEX(Minculturas!$A$2:$A$48,MATCH($AM29,Minculturas!$C$2:$C$48,0)),"#N/D"))</f>
        <v>#N/D</v>
      </c>
      <c r="K29" s="26" t="str">
        <f>IF($AO29,"#N/D",IFERROR(INDEX(Minculturas!$B$2:$B$48,MATCH($AM29,Minculturas!$C$2:$C$48,0)),"#N/D"))</f>
        <v>#N/D</v>
      </c>
      <c r="L29" s="27">
        <v>1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1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7">
        <f>SUM(Tabla43[[#This Row],[Edificación colapsada]:[Robo]])</f>
        <v>1</v>
      </c>
      <c r="AF29" s="28"/>
      <c r="AG29" s="28"/>
      <c r="AH29" s="28">
        <v>37.6</v>
      </c>
      <c r="AI29" s="28"/>
      <c r="AJ29" s="28"/>
      <c r="AK29" s="29" t="s">
        <v>614</v>
      </c>
      <c r="AM29" t="str">
        <f t="shared" si="0"/>
        <v>marmato</v>
      </c>
      <c r="AN29" t="str">
        <f t="shared" si="1"/>
        <v>caldas</v>
      </c>
      <c r="AO29" t="b">
        <f t="shared" si="2"/>
        <v>0</v>
      </c>
      <c r="AP29" t="str">
        <f t="shared" si="3"/>
        <v>marmato</v>
      </c>
    </row>
    <row r="30" spans="1:42" ht="25.5" customHeight="1" x14ac:dyDescent="0.25">
      <c r="A30" s="33" t="s">
        <v>177</v>
      </c>
      <c r="B30" s="11" t="s">
        <v>24</v>
      </c>
      <c r="C30" s="23" t="s">
        <v>104</v>
      </c>
      <c r="D30" s="69"/>
      <c r="E30" s="11" t="s">
        <v>178</v>
      </c>
      <c r="F30" s="25" t="str">
        <f>IFERROR(IF($AO30,INDEX(cpe!$C$2:$C$307,MATCH($AP30,cpe!$F$2:$F$307,0)),INDEX(cpe!$C$2:$C$307,MATCH($AP30,cpe!$D$2:$D$307,0))),"#N/D")</f>
        <v>#N/D</v>
      </c>
      <c r="G30" s="25" t="str">
        <f>IFERROR(IF($AO30,INDEX(cpe!$B$2:$B$307,MATCH($AP30,cpe!$F$2:$F$307,0)),INDEX(cpe!$B$2:$B$307,MATCH($AP30,cpe!$D$2:$D$307,0))),"#N/D")</f>
        <v>#N/D</v>
      </c>
      <c r="H30" s="26" t="str">
        <f>IF($AO30,"#N/D",IFERROR(INDEX(Olimpiadas!$B$2:$B$61,MATCH($AM30,Olimpiadas!$C$2:$C$61,0)),"#N/D"))</f>
        <v>#N/D</v>
      </c>
      <c r="I30" s="26" t="str">
        <f>IF($AO30,"#N/D",IFERROR(INDEX(Olimpiadas!$A$2:$A$61,MATCH($AM30,Olimpiadas!$C$2:$C$61,0)),"#N/D"))</f>
        <v>#N/D</v>
      </c>
      <c r="J30" s="26" t="str">
        <f>IF($AO30,"#N/D",IFERROR(INDEX(Minculturas!$A$2:$A$48,MATCH($AM30,Minculturas!$C$2:$C$48,0)),"#N/D"))</f>
        <v>#N/D</v>
      </c>
      <c r="K30" s="26" t="str">
        <f>IF($AO30,"#N/D",IFERROR(INDEX(Minculturas!$B$2:$B$48,MATCH($AM30,Minculturas!$C$2:$C$48,0)),"#N/D"))</f>
        <v>#N/D</v>
      </c>
      <c r="L30" s="27">
        <v>11</v>
      </c>
      <c r="M30" s="28">
        <v>0</v>
      </c>
      <c r="N30" s="28">
        <v>0</v>
      </c>
      <c r="O30" s="28">
        <v>2</v>
      </c>
      <c r="P30" s="28">
        <v>1</v>
      </c>
      <c r="Q30" s="28">
        <v>2</v>
      </c>
      <c r="R30" s="28">
        <v>3</v>
      </c>
      <c r="S30" s="28">
        <v>1</v>
      </c>
      <c r="T30" s="28">
        <v>1</v>
      </c>
      <c r="U30" s="28">
        <v>0</v>
      </c>
      <c r="V30" s="28">
        <v>0</v>
      </c>
      <c r="W30" s="28">
        <v>0</v>
      </c>
      <c r="X30" s="28">
        <v>1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7">
        <f>SUM(Tabla43[[#This Row],[Edificación colapsada]:[Robo]])</f>
        <v>11</v>
      </c>
      <c r="AF30" s="28"/>
      <c r="AG30" s="28"/>
      <c r="AH30" s="28">
        <v>31.3</v>
      </c>
      <c r="AI30" s="28"/>
      <c r="AJ30" s="28"/>
      <c r="AK30" s="29" t="s">
        <v>179</v>
      </c>
      <c r="AM30" t="str">
        <f t="shared" si="0"/>
        <v>neira</v>
      </c>
      <c r="AN30" t="str">
        <f t="shared" si="1"/>
        <v>caldas</v>
      </c>
      <c r="AO30" t="b">
        <f t="shared" si="2"/>
        <v>0</v>
      </c>
      <c r="AP30" t="str">
        <f t="shared" si="3"/>
        <v>neira</v>
      </c>
    </row>
    <row r="31" spans="1:42" ht="25.5" customHeight="1" x14ac:dyDescent="0.25">
      <c r="A31" s="33" t="s">
        <v>851</v>
      </c>
      <c r="B31" s="11" t="s">
        <v>24</v>
      </c>
      <c r="C31" s="23" t="s">
        <v>104</v>
      </c>
      <c r="D31" s="69"/>
      <c r="E31" s="11" t="s">
        <v>852</v>
      </c>
      <c r="F31" s="25" t="str">
        <f>IFERROR(IF($AO31,INDEX(cpe!$C$2:$C$307,MATCH($AP31,cpe!$F$2:$F$307,0)),INDEX(cpe!$C$2:$C$307,MATCH($AP31,cpe!$D$2:$D$307,0))),"#N/D")</f>
        <v>#N/D</v>
      </c>
      <c r="G31" s="25" t="str">
        <f>IFERROR(IF($AO31,INDEX(cpe!$B$2:$B$307,MATCH($AP31,cpe!$F$2:$F$307,0)),INDEX(cpe!$B$2:$B$307,MATCH($AP31,cpe!$D$2:$D$307,0))),"#N/D")</f>
        <v>#N/D</v>
      </c>
      <c r="H31" s="26" t="str">
        <f>IF($AO31,"#N/D",IFERROR(INDEX(Olimpiadas!$B$2:$B$61,MATCH($AM31,Olimpiadas!$C$2:$C$61,0)),"#N/D"))</f>
        <v>#N/D</v>
      </c>
      <c r="I31" s="26" t="str">
        <f>IF($AO31,"#N/D",IFERROR(INDEX(Olimpiadas!$A$2:$A$61,MATCH($AM31,Olimpiadas!$C$2:$C$61,0)),"#N/D"))</f>
        <v>#N/D</v>
      </c>
      <c r="J31" s="26" t="str">
        <f>IF($AO31,"#N/D",IFERROR(INDEX(Minculturas!$A$2:$A$48,MATCH($AM31,Minculturas!$C$2:$C$48,0)),"#N/D"))</f>
        <v>#N/D</v>
      </c>
      <c r="K31" s="26" t="str">
        <f>IF($AO31,"#N/D",IFERROR(INDEX(Minculturas!$B$2:$B$48,MATCH($AM31,Minculturas!$C$2:$C$48,0)),"#N/D"))</f>
        <v>#N/D</v>
      </c>
      <c r="L31" s="27">
        <v>23</v>
      </c>
      <c r="M31" s="28">
        <v>0</v>
      </c>
      <c r="N31" s="28">
        <v>5</v>
      </c>
      <c r="O31" s="28">
        <v>5</v>
      </c>
      <c r="P31" s="28">
        <v>1</v>
      </c>
      <c r="Q31" s="28">
        <v>2</v>
      </c>
      <c r="R31" s="28">
        <v>2</v>
      </c>
      <c r="S31" s="28">
        <v>1</v>
      </c>
      <c r="T31" s="28">
        <v>2</v>
      </c>
      <c r="U31" s="28">
        <v>0</v>
      </c>
      <c r="V31" s="28">
        <v>0</v>
      </c>
      <c r="W31" s="28">
        <v>3</v>
      </c>
      <c r="X31" s="28">
        <v>0</v>
      </c>
      <c r="Y31" s="28">
        <v>0</v>
      </c>
      <c r="Z31" s="28">
        <v>2</v>
      </c>
      <c r="AA31" s="28">
        <v>0</v>
      </c>
      <c r="AB31" s="28">
        <v>0</v>
      </c>
      <c r="AC31" s="28">
        <v>0</v>
      </c>
      <c r="AD31" s="28">
        <v>0</v>
      </c>
      <c r="AE31" s="27">
        <f>SUM(Tabla43[[#This Row],[Edificación colapsada]:[Robo]])</f>
        <v>23</v>
      </c>
      <c r="AF31" s="26" t="s">
        <v>853</v>
      </c>
      <c r="AG31" s="26" t="s">
        <v>854</v>
      </c>
      <c r="AH31" s="28">
        <v>30.1</v>
      </c>
      <c r="AI31" s="28"/>
      <c r="AJ31" s="28"/>
      <c r="AK31" s="29" t="s">
        <v>855</v>
      </c>
      <c r="AM31" t="str">
        <f t="shared" si="0"/>
        <v>palestina</v>
      </c>
      <c r="AN31" t="str">
        <f t="shared" si="1"/>
        <v>caldas</v>
      </c>
      <c r="AO31" t="b">
        <f t="shared" si="2"/>
        <v>0</v>
      </c>
      <c r="AP31" t="str">
        <f t="shared" si="3"/>
        <v>palestina</v>
      </c>
    </row>
    <row r="32" spans="1:42" ht="25.5" customHeight="1" x14ac:dyDescent="0.25">
      <c r="A32" s="33" t="s">
        <v>856</v>
      </c>
      <c r="B32" s="11" t="s">
        <v>24</v>
      </c>
      <c r="C32" s="23" t="s">
        <v>104</v>
      </c>
      <c r="D32" s="69"/>
      <c r="E32" s="11" t="s">
        <v>706</v>
      </c>
      <c r="F32" s="25" t="s">
        <v>106</v>
      </c>
      <c r="G32" s="25" t="s">
        <v>106</v>
      </c>
      <c r="H32" s="26" t="s">
        <v>106</v>
      </c>
      <c r="I32" s="26" t="str">
        <f>IF($AO32,"#N/D",IFERROR(INDEX(Olimpiadas!$A$2:$A$61,MATCH($AM32,Olimpiadas!$C$2:$C$61,0)),"#N/D"))</f>
        <v>#N/D</v>
      </c>
      <c r="J32" s="26" t="str">
        <f>IF($AO32,"#N/D",IFERROR(INDEX(Minculturas!$A$2:$A$48,MATCH($AM32,Minculturas!$C$2:$C$48,0)),"#N/D"))</f>
        <v>#N/D</v>
      </c>
      <c r="K32" s="26" t="str">
        <f>IF($AO32,"#N/D",IFERROR(INDEX(Minculturas!$B$2:$B$48,MATCH($AM32,Minculturas!$C$2:$C$48,0)),"#N/D"))</f>
        <v>#N/D</v>
      </c>
      <c r="L32" s="27">
        <v>1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1</v>
      </c>
      <c r="AA32" s="28">
        <v>0</v>
      </c>
      <c r="AB32" s="28">
        <v>0</v>
      </c>
      <c r="AC32" s="28">
        <v>0</v>
      </c>
      <c r="AD32" s="28">
        <v>0</v>
      </c>
      <c r="AE32" s="27">
        <f>SUM(Tabla43[[#This Row],[Edificación colapsada]:[Robo]])</f>
        <v>1</v>
      </c>
      <c r="AF32" s="26" t="s">
        <v>857</v>
      </c>
      <c r="AG32" s="26" t="s">
        <v>858</v>
      </c>
      <c r="AH32" s="28">
        <v>70.900000000000006</v>
      </c>
      <c r="AI32" s="28"/>
      <c r="AJ32" s="28"/>
      <c r="AK32" s="29" t="s">
        <v>114</v>
      </c>
      <c r="AM32" t="str">
        <f t="shared" si="0"/>
        <v>riosucio</v>
      </c>
      <c r="AN32" t="str">
        <f t="shared" si="1"/>
        <v>caldas</v>
      </c>
      <c r="AO32" t="b">
        <f t="shared" si="2"/>
        <v>1</v>
      </c>
      <c r="AP32" t="str">
        <f t="shared" si="3"/>
        <v>riosucio|caldas</v>
      </c>
    </row>
    <row r="33" spans="1:42" ht="25.5" customHeight="1" x14ac:dyDescent="0.25">
      <c r="A33" s="33" t="s">
        <v>1033</v>
      </c>
      <c r="B33" s="11" t="s">
        <v>49</v>
      </c>
      <c r="C33" s="23" t="s">
        <v>104</v>
      </c>
      <c r="D33" s="69"/>
      <c r="E33" s="11" t="s">
        <v>1034</v>
      </c>
      <c r="F33" s="25" t="s">
        <v>106</v>
      </c>
      <c r="G33" s="25" t="s">
        <v>106</v>
      </c>
      <c r="H33" s="26" t="s">
        <v>106</v>
      </c>
      <c r="I33" s="26" t="str">
        <f>IF($AO33,"#N/D",IFERROR(INDEX(Olimpiadas!$A$2:$A$61,MATCH($AM33,Olimpiadas!$C$2:$C$61,0)),"#N/D"))</f>
        <v>#N/D</v>
      </c>
      <c r="J33" s="26" t="str">
        <f>IF($AO33,"#N/D",IFERROR(INDEX(Minculturas!$A$2:$A$48,MATCH($AM33,Minculturas!$C$2:$C$48,0)),"#N/D"))</f>
        <v>#N/D</v>
      </c>
      <c r="K33" s="26" t="str">
        <f>IF($AO33,"#N/D",IFERROR(INDEX(Minculturas!$B$2:$B$48,MATCH($AM33,Minculturas!$C$2:$C$48,0)),"#N/D"))</f>
        <v>#N/D</v>
      </c>
      <c r="L33" s="27">
        <v>34</v>
      </c>
      <c r="M33" s="28">
        <v>2</v>
      </c>
      <c r="N33" s="28">
        <v>13</v>
      </c>
      <c r="O33" s="28">
        <v>2</v>
      </c>
      <c r="P33" s="28">
        <v>1</v>
      </c>
      <c r="Q33" s="28">
        <v>1</v>
      </c>
      <c r="R33" s="28">
        <v>3</v>
      </c>
      <c r="S33" s="28">
        <v>2</v>
      </c>
      <c r="T33" s="28">
        <v>1</v>
      </c>
      <c r="U33" s="28">
        <v>0</v>
      </c>
      <c r="V33" s="28">
        <v>1</v>
      </c>
      <c r="W33" s="28">
        <v>2</v>
      </c>
      <c r="X33" s="28">
        <v>1</v>
      </c>
      <c r="Y33" s="28">
        <v>1</v>
      </c>
      <c r="Z33" s="28">
        <v>3</v>
      </c>
      <c r="AA33" s="28">
        <v>1</v>
      </c>
      <c r="AB33" s="28">
        <v>0</v>
      </c>
      <c r="AC33" s="28">
        <v>0</v>
      </c>
      <c r="AD33" s="28">
        <v>0</v>
      </c>
      <c r="AE33" s="27">
        <f>SUM(Tabla43[[#This Row],[Edificación colapsada]:[Robo]])</f>
        <v>34</v>
      </c>
      <c r="AF33" s="28" t="s">
        <v>1035</v>
      </c>
      <c r="AG33" s="28" t="s">
        <v>1036</v>
      </c>
      <c r="AH33" s="28">
        <v>16.5</v>
      </c>
      <c r="AI33" s="28"/>
      <c r="AJ33" s="28"/>
      <c r="AK33" s="29" t="s">
        <v>1037</v>
      </c>
      <c r="AM33" t="str">
        <f t="shared" si="0"/>
        <v>roldanillo</v>
      </c>
      <c r="AN33" t="str">
        <f t="shared" si="1"/>
        <v>valle del cauca</v>
      </c>
      <c r="AO33" t="b">
        <f t="shared" si="2"/>
        <v>0</v>
      </c>
      <c r="AP33" t="str">
        <f t="shared" si="3"/>
        <v>roldanillo</v>
      </c>
    </row>
    <row r="34" spans="1:42" ht="25.5" customHeight="1" x14ac:dyDescent="0.25">
      <c r="A34" s="33" t="s">
        <v>759</v>
      </c>
      <c r="B34" s="11" t="s">
        <v>45</v>
      </c>
      <c r="C34" s="23" t="s">
        <v>104</v>
      </c>
      <c r="D34" s="69"/>
      <c r="E34" s="11" t="s">
        <v>760</v>
      </c>
      <c r="F34" s="25" t="s">
        <v>106</v>
      </c>
      <c r="G34" s="25" t="s">
        <v>106</v>
      </c>
      <c r="H34" s="26" t="s">
        <v>106</v>
      </c>
      <c r="I34" s="26" t="str">
        <f>IF($AO34,"#N/D",IFERROR(INDEX(Olimpiadas!$A$2:$A$61,MATCH($AM34,Olimpiadas!$C$2:$C$61,0)),"#N/D"))</f>
        <v>#N/D</v>
      </c>
      <c r="J34" s="26" t="str">
        <f>IF($AO34,"#N/D",IFERROR(INDEX(Minculturas!$A$2:$A$48,MATCH($AM34,Minculturas!$C$2:$C$48,0)),"#N/D"))</f>
        <v>#N/D</v>
      </c>
      <c r="K34" s="26" t="str">
        <f>IF($AO34,"#N/D",IFERROR(INDEX(Minculturas!$B$2:$B$48,MATCH($AM34,Minculturas!$C$2:$C$48,0)),"#N/D"))</f>
        <v>#N/D</v>
      </c>
      <c r="L34" s="27">
        <v>1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1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7">
        <f>SUM(Tabla43[[#This Row],[Edificación colapsada]:[Robo]])</f>
        <v>1</v>
      </c>
      <c r="AF34" s="28" t="s">
        <v>761</v>
      </c>
      <c r="AG34" s="28" t="s">
        <v>762</v>
      </c>
      <c r="AH34" s="28">
        <v>39.9</v>
      </c>
      <c r="AI34" s="28"/>
      <c r="AJ34" s="28"/>
      <c r="AK34" s="29" t="s">
        <v>763</v>
      </c>
      <c r="AM34" t="str">
        <f t="shared" si="0"/>
        <v>santuario</v>
      </c>
      <c r="AN34" t="str">
        <f t="shared" si="1"/>
        <v>risaralda</v>
      </c>
      <c r="AO34" t="b">
        <f t="shared" si="2"/>
        <v>0</v>
      </c>
      <c r="AP34" t="str">
        <f t="shared" si="3"/>
        <v>santuario</v>
      </c>
    </row>
    <row r="35" spans="1:42" ht="25.5" customHeight="1" x14ac:dyDescent="0.25">
      <c r="A35" s="33" t="s">
        <v>103</v>
      </c>
      <c r="B35" s="11" t="s">
        <v>31</v>
      </c>
      <c r="C35" s="23" t="s">
        <v>104</v>
      </c>
      <c r="D35" s="69"/>
      <c r="E35" s="11" t="s">
        <v>105</v>
      </c>
      <c r="F35" s="25" t="s">
        <v>106</v>
      </c>
      <c r="G35" s="25" t="s">
        <v>106</v>
      </c>
      <c r="H35" s="26" t="s">
        <v>106</v>
      </c>
      <c r="I35" s="39" t="str">
        <f>IF($AO35,"#N/D",IFERROR(INDEX(Olimpiadas!$A$2:$A$61,MATCH($AM35,Olimpiadas!$C$2:$C$61,0)),"#N/D"))</f>
        <v>#N/D</v>
      </c>
      <c r="J35" s="39" t="str">
        <f>IF($AO35,"#N/D",IFERROR(INDEX(Minculturas!$A$2:$A$48,MATCH($AM35,Minculturas!$C$2:$C$48,0)),"#N/D"))</f>
        <v>#N/D</v>
      </c>
      <c r="K35" s="39" t="str">
        <f>IF($AO35,"#N/D",IFERROR(INDEX(Minculturas!$B$2:$B$48,MATCH($AM35,Minculturas!$C$2:$C$48,0)),"#N/D"))</f>
        <v>#N/D</v>
      </c>
      <c r="L35" s="27">
        <v>8</v>
      </c>
      <c r="M35" s="28">
        <v>0</v>
      </c>
      <c r="N35" s="28">
        <v>3</v>
      </c>
      <c r="O35" s="28">
        <v>1</v>
      </c>
      <c r="P35" s="28">
        <v>1</v>
      </c>
      <c r="Q35" s="28">
        <v>0</v>
      </c>
      <c r="R35" s="28">
        <v>0</v>
      </c>
      <c r="S35" s="28">
        <v>2</v>
      </c>
      <c r="T35" s="28">
        <v>0</v>
      </c>
      <c r="U35" s="28">
        <v>0</v>
      </c>
      <c r="V35" s="28">
        <v>0</v>
      </c>
      <c r="W35" s="28">
        <v>0</v>
      </c>
      <c r="X35" s="28">
        <v>1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7">
        <f>SUM(Tabla43[[#This Row],[Edificación colapsada]:[Robo]])</f>
        <v>8</v>
      </c>
      <c r="AF35" s="28" t="s">
        <v>107</v>
      </c>
      <c r="AG35" s="28" t="s">
        <v>108</v>
      </c>
      <c r="AH35" s="28">
        <v>69.7</v>
      </c>
      <c r="AI35" s="28"/>
      <c r="AJ35" s="28"/>
      <c r="AK35" s="29" t="s">
        <v>109</v>
      </c>
      <c r="AM35" t="str">
        <f t="shared" si="0"/>
        <v>sipi</v>
      </c>
      <c r="AN35" t="str">
        <f t="shared" si="1"/>
        <v>choco</v>
      </c>
      <c r="AO35" t="b">
        <f t="shared" si="2"/>
        <v>0</v>
      </c>
      <c r="AP35" t="str">
        <f t="shared" si="3"/>
        <v>sipi</v>
      </c>
    </row>
    <row r="36" spans="1:42" ht="25.5" customHeight="1" x14ac:dyDescent="0.25">
      <c r="A36" s="33" t="s">
        <v>764</v>
      </c>
      <c r="B36" s="11" t="s">
        <v>35</v>
      </c>
      <c r="C36" s="23" t="s">
        <v>104</v>
      </c>
      <c r="D36" s="69"/>
      <c r="E36" s="11" t="s">
        <v>765</v>
      </c>
      <c r="F36" s="25" t="s">
        <v>106</v>
      </c>
      <c r="G36" s="25" t="s">
        <v>106</v>
      </c>
      <c r="H36" s="26" t="s">
        <v>106</v>
      </c>
      <c r="I36" s="26" t="str">
        <f>IF($AO36,"#N/D",IFERROR(INDEX(Olimpiadas!$A$2:$A$61,MATCH($AM36,Olimpiadas!$C$2:$C$61,0)),"#N/D"))</f>
        <v>#N/D</v>
      </c>
      <c r="J36" s="26" t="str">
        <f>IF($AO36,"#N/D",IFERROR(INDEX(Minculturas!$A$2:$A$48,MATCH($AM36,Minculturas!$C$2:$C$48,0)),"#N/D"))</f>
        <v>#N/D</v>
      </c>
      <c r="K36" s="26" t="str">
        <f>IF($AO36,"#N/D",IFERROR(INDEX(Minculturas!$B$2:$B$48,MATCH($AM36,Minculturas!$C$2:$C$48,0)),"#N/D"))</f>
        <v>#N/D</v>
      </c>
      <c r="L36" s="27">
        <v>1</v>
      </c>
      <c r="M36" s="28">
        <v>0</v>
      </c>
      <c r="N36" s="28">
        <v>1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7">
        <f>SUM(Tabla43[[#This Row],[Edificación colapsada]:[Robo]])</f>
        <v>1</v>
      </c>
      <c r="AF36" s="28"/>
      <c r="AG36" s="28"/>
      <c r="AH36" s="28">
        <v>34.1</v>
      </c>
      <c r="AI36" s="28"/>
      <c r="AJ36" s="28"/>
      <c r="AK36" s="29" t="s">
        <v>766</v>
      </c>
      <c r="AM36" t="str">
        <f t="shared" si="0"/>
        <v>ubaque</v>
      </c>
      <c r="AN36" t="str">
        <f t="shared" si="1"/>
        <v>cundinamarca</v>
      </c>
      <c r="AO36" t="b">
        <f t="shared" si="2"/>
        <v>0</v>
      </c>
      <c r="AP36" t="str">
        <f t="shared" si="3"/>
        <v>ubaque</v>
      </c>
    </row>
    <row r="37" spans="1:42" ht="25.5" customHeight="1" x14ac:dyDescent="0.25">
      <c r="A37" s="33" t="s">
        <v>859</v>
      </c>
      <c r="B37" s="11" t="s">
        <v>24</v>
      </c>
      <c r="C37" s="23" t="s">
        <v>104</v>
      </c>
      <c r="D37" s="69"/>
      <c r="E37" s="11" t="s">
        <v>860</v>
      </c>
      <c r="F37" s="25" t="s">
        <v>106</v>
      </c>
      <c r="G37" s="25" t="s">
        <v>106</v>
      </c>
      <c r="H37" s="26" t="s">
        <v>106</v>
      </c>
      <c r="I37" s="26" t="str">
        <f>IF($AO37,"#N/D",IFERROR(INDEX(Olimpiadas!$A$2:$A$61,MATCH($AM37,Olimpiadas!$C$2:$C$61,0)),"#N/D"))</f>
        <v>#N/D</v>
      </c>
      <c r="J37" s="26" t="str">
        <f>IF($AO37,"#N/D",IFERROR(INDEX(Minculturas!$A$2:$A$48,MATCH($AM37,Minculturas!$C$2:$C$48,0)),"#N/D"))</f>
        <v>#N/D</v>
      </c>
      <c r="K37" s="26" t="str">
        <f>IF($AO37,"#N/D",IFERROR(INDEX(Minculturas!$B$2:$B$48,MATCH($AM37,Minculturas!$C$2:$C$48,0)),"#N/D"))</f>
        <v>#N/D</v>
      </c>
      <c r="L37" s="27">
        <v>30</v>
      </c>
      <c r="M37" s="28">
        <v>1</v>
      </c>
      <c r="N37" s="28">
        <v>7</v>
      </c>
      <c r="O37" s="28">
        <v>10</v>
      </c>
      <c r="P37" s="28">
        <v>0</v>
      </c>
      <c r="Q37" s="28">
        <v>2</v>
      </c>
      <c r="R37" s="28">
        <v>1</v>
      </c>
      <c r="S37" s="28">
        <v>2</v>
      </c>
      <c r="T37" s="28">
        <v>2</v>
      </c>
      <c r="U37" s="28">
        <v>1</v>
      </c>
      <c r="V37" s="28">
        <v>1</v>
      </c>
      <c r="W37" s="28">
        <v>2</v>
      </c>
      <c r="X37" s="28">
        <v>0</v>
      </c>
      <c r="Y37" s="28">
        <v>0</v>
      </c>
      <c r="Z37" s="28">
        <v>1</v>
      </c>
      <c r="AA37" s="28">
        <v>0</v>
      </c>
      <c r="AB37" s="28">
        <v>0</v>
      </c>
      <c r="AC37" s="28">
        <v>0</v>
      </c>
      <c r="AD37" s="28">
        <v>0</v>
      </c>
      <c r="AE37" s="27">
        <f>SUM(Tabla43[[#This Row],[Edificación colapsada]:[Robo]])</f>
        <v>30</v>
      </c>
      <c r="AF37" s="26" t="s">
        <v>861</v>
      </c>
      <c r="AG37" s="26" t="s">
        <v>862</v>
      </c>
      <c r="AH37" s="28">
        <v>17</v>
      </c>
      <c r="AI37" s="28"/>
      <c r="AJ37" s="28"/>
      <c r="AK37" s="29" t="s">
        <v>114</v>
      </c>
      <c r="AM37" t="str">
        <f t="shared" si="0"/>
        <v>villamaria</v>
      </c>
      <c r="AN37" t="str">
        <f t="shared" si="1"/>
        <v>caldas</v>
      </c>
      <c r="AO37" t="b">
        <f t="shared" si="2"/>
        <v>0</v>
      </c>
      <c r="AP37" t="str">
        <f t="shared" si="3"/>
        <v>villamaria</v>
      </c>
    </row>
    <row r="38" spans="1:42" ht="25.5" customHeight="1" x14ac:dyDescent="0.25">
      <c r="A38" s="33" t="s">
        <v>978</v>
      </c>
      <c r="B38" s="11" t="s">
        <v>49</v>
      </c>
      <c r="C38" s="23" t="s">
        <v>104</v>
      </c>
      <c r="D38" s="69"/>
      <c r="E38" s="11" t="s">
        <v>979</v>
      </c>
      <c r="F38" s="25" t="s">
        <v>980</v>
      </c>
      <c r="G38" s="25" t="s">
        <v>979</v>
      </c>
      <c r="H38" s="26" t="s">
        <v>979</v>
      </c>
      <c r="I38" s="42" t="str">
        <f>IF($AO38,"#N/D",IFERROR(INDEX(Olimpiadas!$A$2:$A$61,MATCH($AM38,Olimpiadas!$C$2:$C$61,0)),"#N/D"))</f>
        <v>INSTITUCIÓN EDUCATIVA GENERAL SANTANDER</v>
      </c>
      <c r="J38" s="42" t="str">
        <f>IF($AO38,"#N/D",IFERROR(INDEX(Minculturas!$A$2:$A$48,MATCH($AM38,Minculturas!$C$2:$C$48,0)),"#N/D"))</f>
        <v>#N/D</v>
      </c>
      <c r="K38" s="42" t="str">
        <f>IF($AO38,"#N/D",IFERROR(INDEX(Minculturas!$B$2:$B$48,MATCH($AM38,Minculturas!$C$2:$C$48,0)),"#N/D"))</f>
        <v>#N/D</v>
      </c>
      <c r="L38" s="27">
        <v>18</v>
      </c>
      <c r="M38" s="28">
        <v>0</v>
      </c>
      <c r="N38" s="28">
        <v>0</v>
      </c>
      <c r="O38" s="28">
        <v>1</v>
      </c>
      <c r="P38" s="28">
        <v>1</v>
      </c>
      <c r="Q38" s="28">
        <v>3</v>
      </c>
      <c r="R38" s="28">
        <v>1</v>
      </c>
      <c r="S38" s="28">
        <v>6</v>
      </c>
      <c r="T38" s="28">
        <v>1</v>
      </c>
      <c r="U38" s="28">
        <v>0</v>
      </c>
      <c r="V38" s="28">
        <v>0</v>
      </c>
      <c r="W38" s="28">
        <v>1</v>
      </c>
      <c r="X38" s="28">
        <v>0</v>
      </c>
      <c r="Y38" s="28">
        <v>0</v>
      </c>
      <c r="Z38" s="28">
        <v>4</v>
      </c>
      <c r="AA38" s="28">
        <v>0</v>
      </c>
      <c r="AB38" s="28">
        <v>0</v>
      </c>
      <c r="AC38" s="28">
        <v>0</v>
      </c>
      <c r="AD38" s="28">
        <v>0</v>
      </c>
      <c r="AE38" s="27">
        <f>SUM(Tabla43[[#This Row],[Edificación colapsada]:[Robo]])</f>
        <v>18</v>
      </c>
      <c r="AF38" s="28" t="s">
        <v>383</v>
      </c>
      <c r="AG38" s="28" t="s">
        <v>981</v>
      </c>
      <c r="AH38" s="28">
        <v>15.6</v>
      </c>
      <c r="AI38" s="28"/>
      <c r="AJ38" s="28"/>
      <c r="AK38" s="29" t="s">
        <v>982</v>
      </c>
      <c r="AM38" t="str">
        <f t="shared" si="0"/>
        <v>yumbo</v>
      </c>
      <c r="AN38" t="str">
        <f t="shared" si="1"/>
        <v>valle del cauca</v>
      </c>
      <c r="AO38" t="b">
        <f t="shared" si="2"/>
        <v>0</v>
      </c>
      <c r="AP38" t="str">
        <f t="shared" si="3"/>
        <v>yumbo</v>
      </c>
    </row>
    <row r="39" spans="1:42" ht="25.5" customHeight="1" x14ac:dyDescent="0.25">
      <c r="A39" s="33" t="s">
        <v>767</v>
      </c>
      <c r="B39" s="11" t="s">
        <v>35</v>
      </c>
      <c r="C39" s="51" t="s">
        <v>454</v>
      </c>
      <c r="D39" s="69"/>
      <c r="E39" s="11" t="s">
        <v>768</v>
      </c>
      <c r="F39" s="25" t="str">
        <f>IFERROR(IF($AO39,INDEX(cpe!$C$2:$C$307,MATCH($AP39,cpe!$F$2:$F$307,0)),INDEX(cpe!$C$2:$C$307,MATCH($AP39,cpe!$D$2:$D$307,0))),"#N/D")</f>
        <v>#N/D</v>
      </c>
      <c r="G39" s="25" t="str">
        <f>IFERROR(IF($AO39,INDEX(cpe!$B$2:$B$307,MATCH($AP39,cpe!$F$2:$F$307,0)),INDEX(cpe!$B$2:$B$307,MATCH($AP39,cpe!$D$2:$D$307,0))),"#N/D")</f>
        <v>#N/D</v>
      </c>
      <c r="H39" s="26" t="str">
        <f>IF($AO39,"#N/D",IFERROR(INDEX(Olimpiadas!$B$2:$B$61,MATCH($AM39,Olimpiadas!$C$2:$C$61,0)),"#N/D"))</f>
        <v>#N/D</v>
      </c>
      <c r="I39" s="26" t="str">
        <f>IF($AO39,"#N/D",IFERROR(INDEX(Olimpiadas!$A$2:$A$61,MATCH($AM39,Olimpiadas!$C$2:$C$61,0)),"#N/D"))</f>
        <v>#N/D</v>
      </c>
      <c r="J39" s="26" t="str">
        <f>IF($AO39,"#N/D",IFERROR(INDEX(Minculturas!$A$2:$A$48,MATCH($AM39,Minculturas!$C$2:$C$48,0)),"#N/D"))</f>
        <v>#N/D</v>
      </c>
      <c r="K39" s="26" t="str">
        <f>IF($AO39,"#N/D",IFERROR(INDEX(Minculturas!$B$2:$B$48,MATCH($AM39,Minculturas!$C$2:$C$48,0)),"#N/D"))</f>
        <v>#N/D</v>
      </c>
      <c r="L39" s="27">
        <v>1</v>
      </c>
      <c r="M39" s="28">
        <v>0</v>
      </c>
      <c r="N39" s="28">
        <v>0</v>
      </c>
      <c r="O39" s="28">
        <v>0</v>
      </c>
      <c r="P39" s="28">
        <v>0</v>
      </c>
      <c r="Q39" s="28">
        <v>1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7">
        <f>SUM(Tabla43[[#This Row],[Edificación colapsada]:[Robo]])</f>
        <v>1</v>
      </c>
      <c r="AF39" s="28"/>
      <c r="AG39" s="28"/>
      <c r="AH39" s="28">
        <v>22.6</v>
      </c>
      <c r="AI39" s="28"/>
      <c r="AJ39" s="28"/>
      <c r="AK39" s="29" t="s">
        <v>769</v>
      </c>
      <c r="AM39" t="str">
        <f t="shared" si="0"/>
        <v>anapoima</v>
      </c>
      <c r="AN39" t="str">
        <f t="shared" si="1"/>
        <v>cundinamarca</v>
      </c>
      <c r="AO39" t="b">
        <f t="shared" si="2"/>
        <v>0</v>
      </c>
      <c r="AP39" t="str">
        <f t="shared" si="3"/>
        <v>anapoima</v>
      </c>
    </row>
    <row r="40" spans="1:42" ht="25.5" customHeight="1" x14ac:dyDescent="0.25">
      <c r="A40" s="33" t="s">
        <v>453</v>
      </c>
      <c r="B40" s="11" t="s">
        <v>49</v>
      </c>
      <c r="C40" s="51" t="s">
        <v>454</v>
      </c>
      <c r="D40" s="69"/>
      <c r="E40" s="11" t="s">
        <v>455</v>
      </c>
      <c r="F40" s="25" t="s">
        <v>456</v>
      </c>
      <c r="G40" s="25" t="s">
        <v>455</v>
      </c>
      <c r="H40" s="26" t="s">
        <v>106</v>
      </c>
      <c r="I40" s="26" t="str">
        <f>IF($AO40,"#N/D",IFERROR(INDEX(Olimpiadas!$A$2:$A$61,MATCH($AM40,Olimpiadas!$C$2:$C$61,0)),"#N/D"))</f>
        <v>#N/D</v>
      </c>
      <c r="J40" s="26" t="str">
        <f>IF($AO40,"#N/D",IFERROR(INDEX(Minculturas!$A$2:$A$48,MATCH($AM40,Minculturas!$C$2:$C$48,0)),"#N/D"))</f>
        <v>#N/D</v>
      </c>
      <c r="K40" s="26" t="str">
        <f>IF($AO40,"#N/D",IFERROR(INDEX(Minculturas!$B$2:$B$48,MATCH($AM40,Minculturas!$C$2:$C$48,0)),"#N/D"))</f>
        <v>#N/D</v>
      </c>
      <c r="L40" s="27">
        <v>5</v>
      </c>
      <c r="M40" s="28">
        <v>0</v>
      </c>
      <c r="N40" s="28">
        <v>2</v>
      </c>
      <c r="O40" s="28">
        <v>1</v>
      </c>
      <c r="P40" s="28">
        <v>0</v>
      </c>
      <c r="Q40" s="28">
        <v>1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1</v>
      </c>
      <c r="AA40" s="28">
        <v>0</v>
      </c>
      <c r="AB40" s="28">
        <v>0</v>
      </c>
      <c r="AC40" s="28">
        <v>0</v>
      </c>
      <c r="AD40" s="28">
        <v>0</v>
      </c>
      <c r="AE40" s="27">
        <f>SUM(Tabla43[[#This Row],[Edificación colapsada]:[Robo]])</f>
        <v>5</v>
      </c>
      <c r="AF40" s="28" t="s">
        <v>136</v>
      </c>
      <c r="AG40" s="28" t="s">
        <v>457</v>
      </c>
      <c r="AH40" s="28">
        <v>23.2</v>
      </c>
      <c r="AI40" s="28"/>
      <c r="AJ40" s="28"/>
      <c r="AK40" s="29" t="s">
        <v>458</v>
      </c>
      <c r="AM40" t="str">
        <f t="shared" si="0"/>
        <v>riofrio</v>
      </c>
      <c r="AN40" t="str">
        <f t="shared" si="1"/>
        <v>valle del cauca</v>
      </c>
      <c r="AO40" t="b">
        <f t="shared" si="2"/>
        <v>0</v>
      </c>
      <c r="AP40" t="str">
        <f t="shared" si="3"/>
        <v>riofrio</v>
      </c>
    </row>
    <row r="41" spans="1:42" ht="25.5" customHeight="1" x14ac:dyDescent="0.25">
      <c r="A41" s="33" t="s">
        <v>519</v>
      </c>
      <c r="B41" s="11" t="s">
        <v>35</v>
      </c>
      <c r="C41" s="51" t="s">
        <v>454</v>
      </c>
      <c r="D41" s="69"/>
      <c r="E41" s="11" t="s">
        <v>520</v>
      </c>
      <c r="F41" s="25" t="s">
        <v>106</v>
      </c>
      <c r="G41" s="25" t="s">
        <v>106</v>
      </c>
      <c r="H41" s="26" t="s">
        <v>106</v>
      </c>
      <c r="I41" s="26" t="str">
        <f>IF($AO41,"#N/D",IFERROR(INDEX(Olimpiadas!$A$2:$A$61,MATCH($AM41,Olimpiadas!$C$2:$C$61,0)),"#N/D"))</f>
        <v>#N/D</v>
      </c>
      <c r="J41" s="26" t="str">
        <f>IF($AO41,"#N/D",IFERROR(INDEX(Minculturas!$A$2:$A$48,MATCH($AM41,Minculturas!$C$2:$C$48,0)),"#N/D"))</f>
        <v>#N/D</v>
      </c>
      <c r="K41" s="26" t="str">
        <f>IF($AO41,"#N/D",IFERROR(INDEX(Minculturas!$B$2:$B$48,MATCH($AM41,Minculturas!$C$2:$C$48,0)),"#N/D"))</f>
        <v>#N/D</v>
      </c>
      <c r="L41" s="27">
        <v>3</v>
      </c>
      <c r="M41" s="28">
        <v>0</v>
      </c>
      <c r="N41" s="28">
        <v>1</v>
      </c>
      <c r="O41" s="28">
        <v>0</v>
      </c>
      <c r="P41" s="28">
        <v>1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1</v>
      </c>
      <c r="AA41" s="28">
        <v>0</v>
      </c>
      <c r="AB41" s="28">
        <v>0</v>
      </c>
      <c r="AC41" s="28">
        <v>0</v>
      </c>
      <c r="AD41" s="28">
        <v>0</v>
      </c>
      <c r="AE41" s="27">
        <f>SUM(Tabla43[[#This Row],[Edificación colapsada]:[Robo]])</f>
        <v>3</v>
      </c>
      <c r="AF41" s="28"/>
      <c r="AG41" s="28"/>
      <c r="AH41" s="28">
        <v>22.9</v>
      </c>
      <c r="AI41" s="28"/>
      <c r="AJ41" s="28"/>
      <c r="AK41" s="29" t="s">
        <v>521</v>
      </c>
      <c r="AM41" t="str">
        <f t="shared" si="0"/>
        <v>sasaima</v>
      </c>
      <c r="AN41" t="str">
        <f t="shared" si="1"/>
        <v>cundinamarca</v>
      </c>
      <c r="AO41" t="b">
        <f t="shared" si="2"/>
        <v>0</v>
      </c>
      <c r="AP41" t="str">
        <f t="shared" si="3"/>
        <v>sasaima</v>
      </c>
    </row>
    <row r="42" spans="1:42" ht="25.5" customHeight="1" x14ac:dyDescent="0.25">
      <c r="A42" s="33" t="s">
        <v>522</v>
      </c>
      <c r="B42" s="11" t="s">
        <v>35</v>
      </c>
      <c r="C42" s="51" t="s">
        <v>454</v>
      </c>
      <c r="D42" s="69"/>
      <c r="E42" s="11" t="s">
        <v>523</v>
      </c>
      <c r="F42" s="25" t="s">
        <v>106</v>
      </c>
      <c r="G42" s="25" t="s">
        <v>106</v>
      </c>
      <c r="H42" s="26" t="s">
        <v>106</v>
      </c>
      <c r="I42" s="26" t="str">
        <f>IF($AO42,"#N/D",IFERROR(INDEX(Olimpiadas!$A$2:$A$61,MATCH($AM42,Olimpiadas!$C$2:$C$61,0)),"#N/D"))</f>
        <v>#N/D</v>
      </c>
      <c r="J42" s="26" t="str">
        <f>IF($AO42,"#N/D",IFERROR(INDEX(Minculturas!$A$2:$A$48,MATCH($AM42,Minculturas!$C$2:$C$48,0)),"#N/D"))</f>
        <v>#N/D</v>
      </c>
      <c r="K42" s="26" t="str">
        <f>IF($AO42,"#N/D",IFERROR(INDEX(Minculturas!$B$2:$B$48,MATCH($AM42,Minculturas!$C$2:$C$48,0)),"#N/D"))</f>
        <v>#N/D</v>
      </c>
      <c r="L42" s="27">
        <v>2</v>
      </c>
      <c r="M42" s="28">
        <v>0</v>
      </c>
      <c r="N42" s="28">
        <v>1</v>
      </c>
      <c r="O42" s="28">
        <v>0</v>
      </c>
      <c r="P42" s="28">
        <v>1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7">
        <f>SUM(Tabla43[[#This Row],[Edificación colapsada]:[Robo]])</f>
        <v>2</v>
      </c>
      <c r="AF42" s="28"/>
      <c r="AG42" s="28"/>
      <c r="AH42" s="28">
        <v>10.4</v>
      </c>
      <c r="AI42" s="28"/>
      <c r="AJ42" s="28"/>
      <c r="AK42" s="29" t="s">
        <v>524</v>
      </c>
      <c r="AM42" t="str">
        <f t="shared" si="0"/>
        <v>tenjo</v>
      </c>
      <c r="AN42" t="str">
        <f t="shared" si="1"/>
        <v>cundinamarca</v>
      </c>
      <c r="AO42" t="b">
        <f t="shared" si="2"/>
        <v>0</v>
      </c>
      <c r="AP42" t="str">
        <f t="shared" si="3"/>
        <v>tenjo</v>
      </c>
    </row>
    <row r="43" spans="1:42" ht="25.5" customHeight="1" x14ac:dyDescent="0.25">
      <c r="A43" s="33" t="s">
        <v>1162</v>
      </c>
      <c r="B43" s="11" t="s">
        <v>35</v>
      </c>
      <c r="C43" s="43" t="s">
        <v>309</v>
      </c>
      <c r="D43" s="69"/>
      <c r="E43" s="11" t="s">
        <v>1163</v>
      </c>
      <c r="F43" s="25" t="str">
        <f>IFERROR(IF($AO43,INDEX(cpe!$C$2:$C$307,MATCH($AP43,cpe!$F$2:$F$307,0)),INDEX(cpe!$C$2:$C$307,MATCH($AP43,cpe!$D$2:$D$307,0))),"#N/D")</f>
        <v>Institucion Educativa Tecnica la Marina</v>
      </c>
      <c r="G43" s="25" t="str">
        <f>IFERROR(IF($AO43,INDEX(cpe!$B$2:$B$307,MATCH($AP43,cpe!$F$2:$F$307,0)),INDEX(cpe!$B$2:$B$307,MATCH($AP43,cpe!$D$2:$D$307,0))),"#N/D")</f>
        <v>Chía</v>
      </c>
      <c r="H43" s="26" t="str">
        <f>IF($AO43,"#N/D",IFERROR(INDEX(Olimpiadas!$B$2:$B$61,MATCH($AM43,Olimpiadas!$C$2:$C$61,0)),"#N/D"))</f>
        <v>#N/D</v>
      </c>
      <c r="I43" s="26" t="str">
        <f>IF($AO43,"#N/D",IFERROR(INDEX(Olimpiadas!$A$2:$A$61,MATCH($AM43,Olimpiadas!$C$2:$C$61,0)),"#N/D"))</f>
        <v>#N/D</v>
      </c>
      <c r="J43" s="26" t="str">
        <f>IF($AO43,"#N/D",IFERROR(INDEX(Minculturas!$A$2:$A$48,MATCH($AM43,Minculturas!$C$2:$C$48,0)),"#N/D"))</f>
        <v>#N/D</v>
      </c>
      <c r="K43" s="26" t="str">
        <f>IF($AO43,"#N/D",IFERROR(INDEX(Minculturas!$B$2:$B$48,MATCH($AM43,Minculturas!$C$2:$C$48,0)),"#N/D"))</f>
        <v>#N/D</v>
      </c>
      <c r="L43" s="27">
        <v>5</v>
      </c>
      <c r="M43" s="28">
        <v>0</v>
      </c>
      <c r="N43" s="28">
        <v>0</v>
      </c>
      <c r="O43" s="28">
        <v>0</v>
      </c>
      <c r="P43" s="28">
        <v>0</v>
      </c>
      <c r="Q43" s="28">
        <v>1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4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7">
        <f>SUM(Tabla43[[#This Row],[Edificación colapsada]:[Robo]])</f>
        <v>5</v>
      </c>
      <c r="AF43" s="28"/>
      <c r="AG43" s="28"/>
      <c r="AH43" s="28">
        <v>6.7</v>
      </c>
      <c r="AI43" s="28"/>
      <c r="AJ43" s="28"/>
      <c r="AK43" s="29" t="s">
        <v>1164</v>
      </c>
      <c r="AM43" t="str">
        <f t="shared" si="0"/>
        <v>chia</v>
      </c>
      <c r="AN43" t="str">
        <f t="shared" si="1"/>
        <v>cundinamarca</v>
      </c>
      <c r="AO43" t="b">
        <f t="shared" si="2"/>
        <v>0</v>
      </c>
      <c r="AP43" t="str">
        <f t="shared" si="3"/>
        <v>chia</v>
      </c>
    </row>
    <row r="44" spans="1:42" ht="25.5" customHeight="1" x14ac:dyDescent="0.25">
      <c r="A44" s="33" t="s">
        <v>308</v>
      </c>
      <c r="B44" s="11" t="s">
        <v>35</v>
      </c>
      <c r="C44" s="43" t="s">
        <v>309</v>
      </c>
      <c r="D44" s="69"/>
      <c r="E44" s="11" t="s">
        <v>310</v>
      </c>
      <c r="F44" s="25" t="str">
        <f>IFERROR(IF($AO44,INDEX(cpe!$C$2:$C$307,MATCH($AP44,cpe!$F$2:$F$307,0)),INDEX(cpe!$C$2:$C$307,MATCH($AP44,cpe!$D$2:$D$307,0))),"#N/D")</f>
        <v>#N/D</v>
      </c>
      <c r="G44" s="25" t="str">
        <f>IFERROR(IF($AO44,INDEX(cpe!$B$2:$B$307,MATCH($AP44,cpe!$F$2:$F$307,0)),INDEX(cpe!$B$2:$B$307,MATCH($AP44,cpe!$D$2:$D$307,0))),"#N/D")</f>
        <v>#N/D</v>
      </c>
      <c r="H44" s="26" t="str">
        <f>IF($AO44,"#N/D",IFERROR(INDEX(Olimpiadas!$B$2:$B$61,MATCH($AM44,Olimpiadas!$C$2:$C$61,0)),"#N/D"))</f>
        <v>#N/D</v>
      </c>
      <c r="I44" s="26" t="str">
        <f>IF($AO44,"#N/D",IFERROR(INDEX(Olimpiadas!$A$2:$A$61,MATCH($AM44,Olimpiadas!$C$2:$C$61,0)),"#N/D"))</f>
        <v>#N/D</v>
      </c>
      <c r="J44" s="26" t="str">
        <f>IF($AO44,"#N/D",IFERROR(INDEX(Minculturas!$A$2:$A$48,MATCH($AM44,Minculturas!$C$2:$C$48,0)),"#N/D"))</f>
        <v>#N/D</v>
      </c>
      <c r="K44" s="26" t="str">
        <f>IF($AO44,"#N/D",IFERROR(INDEX(Minculturas!$B$2:$B$48,MATCH($AM44,Minculturas!$C$2:$C$48,0)),"#N/D"))</f>
        <v>#N/D</v>
      </c>
      <c r="L44" s="27">
        <v>6</v>
      </c>
      <c r="M44" s="28">
        <v>0</v>
      </c>
      <c r="N44" s="28">
        <v>4</v>
      </c>
      <c r="O44" s="28">
        <v>0</v>
      </c>
      <c r="P44" s="28">
        <v>0</v>
      </c>
      <c r="Q44" s="28">
        <v>0</v>
      </c>
      <c r="R44" s="28">
        <v>0</v>
      </c>
      <c r="S44" s="28">
        <v>2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7">
        <f>SUM(Tabla43[[#This Row],[Edificación colapsada]:[Robo]])</f>
        <v>6</v>
      </c>
      <c r="AF44" s="28"/>
      <c r="AG44" s="28"/>
      <c r="AH44" s="28">
        <v>7.8</v>
      </c>
      <c r="AI44" s="28"/>
      <c r="AJ44" s="28"/>
      <c r="AK44" s="29" t="s">
        <v>311</v>
      </c>
      <c r="AM44" t="str">
        <f t="shared" si="0"/>
        <v>funza</v>
      </c>
      <c r="AN44" t="str">
        <f t="shared" si="1"/>
        <v>cundinamarca</v>
      </c>
      <c r="AO44" t="b">
        <f t="shared" si="2"/>
        <v>0</v>
      </c>
      <c r="AP44" t="str">
        <f t="shared" si="3"/>
        <v>funza</v>
      </c>
    </row>
    <row r="45" spans="1:42" ht="25.5" customHeight="1" x14ac:dyDescent="0.25">
      <c r="A45" s="33" t="s">
        <v>525</v>
      </c>
      <c r="B45" s="11" t="s">
        <v>35</v>
      </c>
      <c r="C45" s="43" t="s">
        <v>309</v>
      </c>
      <c r="D45" s="69"/>
      <c r="E45" s="11" t="s">
        <v>526</v>
      </c>
      <c r="F45" s="25" t="str">
        <f>IFERROR(IF($AO45,INDEX(cpe!$C$2:$C$307,MATCH($AP45,cpe!$F$2:$F$307,0)),INDEX(cpe!$C$2:$C$307,MATCH($AP45,cpe!$D$2:$D$307,0))),"#N/D")</f>
        <v>#N/D</v>
      </c>
      <c r="G45" s="25" t="str">
        <f>IFERROR(IF($AO45,INDEX(cpe!$B$2:$B$307,MATCH($AP45,cpe!$F$2:$F$307,0)),INDEX(cpe!$B$2:$B$307,MATCH($AP45,cpe!$D$2:$D$307,0))),"#N/D")</f>
        <v>#N/D</v>
      </c>
      <c r="H45" s="26" t="str">
        <f>IF($AO45,"#N/D",IFERROR(INDEX(Olimpiadas!$B$2:$B$61,MATCH($AM45,Olimpiadas!$C$2:$C$61,0)),"#N/D"))</f>
        <v>#N/D</v>
      </c>
      <c r="I45" s="26" t="str">
        <f>IF($AO45,"#N/D",IFERROR(INDEX(Olimpiadas!$A$2:$A$61,MATCH($AM45,Olimpiadas!$C$2:$C$61,0)),"#N/D"))</f>
        <v>#N/D</v>
      </c>
      <c r="J45" s="26" t="str">
        <f>IF($AO45,"#N/D",IFERROR(INDEX(Minculturas!$A$2:$A$48,MATCH($AM45,Minculturas!$C$2:$C$48,0)),"#N/D"))</f>
        <v>#N/D</v>
      </c>
      <c r="K45" s="26" t="str">
        <f>IF($AO45,"#N/D",IFERROR(INDEX(Minculturas!$B$2:$B$48,MATCH($AM45,Minculturas!$C$2:$C$48,0)),"#N/D"))</f>
        <v>#N/D</v>
      </c>
      <c r="L45" s="27">
        <v>3</v>
      </c>
      <c r="M45" s="28">
        <v>0</v>
      </c>
      <c r="N45" s="28">
        <v>0</v>
      </c>
      <c r="O45" s="28">
        <v>1</v>
      </c>
      <c r="P45" s="28">
        <v>0</v>
      </c>
      <c r="Q45" s="28">
        <v>0</v>
      </c>
      <c r="R45" s="28">
        <v>0</v>
      </c>
      <c r="S45" s="28">
        <v>1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1</v>
      </c>
      <c r="AA45" s="28">
        <v>0</v>
      </c>
      <c r="AB45" s="28">
        <v>0</v>
      </c>
      <c r="AC45" s="28">
        <v>0</v>
      </c>
      <c r="AD45" s="28">
        <v>0</v>
      </c>
      <c r="AE45" s="27">
        <f>SUM(Tabla43[[#This Row],[Edificación colapsada]:[Robo]])</f>
        <v>3</v>
      </c>
      <c r="AF45" s="28"/>
      <c r="AG45" s="28"/>
      <c r="AH45" s="28">
        <v>10.4</v>
      </c>
      <c r="AI45" s="28"/>
      <c r="AJ45" s="28"/>
      <c r="AK45" s="29" t="s">
        <v>527</v>
      </c>
      <c r="AM45" t="str">
        <f t="shared" si="0"/>
        <v>madrid</v>
      </c>
      <c r="AN45" t="str">
        <f t="shared" si="1"/>
        <v>cundinamarca</v>
      </c>
      <c r="AO45" t="b">
        <f t="shared" si="2"/>
        <v>0</v>
      </c>
      <c r="AP45" t="str">
        <f t="shared" si="3"/>
        <v>madrid</v>
      </c>
    </row>
    <row r="46" spans="1:42" ht="25.5" customHeight="1" x14ac:dyDescent="0.25">
      <c r="A46" s="33" t="s">
        <v>770</v>
      </c>
      <c r="B46" s="11" t="s">
        <v>35</v>
      </c>
      <c r="C46" s="43" t="s">
        <v>309</v>
      </c>
      <c r="D46" s="69"/>
      <c r="E46" s="11" t="s">
        <v>241</v>
      </c>
      <c r="F46" s="25" t="str">
        <f>IFERROR(IF($AO46,INDEX(cpe!$C$2:$C$307,MATCH($AP46,cpe!$F$2:$F$307,0)),INDEX(cpe!$C$2:$C$307,MATCH($AP46,cpe!$D$2:$D$307,0))),"#N/D")</f>
        <v>#N/D</v>
      </c>
      <c r="G46" s="25" t="str">
        <f>IFERROR(IF($AO46,INDEX(cpe!$B$2:$B$307,MATCH($AP46,cpe!$F$2:$F$307,0)),INDEX(cpe!$B$2:$B$307,MATCH($AP46,cpe!$D$2:$D$307,0))),"#N/D")</f>
        <v>#N/D</v>
      </c>
      <c r="H46" s="26" t="str">
        <f>IF($AO46,"#N/D",IFERROR(INDEX(Olimpiadas!$B$2:$B$61,MATCH($AM46,Olimpiadas!$C$2:$C$61,0)),"#N/D"))</f>
        <v>#N/D</v>
      </c>
      <c r="I46" s="26" t="str">
        <f>IF($AO46,"#N/D",IFERROR(INDEX(Olimpiadas!$A$2:$A$61,MATCH($AM46,Olimpiadas!$C$2:$C$61,0)),"#N/D"))</f>
        <v>#N/D</v>
      </c>
      <c r="J46" s="26" t="str">
        <f>IF($AO46,"#N/D",IFERROR(INDEX(Minculturas!$A$2:$A$48,MATCH($AM46,Minculturas!$C$2:$C$48,0)),"#N/D"))</f>
        <v>#N/D</v>
      </c>
      <c r="K46" s="26" t="str">
        <f>IF($AO46,"#N/D",IFERROR(INDEX(Minculturas!$B$2:$B$48,MATCH($AM46,Minculturas!$C$2:$C$48,0)),"#N/D"))</f>
        <v>#N/D</v>
      </c>
      <c r="L46" s="27">
        <v>1</v>
      </c>
      <c r="M46" s="28">
        <v>0</v>
      </c>
      <c r="N46" s="28">
        <v>1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7">
        <f>SUM(Tabla43[[#This Row],[Edificación colapsada]:[Robo]])</f>
        <v>1</v>
      </c>
      <c r="AF46" s="28"/>
      <c r="AG46" s="28"/>
      <c r="AH46" s="28">
        <v>70.2</v>
      </c>
      <c r="AI46" s="28"/>
      <c r="AJ46" s="28"/>
      <c r="AK46" s="29" t="s">
        <v>771</v>
      </c>
      <c r="AM46" t="str">
        <f t="shared" si="0"/>
        <v>mosquera</v>
      </c>
      <c r="AN46" t="str">
        <f t="shared" si="1"/>
        <v>cundinamarca</v>
      </c>
      <c r="AO46" t="b">
        <f t="shared" si="2"/>
        <v>1</v>
      </c>
      <c r="AP46" t="str">
        <f t="shared" si="3"/>
        <v>mosquera|cundinamarca</v>
      </c>
    </row>
    <row r="47" spans="1:42" ht="25.5" customHeight="1" x14ac:dyDescent="0.25">
      <c r="A47" s="33" t="s">
        <v>459</v>
      </c>
      <c r="B47" s="11" t="s">
        <v>35</v>
      </c>
      <c r="C47" s="43" t="s">
        <v>309</v>
      </c>
      <c r="D47" s="69"/>
      <c r="E47" s="11" t="s">
        <v>460</v>
      </c>
      <c r="F47" s="25" t="str">
        <f>IFERROR(IF($AO47,INDEX(cpe!$C$2:$C$307,MATCH($AP47,cpe!$F$2:$F$307,0)),INDEX(cpe!$C$2:$C$307,MATCH($AP47,cpe!$D$2:$D$307,0))),"#N/D")</f>
        <v>Institucion Educativa Maria Luz</v>
      </c>
      <c r="G47" s="25" t="str">
        <f>IFERROR(IF($AO47,INDEX(cpe!$B$2:$B$307,MATCH($AP47,cpe!$F$2:$F$307,0)),INDEX(cpe!$B$2:$B$307,MATCH($AP47,cpe!$D$2:$D$307,0))),"#N/D")</f>
        <v>Nilo</v>
      </c>
      <c r="H47" s="26" t="str">
        <f>IF($AO47,"#N/D",IFERROR(INDEX(Olimpiadas!$B$2:$B$61,MATCH($AM47,Olimpiadas!$C$2:$C$61,0)),"#N/D"))</f>
        <v>#N/D</v>
      </c>
      <c r="I47" s="26" t="str">
        <f>IF($AO47,"#N/D",IFERROR(INDEX(Olimpiadas!$A$2:$A$61,MATCH($AM47,Olimpiadas!$C$2:$C$61,0)),"#N/D"))</f>
        <v>#N/D</v>
      </c>
      <c r="J47" s="26" t="str">
        <f>IF($AO47,"#N/D",IFERROR(INDEX(Minculturas!$A$2:$A$48,MATCH($AM47,Minculturas!$C$2:$C$48,0)),"#N/D"))</f>
        <v>#N/D</v>
      </c>
      <c r="K47" s="26" t="str">
        <f>IF($AO47,"#N/D",IFERROR(INDEX(Minculturas!$B$2:$B$48,MATCH($AM47,Minculturas!$C$2:$C$48,0)),"#N/D"))</f>
        <v>#N/D</v>
      </c>
      <c r="L47" s="27">
        <v>3</v>
      </c>
      <c r="M47" s="28">
        <v>0</v>
      </c>
      <c r="N47" s="28">
        <v>0</v>
      </c>
      <c r="O47" s="28">
        <v>2</v>
      </c>
      <c r="P47" s="28">
        <v>0</v>
      </c>
      <c r="Q47" s="28">
        <v>1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7">
        <f>SUM(Tabla43[[#This Row],[Edificación colapsada]:[Robo]])</f>
        <v>3</v>
      </c>
      <c r="AF47" s="28"/>
      <c r="AG47" s="28"/>
      <c r="AH47" s="28">
        <v>22.1</v>
      </c>
      <c r="AI47" s="28"/>
      <c r="AJ47" s="28"/>
      <c r="AK47" s="29" t="s">
        <v>461</v>
      </c>
      <c r="AM47" t="str">
        <f t="shared" si="0"/>
        <v>nilo</v>
      </c>
      <c r="AN47" t="str">
        <f t="shared" si="1"/>
        <v>cundinamarca</v>
      </c>
      <c r="AO47" t="b">
        <f t="shared" si="2"/>
        <v>0</v>
      </c>
      <c r="AP47" t="str">
        <f t="shared" si="3"/>
        <v>nilo</v>
      </c>
    </row>
    <row r="48" spans="1:42" ht="25.5" customHeight="1" x14ac:dyDescent="0.25">
      <c r="A48" s="33" t="s">
        <v>528</v>
      </c>
      <c r="B48" s="11" t="s">
        <v>35</v>
      </c>
      <c r="C48" s="43" t="s">
        <v>309</v>
      </c>
      <c r="D48" s="69"/>
      <c r="E48" s="11" t="s">
        <v>529</v>
      </c>
      <c r="F48" s="25" t="s">
        <v>106</v>
      </c>
      <c r="G48" s="25" t="s">
        <v>106</v>
      </c>
      <c r="H48" s="26" t="s">
        <v>106</v>
      </c>
      <c r="I48" s="26" t="str">
        <f>IF($AO48,"#N/D",IFERROR(INDEX(Olimpiadas!$A$2:$A$61,MATCH($AM48,Olimpiadas!$C$2:$C$61,0)),"#N/D"))</f>
        <v>#N/D</v>
      </c>
      <c r="J48" s="26" t="str">
        <f>IF($AO48,"#N/D",IFERROR(INDEX(Minculturas!$A$2:$A$48,MATCH($AM48,Minculturas!$C$2:$C$48,0)),"#N/D"))</f>
        <v>#N/D</v>
      </c>
      <c r="K48" s="26" t="str">
        <f>IF($AO48,"#N/D",IFERROR(INDEX(Minculturas!$B$2:$B$48,MATCH($AM48,Minculturas!$C$2:$C$48,0)),"#N/D"))</f>
        <v>#N/D</v>
      </c>
      <c r="L48" s="27">
        <v>2</v>
      </c>
      <c r="M48" s="28">
        <v>0</v>
      </c>
      <c r="N48" s="28">
        <v>0</v>
      </c>
      <c r="O48" s="28">
        <v>2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7">
        <f>SUM(Tabla43[[#This Row],[Edificación colapsada]:[Robo]])</f>
        <v>2</v>
      </c>
      <c r="AF48" s="28"/>
      <c r="AG48" s="28"/>
      <c r="AH48" s="28">
        <v>31</v>
      </c>
      <c r="AI48" s="28"/>
      <c r="AJ48" s="28"/>
      <c r="AK48" s="29" t="s">
        <v>530</v>
      </c>
      <c r="AM48" t="str">
        <f t="shared" si="0"/>
        <v>puerto salgar</v>
      </c>
      <c r="AN48" t="str">
        <f t="shared" si="1"/>
        <v>cundinamarca</v>
      </c>
      <c r="AO48" t="b">
        <f t="shared" si="2"/>
        <v>0</v>
      </c>
      <c r="AP48" t="str">
        <f t="shared" si="3"/>
        <v>puerto salgar</v>
      </c>
    </row>
    <row r="49" spans="1:42" ht="25.5" customHeight="1" x14ac:dyDescent="0.25">
      <c r="A49" s="33" t="s">
        <v>772</v>
      </c>
      <c r="B49" s="11" t="s">
        <v>35</v>
      </c>
      <c r="C49" s="43" t="s">
        <v>309</v>
      </c>
      <c r="D49" s="69"/>
      <c r="E49" s="11" t="s">
        <v>170</v>
      </c>
      <c r="F49" s="25" t="s">
        <v>106</v>
      </c>
      <c r="G49" s="25" t="s">
        <v>106</v>
      </c>
      <c r="H49" s="26" t="s">
        <v>106</v>
      </c>
      <c r="I49" s="26" t="str">
        <f>IF($AO49,"#N/D",IFERROR(INDEX(Olimpiadas!$A$2:$A$61,MATCH($AM49,Olimpiadas!$C$2:$C$61,0)),"#N/D"))</f>
        <v>#N/D</v>
      </c>
      <c r="J49" s="26" t="str">
        <f>IF($AO49,"#N/D",IFERROR(INDEX(Minculturas!$A$2:$A$48,MATCH($AM49,Minculturas!$C$2:$C$48,0)),"#N/D"))</f>
        <v>#N/D</v>
      </c>
      <c r="K49" s="26" t="str">
        <f>IF($AO49,"#N/D",IFERROR(INDEX(Minculturas!$B$2:$B$48,MATCH($AM49,Minculturas!$C$2:$C$48,0)),"#N/D"))</f>
        <v>#N/D</v>
      </c>
      <c r="L49" s="27">
        <v>1</v>
      </c>
      <c r="M49" s="28">
        <v>0</v>
      </c>
      <c r="N49" s="28">
        <v>0</v>
      </c>
      <c r="O49" s="28">
        <v>1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7">
        <f>SUM(Tabla43[[#This Row],[Edificación colapsada]:[Robo]])</f>
        <v>1</v>
      </c>
      <c r="AF49" s="28"/>
      <c r="AG49" s="28"/>
      <c r="AH49" s="28">
        <v>71.900000000000006</v>
      </c>
      <c r="AI49" s="28"/>
      <c r="AJ49" s="28"/>
      <c r="AK49" s="29" t="s">
        <v>773</v>
      </c>
      <c r="AM49" t="str">
        <f t="shared" si="0"/>
        <v>ricaurte</v>
      </c>
      <c r="AN49" t="str">
        <f t="shared" si="1"/>
        <v>cundinamarca</v>
      </c>
      <c r="AO49" t="b">
        <f t="shared" si="2"/>
        <v>1</v>
      </c>
      <c r="AP49" t="str">
        <f t="shared" si="3"/>
        <v>ricaurte|cundinamarca</v>
      </c>
    </row>
    <row r="50" spans="1:42" ht="25.5" customHeight="1" x14ac:dyDescent="0.25">
      <c r="A50" s="33" t="s">
        <v>737</v>
      </c>
      <c r="B50" s="11" t="s">
        <v>35</v>
      </c>
      <c r="C50" s="43" t="s">
        <v>309</v>
      </c>
      <c r="D50" s="69"/>
      <c r="E50" s="11" t="s">
        <v>738</v>
      </c>
      <c r="F50" s="25" t="s">
        <v>739</v>
      </c>
      <c r="G50" s="25" t="s">
        <v>738</v>
      </c>
      <c r="H50" s="26" t="s">
        <v>106</v>
      </c>
      <c r="I50" s="26" t="str">
        <f>IF($AO50,"#N/D",IFERROR(INDEX(Olimpiadas!$A$2:$A$61,MATCH($AM50,Olimpiadas!$C$2:$C$61,0)),"#N/D"))</f>
        <v>#N/D</v>
      </c>
      <c r="J50" s="26" t="str">
        <f>IF($AO50,"#N/D",IFERROR(INDEX(Minculturas!$A$2:$A$48,MATCH($AM50,Minculturas!$C$2:$C$48,0)),"#N/D"))</f>
        <v>#N/D</v>
      </c>
      <c r="K50" s="26" t="str">
        <f>IF($AO50,"#N/D",IFERROR(INDEX(Minculturas!$B$2:$B$48,MATCH($AM50,Minculturas!$C$2:$C$48,0)),"#N/D"))</f>
        <v>#N/D</v>
      </c>
      <c r="L50" s="27">
        <v>2</v>
      </c>
      <c r="M50" s="28">
        <v>0</v>
      </c>
      <c r="N50" s="28">
        <v>1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1</v>
      </c>
      <c r="AA50" s="28">
        <v>0</v>
      </c>
      <c r="AB50" s="28">
        <v>0</v>
      </c>
      <c r="AC50" s="28">
        <v>0</v>
      </c>
      <c r="AD50" s="28">
        <v>0</v>
      </c>
      <c r="AE50" s="27">
        <f>SUM(Tabla43[[#This Row],[Edificación colapsada]:[Robo]])</f>
        <v>2</v>
      </c>
      <c r="AF50" s="28"/>
      <c r="AG50" s="28"/>
      <c r="AH50" s="28">
        <v>35.6</v>
      </c>
      <c r="AI50" s="28"/>
      <c r="AJ50" s="28"/>
      <c r="AK50" s="29" t="s">
        <v>740</v>
      </c>
      <c r="AM50" t="str">
        <f t="shared" si="0"/>
        <v>san juan de rioseco</v>
      </c>
      <c r="AN50" t="str">
        <f t="shared" si="1"/>
        <v>cundinamarca</v>
      </c>
      <c r="AO50" t="b">
        <f t="shared" si="2"/>
        <v>0</v>
      </c>
      <c r="AP50" t="str">
        <f t="shared" si="3"/>
        <v>san juan de rioseco</v>
      </c>
    </row>
    <row r="51" spans="1:42" ht="25.5" customHeight="1" x14ac:dyDescent="0.25">
      <c r="A51" s="33" t="s">
        <v>1114</v>
      </c>
      <c r="B51" s="11" t="s">
        <v>35</v>
      </c>
      <c r="C51" s="43" t="s">
        <v>309</v>
      </c>
      <c r="D51" s="69"/>
      <c r="E51" s="11" t="s">
        <v>1115</v>
      </c>
      <c r="F51" s="25" t="s">
        <v>1116</v>
      </c>
      <c r="G51" s="25" t="s">
        <v>1115</v>
      </c>
      <c r="H51" s="26" t="s">
        <v>106</v>
      </c>
      <c r="I51" s="26" t="str">
        <f>IF($AO51,"#N/D",IFERROR(INDEX(Olimpiadas!$A$2:$A$61,MATCH($AM51,Olimpiadas!$C$2:$C$61,0)),"#N/D"))</f>
        <v>#N/D</v>
      </c>
      <c r="J51" s="26" t="str">
        <f>IF($AO51,"#N/D",IFERROR(INDEX(Minculturas!$A$2:$A$48,MATCH($AM51,Minculturas!$C$2:$C$48,0)),"#N/D"))</f>
        <v>#N/D</v>
      </c>
      <c r="K51" s="26" t="str">
        <f>IF($AO51,"#N/D",IFERROR(INDEX(Minculturas!$B$2:$B$48,MATCH($AM51,Minculturas!$C$2:$C$48,0)),"#N/D"))</f>
        <v>#N/D</v>
      </c>
      <c r="L51" s="27">
        <v>14</v>
      </c>
      <c r="M51" s="28">
        <v>0</v>
      </c>
      <c r="N51" s="28">
        <v>1</v>
      </c>
      <c r="O51" s="28">
        <v>1</v>
      </c>
      <c r="P51" s="28">
        <v>1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11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7">
        <f>SUM(Tabla43[[#This Row],[Edificación colapsada]:[Robo]])</f>
        <v>14</v>
      </c>
      <c r="AF51" s="28"/>
      <c r="AG51" s="28"/>
      <c r="AH51" s="28">
        <v>14.1</v>
      </c>
      <c r="AI51" s="28"/>
      <c r="AJ51" s="28"/>
      <c r="AK51" s="29" t="s">
        <v>1117</v>
      </c>
      <c r="AM51" t="str">
        <f t="shared" si="0"/>
        <v>soacha</v>
      </c>
      <c r="AN51" t="str">
        <f t="shared" si="1"/>
        <v>cundinamarca</v>
      </c>
      <c r="AO51" t="b">
        <f t="shared" si="2"/>
        <v>0</v>
      </c>
      <c r="AP51" t="str">
        <f t="shared" si="3"/>
        <v>soacha</v>
      </c>
    </row>
    <row r="52" spans="1:42" ht="25.5" customHeight="1" x14ac:dyDescent="0.25">
      <c r="A52" s="33" t="s">
        <v>774</v>
      </c>
      <c r="B52" s="11" t="s">
        <v>35</v>
      </c>
      <c r="C52" s="43" t="s">
        <v>309</v>
      </c>
      <c r="D52" s="69"/>
      <c r="E52" s="11" t="s">
        <v>775</v>
      </c>
      <c r="F52" s="25" t="s">
        <v>106</v>
      </c>
      <c r="G52" s="25" t="s">
        <v>106</v>
      </c>
      <c r="H52" s="26" t="s">
        <v>106</v>
      </c>
      <c r="I52" s="26" t="str">
        <f>IF($AO52,"#N/D",IFERROR(INDEX(Olimpiadas!$A$2:$A$61,MATCH($AM52,Olimpiadas!$C$2:$C$61,0)),"#N/D"))</f>
        <v>#N/D</v>
      </c>
      <c r="J52" s="26" t="str">
        <f>IF($AO52,"#N/D",IFERROR(INDEX(Minculturas!$A$2:$A$48,MATCH($AM52,Minculturas!$C$2:$C$48,0)),"#N/D"))</f>
        <v>#N/D</v>
      </c>
      <c r="K52" s="26" t="str">
        <f>IF($AO52,"#N/D",IFERROR(INDEX(Minculturas!$B$2:$B$48,MATCH($AM52,Minculturas!$C$2:$C$48,0)),"#N/D"))</f>
        <v>#N/D</v>
      </c>
      <c r="L52" s="27">
        <v>1</v>
      </c>
      <c r="M52" s="28">
        <v>0</v>
      </c>
      <c r="N52" s="28">
        <v>0</v>
      </c>
      <c r="O52" s="28">
        <v>1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7">
        <f>SUM(Tabla43[[#This Row],[Edificación colapsada]:[Robo]])</f>
        <v>1</v>
      </c>
      <c r="AF52" s="28"/>
      <c r="AG52" s="28"/>
      <c r="AH52" s="28">
        <v>8</v>
      </c>
      <c r="AI52" s="28"/>
      <c r="AJ52" s="28"/>
      <c r="AK52" s="29" t="s">
        <v>776</v>
      </c>
      <c r="AM52" t="str">
        <f t="shared" si="0"/>
        <v>sopo</v>
      </c>
      <c r="AN52" t="str">
        <f t="shared" si="1"/>
        <v>cundinamarca</v>
      </c>
      <c r="AO52" t="b">
        <f t="shared" si="2"/>
        <v>0</v>
      </c>
      <c r="AP52" t="str">
        <f t="shared" si="3"/>
        <v>sopo</v>
      </c>
    </row>
    <row r="53" spans="1:42" ht="25.5" customHeight="1" x14ac:dyDescent="0.25">
      <c r="A53" s="33" t="s">
        <v>777</v>
      </c>
      <c r="B53" s="11" t="s">
        <v>35</v>
      </c>
      <c r="C53" s="43" t="s">
        <v>309</v>
      </c>
      <c r="D53" s="69"/>
      <c r="E53" s="11" t="s">
        <v>778</v>
      </c>
      <c r="F53" s="25" t="s">
        <v>106</v>
      </c>
      <c r="G53" s="25" t="s">
        <v>106</v>
      </c>
      <c r="H53" s="26" t="s">
        <v>106</v>
      </c>
      <c r="I53" s="26" t="str">
        <f>IF($AO53,"#N/D",IFERROR(INDEX(Olimpiadas!$A$2:$A$61,MATCH($AM53,Olimpiadas!$C$2:$C$61,0)),"#N/D"))</f>
        <v>#N/D</v>
      </c>
      <c r="J53" s="26" t="str">
        <f>IF($AO53,"#N/D",IFERROR(INDEX(Minculturas!$A$2:$A$48,MATCH($AM53,Minculturas!$C$2:$C$48,0)),"#N/D"))</f>
        <v>#N/D</v>
      </c>
      <c r="K53" s="26" t="str">
        <f>IF($AO53,"#N/D",IFERROR(INDEX(Minculturas!$B$2:$B$48,MATCH($AM53,Minculturas!$C$2:$C$48,0)),"#N/D"))</f>
        <v>#N/D</v>
      </c>
      <c r="L53" s="27">
        <v>2</v>
      </c>
      <c r="M53" s="28">
        <v>0</v>
      </c>
      <c r="N53" s="28">
        <v>1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1</v>
      </c>
      <c r="AA53" s="28">
        <v>0</v>
      </c>
      <c r="AB53" s="28">
        <v>0</v>
      </c>
      <c r="AC53" s="28">
        <v>0</v>
      </c>
      <c r="AD53" s="28">
        <v>0</v>
      </c>
      <c r="AE53" s="27">
        <f>SUM(Tabla43[[#This Row],[Edificación colapsada]:[Robo]])</f>
        <v>2</v>
      </c>
      <c r="AF53" s="28"/>
      <c r="AG53" s="28"/>
      <c r="AH53" s="28">
        <v>14</v>
      </c>
      <c r="AI53" s="28"/>
      <c r="AJ53" s="28"/>
      <c r="AK53" s="29" t="s">
        <v>779</v>
      </c>
      <c r="AM53" t="str">
        <f t="shared" si="0"/>
        <v>suesca</v>
      </c>
      <c r="AN53" t="str">
        <f t="shared" si="1"/>
        <v>cundinamarca</v>
      </c>
      <c r="AO53" t="b">
        <f t="shared" si="2"/>
        <v>0</v>
      </c>
      <c r="AP53" t="str">
        <f t="shared" si="3"/>
        <v>suesca</v>
      </c>
    </row>
    <row r="54" spans="1:42" ht="25.5" customHeight="1" x14ac:dyDescent="0.25">
      <c r="A54" s="33" t="s">
        <v>780</v>
      </c>
      <c r="B54" s="11" t="s">
        <v>35</v>
      </c>
      <c r="C54" s="43" t="s">
        <v>309</v>
      </c>
      <c r="D54" s="69"/>
      <c r="E54" s="11" t="s">
        <v>781</v>
      </c>
      <c r="F54" s="25" t="s">
        <v>106</v>
      </c>
      <c r="G54" s="25" t="s">
        <v>106</v>
      </c>
      <c r="H54" s="26" t="s">
        <v>106</v>
      </c>
      <c r="I54" s="26" t="str">
        <f>IF($AO54,"#N/D",IFERROR(INDEX(Olimpiadas!$A$2:$A$61,MATCH($AM54,Olimpiadas!$C$2:$C$61,0)),"#N/D"))</f>
        <v>#N/D</v>
      </c>
      <c r="J54" s="26" t="str">
        <f>IF($AO54,"#N/D",IFERROR(INDEX(Minculturas!$A$2:$A$48,MATCH($AM54,Minculturas!$C$2:$C$48,0)),"#N/D"))</f>
        <v>#N/D</v>
      </c>
      <c r="K54" s="26" t="str">
        <f>IF($AO54,"#N/D",IFERROR(INDEX(Minculturas!$B$2:$B$48,MATCH($AM54,Minculturas!$C$2:$C$48,0)),"#N/D"))</f>
        <v>#N/D</v>
      </c>
      <c r="L54" s="27">
        <v>1</v>
      </c>
      <c r="M54" s="28">
        <v>0</v>
      </c>
      <c r="N54" s="28">
        <v>0</v>
      </c>
      <c r="O54" s="28">
        <v>0</v>
      </c>
      <c r="P54" s="28">
        <v>0</v>
      </c>
      <c r="Q54" s="28">
        <v>1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7">
        <f>SUM(Tabla43[[#This Row],[Edificación colapsada]:[Robo]])</f>
        <v>1</v>
      </c>
      <c r="AF54" s="28"/>
      <c r="AG54" s="28"/>
      <c r="AH54" s="28">
        <v>9.6</v>
      </c>
      <c r="AI54" s="28"/>
      <c r="AJ54" s="28"/>
      <c r="AK54" s="29" t="s">
        <v>782</v>
      </c>
      <c r="AM54" t="str">
        <f t="shared" si="0"/>
        <v>tabio</v>
      </c>
      <c r="AN54" t="str">
        <f t="shared" si="1"/>
        <v>cundinamarca</v>
      </c>
      <c r="AO54" t="b">
        <f t="shared" si="2"/>
        <v>0</v>
      </c>
      <c r="AP54" t="str">
        <f t="shared" si="3"/>
        <v>tabio</v>
      </c>
    </row>
    <row r="55" spans="1:42" ht="25.5" customHeight="1" x14ac:dyDescent="0.25">
      <c r="A55" s="33" t="s">
        <v>783</v>
      </c>
      <c r="B55" s="11" t="s">
        <v>35</v>
      </c>
      <c r="C55" s="43" t="s">
        <v>309</v>
      </c>
      <c r="D55" s="69"/>
      <c r="E55" s="11" t="s">
        <v>784</v>
      </c>
      <c r="F55" s="25" t="s">
        <v>106</v>
      </c>
      <c r="G55" s="25" t="s">
        <v>106</v>
      </c>
      <c r="H55" s="26" t="s">
        <v>106</v>
      </c>
      <c r="I55" s="26" t="str">
        <f>IF($AO55,"#N/D",IFERROR(INDEX(Olimpiadas!$A$2:$A$61,MATCH($AM55,Olimpiadas!$C$2:$C$61,0)),"#N/D"))</f>
        <v>#N/D</v>
      </c>
      <c r="J55" s="26" t="str">
        <f>IF($AO55,"#N/D",IFERROR(INDEX(Minculturas!$A$2:$A$48,MATCH($AM55,Minculturas!$C$2:$C$48,0)),"#N/D"))</f>
        <v>#N/D</v>
      </c>
      <c r="K55" s="26" t="str">
        <f>IF($AO55,"#N/D",IFERROR(INDEX(Minculturas!$B$2:$B$48,MATCH($AM55,Minculturas!$C$2:$C$48,0)),"#N/D"))</f>
        <v>#N/D</v>
      </c>
      <c r="L55" s="27">
        <v>1</v>
      </c>
      <c r="M55" s="28">
        <v>0</v>
      </c>
      <c r="N55" s="28">
        <v>0</v>
      </c>
      <c r="O55" s="28">
        <v>1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7">
        <f>SUM(Tabla43[[#This Row],[Edificación colapsada]:[Robo]])</f>
        <v>1</v>
      </c>
      <c r="AF55" s="28"/>
      <c r="AG55" s="28"/>
      <c r="AH55" s="28">
        <v>24.4</v>
      </c>
      <c r="AI55" s="28"/>
      <c r="AJ55" s="28"/>
      <c r="AK55" s="29" t="s">
        <v>785</v>
      </c>
      <c r="AM55" t="str">
        <f t="shared" si="0"/>
        <v>tocaima</v>
      </c>
      <c r="AN55" t="str">
        <f t="shared" si="1"/>
        <v>cundinamarca</v>
      </c>
      <c r="AO55" t="b">
        <f t="shared" si="2"/>
        <v>0</v>
      </c>
      <c r="AP55" t="str">
        <f t="shared" si="3"/>
        <v>tocaima</v>
      </c>
    </row>
    <row r="56" spans="1:42" ht="25.5" customHeight="1" x14ac:dyDescent="0.25">
      <c r="A56" s="33" t="s">
        <v>357</v>
      </c>
      <c r="B56" s="11" t="s">
        <v>10</v>
      </c>
      <c r="C56" s="34" t="s">
        <v>112</v>
      </c>
      <c r="D56" s="69"/>
      <c r="E56" s="44" t="s">
        <v>358</v>
      </c>
      <c r="F56" s="25" t="str">
        <f>IFERROR(IF($AO56,INDEX(cpe!$C$2:$C$307,MATCH($AP56,cpe!$F$2:$F$307,0)),INDEX(cpe!$C$2:$C$307,MATCH($AP56,cpe!$D$2:$D$307,0))),"#N/D")</f>
        <v>#N/D</v>
      </c>
      <c r="G56" s="25" t="str">
        <f>IFERROR(IF($AO56,INDEX(cpe!$B$2:$B$307,MATCH($AP56,cpe!$F$2:$F$307,0)),INDEX(cpe!$B$2:$B$307,MATCH($AP56,cpe!$D$2:$D$307,0))),"#N/D")</f>
        <v>#N/D</v>
      </c>
      <c r="H56" s="25" t="str">
        <f>IF($AO56,"#N/D",IFERROR(INDEX(Olimpiadas!$B$2:$B$61,MATCH($AM56,Olimpiadas!$C$2:$C$61,0)),"#N/D"))</f>
        <v>#N/D</v>
      </c>
      <c r="I56" s="25" t="str">
        <f>IF($AO56,"#N/D",IFERROR(INDEX(Olimpiadas!$A$2:$A$61,MATCH($AM56,Olimpiadas!$C$2:$C$61,0)),"#N/D"))</f>
        <v>#N/D</v>
      </c>
      <c r="J56" s="25" t="str">
        <f>IF($AO56,"#N/D",IFERROR(INDEX(Minculturas!$A$2:$A$48,MATCH($AM56,Minculturas!$C$2:$C$48,0)),"#N/D"))</f>
        <v>#N/D</v>
      </c>
      <c r="K56" s="25" t="str">
        <f>IF($AO56,"#N/D",IFERROR(INDEX(Minculturas!$B$2:$B$48,MATCH($AM56,Minculturas!$C$2:$C$48,0)),"#N/D"))</f>
        <v>#N/D</v>
      </c>
      <c r="L56" s="27">
        <v>3</v>
      </c>
      <c r="M56" s="28">
        <v>0</v>
      </c>
      <c r="N56" s="28">
        <v>0</v>
      </c>
      <c r="O56" s="28">
        <v>1</v>
      </c>
      <c r="P56" s="28">
        <v>0</v>
      </c>
      <c r="Q56" s="28">
        <v>0</v>
      </c>
      <c r="R56" s="28">
        <v>2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7">
        <f>SUM(Tabla43[[#This Row],[Edificación colapsada]:[Robo]])</f>
        <v>3</v>
      </c>
      <c r="AF56" s="28"/>
      <c r="AG56" s="28"/>
      <c r="AH56" s="28">
        <v>40.6</v>
      </c>
      <c r="AI56" s="28"/>
      <c r="AJ56" s="28"/>
      <c r="AK56" s="29" t="s">
        <v>114</v>
      </c>
      <c r="AM56" t="str">
        <f t="shared" si="0"/>
        <v>abejorral</v>
      </c>
      <c r="AN56" t="str">
        <f t="shared" si="1"/>
        <v>antioquia</v>
      </c>
      <c r="AO56" t="b">
        <f t="shared" si="2"/>
        <v>0</v>
      </c>
      <c r="AP56" t="str">
        <f t="shared" si="3"/>
        <v>abejorral</v>
      </c>
    </row>
    <row r="57" spans="1:42" ht="25.5" customHeight="1" x14ac:dyDescent="0.25">
      <c r="A57" s="33" t="s">
        <v>1129</v>
      </c>
      <c r="B57" s="11" t="s">
        <v>40</v>
      </c>
      <c r="C57" s="34" t="s">
        <v>112</v>
      </c>
      <c r="D57" s="69"/>
      <c r="E57" s="11" t="s">
        <v>1130</v>
      </c>
      <c r="F57" s="25" t="str">
        <f>IFERROR(IF($AO57,INDEX(cpe!$C$2:$C$307,MATCH($AP57,cpe!$F$2:$F$307,0)),INDEX(cpe!$C$2:$C$307,MATCH($AP57,cpe!$D$2:$D$307,0))),"#N/D")</f>
        <v>Institucion Educativa Hector Ivan Hernandez</v>
      </c>
      <c r="G57" s="25" t="str">
        <f>IFERROR(IF($AO57,INDEX(cpe!$B$2:$B$307,MATCH($AP57,cpe!$F$2:$F$307,0)),INDEX(cpe!$B$2:$B$307,MATCH($AP57,cpe!$D$2:$D$307,0))),"#N/D")</f>
        <v>Acacías</v>
      </c>
      <c r="H57" s="26" t="str">
        <f>IF($AO57,"#N/D",IFERROR(INDEX(Olimpiadas!$B$2:$B$61,MATCH($AM57,Olimpiadas!$C$2:$C$61,0)),"#N/D"))</f>
        <v>#N/D</v>
      </c>
      <c r="I57" s="26" t="str">
        <f>IF($AO57,"#N/D",IFERROR(INDEX(Olimpiadas!$A$2:$A$61,MATCH($AM57,Olimpiadas!$C$2:$C$61,0)),"#N/D"))</f>
        <v>#N/D</v>
      </c>
      <c r="J57" s="26" t="str">
        <f>IF($AO57,"#N/D",IFERROR(INDEX(Minculturas!$A$2:$A$48,MATCH($AM57,Minculturas!$C$2:$C$48,0)),"#N/D"))</f>
        <v>#N/D</v>
      </c>
      <c r="K57" s="26" t="str">
        <f>IF($AO57,"#N/D",IFERROR(INDEX(Minculturas!$B$2:$B$48,MATCH($AM57,Minculturas!$C$2:$C$48,0)),"#N/D"))</f>
        <v>#N/D</v>
      </c>
      <c r="L57" s="27">
        <v>1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1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7">
        <f>SUM(Tabla43[[#This Row],[Edificación colapsada]:[Robo]])</f>
        <v>1</v>
      </c>
      <c r="AF57" s="28"/>
      <c r="AG57" s="28"/>
      <c r="AH57" s="28">
        <v>19.2</v>
      </c>
      <c r="AI57" s="28"/>
      <c r="AJ57" s="28"/>
      <c r="AK57" s="29" t="s">
        <v>114</v>
      </c>
      <c r="AM57" t="str">
        <f t="shared" si="0"/>
        <v>acacias</v>
      </c>
      <c r="AN57" t="str">
        <f t="shared" si="1"/>
        <v>meta</v>
      </c>
      <c r="AO57" t="b">
        <f t="shared" si="2"/>
        <v>0</v>
      </c>
      <c r="AP57" t="str">
        <f t="shared" si="3"/>
        <v>acacias</v>
      </c>
    </row>
    <row r="58" spans="1:42" ht="25.5" customHeight="1" x14ac:dyDescent="0.25">
      <c r="A58" s="33" t="s">
        <v>573</v>
      </c>
      <c r="B58" s="11" t="s">
        <v>31</v>
      </c>
      <c r="C58" s="34" t="s">
        <v>112</v>
      </c>
      <c r="D58" s="69"/>
      <c r="E58" s="11" t="s">
        <v>574</v>
      </c>
      <c r="F58" s="25" t="str">
        <f>IFERROR(IF($AO58,INDEX(cpe!$C$2:$C$307,MATCH($AP58,cpe!$F$2:$F$307,0)),INDEX(cpe!$C$2:$C$307,MATCH($AP58,cpe!$D$2:$D$307,0))),"#N/D")</f>
        <v>IE Chugandi</v>
      </c>
      <c r="G58" s="25" t="str">
        <f>IFERROR(IF($AO58,INDEX(cpe!$B$2:$B$307,MATCH($AP58,cpe!$F$2:$F$307,0)),INDEX(cpe!$B$2:$B$307,MATCH($AP58,cpe!$D$2:$D$307,0))),"#N/D")</f>
        <v>Acandí</v>
      </c>
      <c r="H58" s="26" t="str">
        <f>IF($AO58,"#N/D",IFERROR(INDEX(Olimpiadas!$B$2:$B$61,MATCH($AM58,Olimpiadas!$C$2:$C$61,0)),"#N/D"))</f>
        <v>#N/D</v>
      </c>
      <c r="I58" s="26" t="str">
        <f>IF($AO58,"#N/D",IFERROR(INDEX(Olimpiadas!$A$2:$A$61,MATCH($AM58,Olimpiadas!$C$2:$C$61,0)),"#N/D"))</f>
        <v>#N/D</v>
      </c>
      <c r="J58" s="26" t="str">
        <f>IF($AO58,"#N/D",IFERROR(INDEX(Minculturas!$A$2:$A$48,MATCH($AM58,Minculturas!$C$2:$C$48,0)),"#N/D"))</f>
        <v>Acandí</v>
      </c>
      <c r="K58" s="26" t="str">
        <f>IF($AO58,"#N/D",IFERROR(INDEX(Minculturas!$B$2:$B$48,MATCH($AM58,Minculturas!$C$2:$C$48,0)),"#N/D"))</f>
        <v>Senderos del Darién - turismo de bienestar y salud</v>
      </c>
      <c r="L58" s="27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7">
        <f>SUM(Tabla43[[#This Row],[Edificación colapsada]:[Robo]])</f>
        <v>0</v>
      </c>
      <c r="AF58" s="28" t="s">
        <v>575</v>
      </c>
      <c r="AG58" s="28" t="s">
        <v>576</v>
      </c>
      <c r="AH58" s="28">
        <v>51.4</v>
      </c>
      <c r="AI58" s="28"/>
      <c r="AJ58" s="28"/>
      <c r="AK58" s="29" t="s">
        <v>246</v>
      </c>
      <c r="AM58" t="str">
        <f t="shared" si="0"/>
        <v>acandi</v>
      </c>
      <c r="AN58" t="str">
        <f t="shared" si="1"/>
        <v>choco</v>
      </c>
      <c r="AO58" t="b">
        <f t="shared" si="2"/>
        <v>0</v>
      </c>
      <c r="AP58" t="str">
        <f t="shared" si="3"/>
        <v>acandi</v>
      </c>
    </row>
    <row r="59" spans="1:42" ht="25.5" customHeight="1" x14ac:dyDescent="0.25">
      <c r="A59" s="33" t="s">
        <v>274</v>
      </c>
      <c r="B59" s="11" t="s">
        <v>37</v>
      </c>
      <c r="C59" s="34" t="s">
        <v>112</v>
      </c>
      <c r="D59" s="69"/>
      <c r="E59" s="11" t="s">
        <v>275</v>
      </c>
      <c r="F59" s="25" t="str">
        <f>IFERROR(IF($AO59,INDEX(cpe!$C$2:$C$307,MATCH($AP59,cpe!$F$2:$F$307,0)),INDEX(cpe!$C$2:$C$307,MATCH($AP59,cpe!$D$2:$D$307,0))),"#N/D")</f>
        <v>Institucion Educativa Villalosada</v>
      </c>
      <c r="G59" s="25" t="str">
        <f>IFERROR(IF($AO59,INDEX(cpe!$B$2:$B$307,MATCH($AP59,cpe!$F$2:$F$307,0)),INDEX(cpe!$B$2:$B$307,MATCH($AP59,cpe!$D$2:$D$307,0))),"#N/D")</f>
        <v>Acevedo</v>
      </c>
      <c r="H59" s="26" t="str">
        <f>IF($AO59,"#N/D",IFERROR(INDEX(Olimpiadas!$B$2:$B$61,MATCH($AM59,Olimpiadas!$C$2:$C$61,0)),"#N/D"))</f>
        <v>#N/D</v>
      </c>
      <c r="I59" s="26" t="str">
        <f>IF($AO59,"#N/D",IFERROR(INDEX(Olimpiadas!$A$2:$A$61,MATCH($AM59,Olimpiadas!$C$2:$C$61,0)),"#N/D"))</f>
        <v>#N/D</v>
      </c>
      <c r="J59" s="26" t="str">
        <f>IF($AO59,"#N/D",IFERROR(INDEX(Minculturas!$A$2:$A$48,MATCH($AM59,Minculturas!$C$2:$C$48,0)),"#N/D"))</f>
        <v>#N/D</v>
      </c>
      <c r="K59" s="26" t="str">
        <f>IF($AO59,"#N/D",IFERROR(INDEX(Minculturas!$B$2:$B$48,MATCH($AM59,Minculturas!$C$2:$C$48,0)),"#N/D"))</f>
        <v>#N/D</v>
      </c>
      <c r="L59" s="27">
        <v>2</v>
      </c>
      <c r="M59" s="28">
        <v>0</v>
      </c>
      <c r="N59" s="28">
        <v>0</v>
      </c>
      <c r="O59" s="28">
        <v>1</v>
      </c>
      <c r="P59" s="28">
        <v>0</v>
      </c>
      <c r="Q59" s="28">
        <v>1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7">
        <f>SUM(Tabla43[[#This Row],[Edificación colapsada]:[Robo]])</f>
        <v>2</v>
      </c>
      <c r="AF59" s="28"/>
      <c r="AG59" s="28"/>
      <c r="AH59" s="28">
        <v>51</v>
      </c>
      <c r="AI59" s="28"/>
      <c r="AJ59" s="28"/>
      <c r="AK59" s="29" t="s">
        <v>114</v>
      </c>
      <c r="AM59" t="str">
        <f t="shared" si="0"/>
        <v>acevedo</v>
      </c>
      <c r="AN59" t="str">
        <f t="shared" si="1"/>
        <v>huila</v>
      </c>
      <c r="AO59" t="b">
        <f t="shared" si="2"/>
        <v>0</v>
      </c>
      <c r="AP59" t="str">
        <f t="shared" si="3"/>
        <v>acevedo</v>
      </c>
    </row>
    <row r="60" spans="1:42" ht="25.5" customHeight="1" x14ac:dyDescent="0.25">
      <c r="A60" s="33" t="s">
        <v>545</v>
      </c>
      <c r="B60" s="11" t="s">
        <v>37</v>
      </c>
      <c r="C60" s="34" t="s">
        <v>112</v>
      </c>
      <c r="D60" s="69"/>
      <c r="E60" s="11" t="s">
        <v>546</v>
      </c>
      <c r="F60" s="25" t="str">
        <f>IFERROR(IF($AO60,INDEX(cpe!$C$2:$C$307,MATCH($AP60,cpe!$F$2:$F$307,0)),INDEX(cpe!$C$2:$C$307,MATCH($AP60,cpe!$D$2:$D$307,0))),"#N/D")</f>
        <v>#N/D</v>
      </c>
      <c r="G60" s="25" t="str">
        <f>IFERROR(IF($AO60,INDEX(cpe!$B$2:$B$307,MATCH($AP60,cpe!$F$2:$F$307,0)),INDEX(cpe!$B$2:$B$307,MATCH($AP60,cpe!$D$2:$D$307,0))),"#N/D")</f>
        <v>#N/D</v>
      </c>
      <c r="H60" s="26" t="str">
        <f>IF($AO60,"#N/D",IFERROR(INDEX(Olimpiadas!$B$2:$B$61,MATCH($AM60,Olimpiadas!$C$2:$C$61,0)),"#N/D"))</f>
        <v>#N/D</v>
      </c>
      <c r="I60" s="26" t="str">
        <f>IF($AO60,"#N/D",IFERROR(INDEX(Olimpiadas!$A$2:$A$61,MATCH($AM60,Olimpiadas!$C$2:$C$61,0)),"#N/D"))</f>
        <v>#N/D</v>
      </c>
      <c r="J60" s="26" t="str">
        <f>IF($AO60,"#N/D",IFERROR(INDEX(Minculturas!$A$2:$A$48,MATCH($AM60,Minculturas!$C$2:$C$48,0)),"#N/D"))</f>
        <v>#N/D</v>
      </c>
      <c r="K60" s="26" t="str">
        <f>IF($AO60,"#N/D",IFERROR(INDEX(Minculturas!$B$2:$B$48,MATCH($AM60,Minculturas!$C$2:$C$48,0)),"#N/D"))</f>
        <v>#N/D</v>
      </c>
      <c r="L60" s="27">
        <v>1</v>
      </c>
      <c r="M60" s="28">
        <v>0</v>
      </c>
      <c r="N60" s="28">
        <v>0</v>
      </c>
      <c r="O60" s="28">
        <v>0</v>
      </c>
      <c r="P60" s="28">
        <v>0</v>
      </c>
      <c r="Q60" s="28">
        <v>1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7">
        <f>SUM(Tabla43[[#This Row],[Edificación colapsada]:[Robo]])</f>
        <v>1</v>
      </c>
      <c r="AF60" s="28"/>
      <c r="AG60" s="28"/>
      <c r="AH60" s="28">
        <v>50</v>
      </c>
      <c r="AI60" s="28"/>
      <c r="AJ60" s="28"/>
      <c r="AK60" s="29" t="s">
        <v>114</v>
      </c>
      <c r="AM60" t="str">
        <f t="shared" si="0"/>
        <v>agrado</v>
      </c>
      <c r="AN60" t="str">
        <f t="shared" si="1"/>
        <v>huila</v>
      </c>
      <c r="AO60" t="b">
        <f t="shared" si="2"/>
        <v>0</v>
      </c>
      <c r="AP60" t="str">
        <f t="shared" si="3"/>
        <v>agrado</v>
      </c>
    </row>
    <row r="61" spans="1:42" ht="25.5" customHeight="1" x14ac:dyDescent="0.25">
      <c r="A61" s="33" t="s">
        <v>863</v>
      </c>
      <c r="B61" s="11" t="s">
        <v>24</v>
      </c>
      <c r="C61" s="34" t="s">
        <v>112</v>
      </c>
      <c r="D61" s="69"/>
      <c r="E61" s="11" t="s">
        <v>864</v>
      </c>
      <c r="F61" s="25" t="str">
        <f>IFERROR(IF($AO61,INDEX(cpe!$C$2:$C$307,MATCH($AP61,cpe!$F$2:$F$307,0)),INDEX(cpe!$C$2:$C$307,MATCH($AP61,cpe!$D$2:$D$307,0))),"#N/D")</f>
        <v>#N/D</v>
      </c>
      <c r="G61" s="25" t="str">
        <f>IFERROR(IF($AO61,INDEX(cpe!$B$2:$B$307,MATCH($AP61,cpe!$F$2:$F$307,0)),INDEX(cpe!$B$2:$B$307,MATCH($AP61,cpe!$D$2:$D$307,0))),"#N/D")</f>
        <v>#N/D</v>
      </c>
      <c r="H61" s="26" t="str">
        <f>IF($AO61,"#N/D",IFERROR(INDEX(Olimpiadas!$B$2:$B$61,MATCH($AM61,Olimpiadas!$C$2:$C$61,0)),"#N/D"))</f>
        <v>#N/D</v>
      </c>
      <c r="I61" s="26" t="str">
        <f>IF($AO61,"#N/D",IFERROR(INDEX(Olimpiadas!$A$2:$A$61,MATCH($AM61,Olimpiadas!$C$2:$C$61,0)),"#N/D"))</f>
        <v>#N/D</v>
      </c>
      <c r="J61" s="26" t="str">
        <f>IF($AO61,"#N/D",IFERROR(INDEX(Minculturas!$A$2:$A$48,MATCH($AM61,Minculturas!$C$2:$C$48,0)),"#N/D"))</f>
        <v>#N/D</v>
      </c>
      <c r="K61" s="26" t="str">
        <f>IF($AO61,"#N/D",IFERROR(INDEX(Minculturas!$B$2:$B$48,MATCH($AM61,Minculturas!$C$2:$C$48,0)),"#N/D"))</f>
        <v>#N/D</v>
      </c>
      <c r="L61" s="27">
        <v>16</v>
      </c>
      <c r="M61" s="28">
        <v>0</v>
      </c>
      <c r="N61" s="28">
        <v>1</v>
      </c>
      <c r="O61" s="28">
        <v>3</v>
      </c>
      <c r="P61" s="28">
        <v>0</v>
      </c>
      <c r="Q61" s="28">
        <v>1</v>
      </c>
      <c r="R61" s="28">
        <v>3</v>
      </c>
      <c r="S61" s="28">
        <v>0</v>
      </c>
      <c r="T61" s="28">
        <v>3</v>
      </c>
      <c r="U61" s="28">
        <v>0</v>
      </c>
      <c r="V61" s="28">
        <v>0</v>
      </c>
      <c r="W61" s="28">
        <v>2</v>
      </c>
      <c r="X61" s="28">
        <v>2</v>
      </c>
      <c r="Y61" s="28">
        <v>0</v>
      </c>
      <c r="Z61" s="28">
        <v>1</v>
      </c>
      <c r="AA61" s="28">
        <v>0</v>
      </c>
      <c r="AB61" s="28">
        <v>0</v>
      </c>
      <c r="AC61" s="28">
        <v>0</v>
      </c>
      <c r="AD61" s="28">
        <v>0</v>
      </c>
      <c r="AE61" s="27">
        <f>SUM(Tabla43[[#This Row],[Edificación colapsada]:[Robo]])</f>
        <v>16</v>
      </c>
      <c r="AF61" s="28"/>
      <c r="AG61" s="28"/>
      <c r="AH61" s="28">
        <v>30</v>
      </c>
      <c r="AI61" s="28"/>
      <c r="AJ61" s="28"/>
      <c r="AK61" s="29" t="s">
        <v>114</v>
      </c>
      <c r="AM61" t="str">
        <f t="shared" si="0"/>
        <v>aguadas</v>
      </c>
      <c r="AN61" t="str">
        <f t="shared" si="1"/>
        <v>caldas</v>
      </c>
      <c r="AO61" t="b">
        <f t="shared" si="2"/>
        <v>0</v>
      </c>
      <c r="AP61" t="str">
        <f t="shared" si="3"/>
        <v>aguadas</v>
      </c>
    </row>
    <row r="62" spans="1:42" ht="25.5" customHeight="1" x14ac:dyDescent="0.25">
      <c r="A62" s="33" t="s">
        <v>276</v>
      </c>
      <c r="B62" s="11" t="s">
        <v>37</v>
      </c>
      <c r="C62" s="34" t="s">
        <v>112</v>
      </c>
      <c r="D62" s="69"/>
      <c r="E62" s="11" t="s">
        <v>277</v>
      </c>
      <c r="F62" s="25" t="str">
        <f>IFERROR(IF($AO62,INDEX(cpe!$C$2:$C$307,MATCH($AP62,cpe!$F$2:$F$307,0)),INDEX(cpe!$C$2:$C$307,MATCH($AP62,cpe!$D$2:$D$307,0))),"#N/D")</f>
        <v>Institucion Educativa Santa Lucia</v>
      </c>
      <c r="G62" s="25" t="str">
        <f>IFERROR(IF($AO62,INDEX(cpe!$B$2:$B$307,MATCH($AP62,cpe!$F$2:$F$307,0)),INDEX(cpe!$B$2:$B$307,MATCH($AP62,cpe!$D$2:$D$307,0))),"#N/D")</f>
        <v>Aipe</v>
      </c>
      <c r="H62" s="26" t="str">
        <f>IF($AO62,"#N/D",IFERROR(INDEX(Olimpiadas!$B$2:$B$61,MATCH($AM62,Olimpiadas!$C$2:$C$61,0)),"#N/D"))</f>
        <v>#N/D</v>
      </c>
      <c r="I62" s="26" t="str">
        <f>IF($AO62,"#N/D",IFERROR(INDEX(Olimpiadas!$A$2:$A$61,MATCH($AM62,Olimpiadas!$C$2:$C$61,0)),"#N/D"))</f>
        <v>#N/D</v>
      </c>
      <c r="J62" s="26" t="str">
        <f>IF($AO62,"#N/D",IFERROR(INDEX(Minculturas!$A$2:$A$48,MATCH($AM62,Minculturas!$C$2:$C$48,0)),"#N/D"))</f>
        <v>#N/D</v>
      </c>
      <c r="K62" s="26" t="str">
        <f>IF($AO62,"#N/D",IFERROR(INDEX(Minculturas!$B$2:$B$48,MATCH($AM62,Minculturas!$C$2:$C$48,0)),"#N/D"))</f>
        <v>#N/D</v>
      </c>
      <c r="L62" s="27">
        <v>3</v>
      </c>
      <c r="M62" s="28">
        <v>0</v>
      </c>
      <c r="N62" s="28">
        <v>0</v>
      </c>
      <c r="O62" s="28">
        <v>3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7">
        <f>SUM(Tabla43[[#This Row],[Edificación colapsada]:[Robo]])</f>
        <v>3</v>
      </c>
      <c r="AF62" s="28"/>
      <c r="AG62" s="28"/>
      <c r="AH62" s="28">
        <v>35.4</v>
      </c>
      <c r="AI62" s="28"/>
      <c r="AJ62" s="28"/>
      <c r="AK62" s="29" t="s">
        <v>114</v>
      </c>
      <c r="AM62" t="str">
        <f t="shared" si="0"/>
        <v>aipe</v>
      </c>
      <c r="AN62" t="str">
        <f t="shared" si="1"/>
        <v>huila</v>
      </c>
      <c r="AO62" t="b">
        <f t="shared" si="2"/>
        <v>0</v>
      </c>
      <c r="AP62" t="str">
        <f t="shared" si="3"/>
        <v>aipe</v>
      </c>
    </row>
    <row r="63" spans="1:42" ht="25.5" customHeight="1" x14ac:dyDescent="0.25">
      <c r="A63" s="33" t="s">
        <v>1205</v>
      </c>
      <c r="B63" s="11" t="s">
        <v>35</v>
      </c>
      <c r="C63" s="34" t="s">
        <v>112</v>
      </c>
      <c r="D63" s="69"/>
      <c r="E63" s="11" t="s">
        <v>1206</v>
      </c>
      <c r="F63" s="25" t="str">
        <f>IFERROR(IF($AO63,INDEX(cpe!$C$2:$C$307,MATCH($AP63,cpe!$F$2:$F$307,0)),INDEX(cpe!$C$2:$C$307,MATCH($AP63,cpe!$D$2:$D$307,0))),"#N/D")</f>
        <v>#N/D</v>
      </c>
      <c r="G63" s="25" t="str">
        <f>IFERROR(IF($AO63,INDEX(cpe!$B$2:$B$307,MATCH($AP63,cpe!$F$2:$F$307,0)),INDEX(cpe!$B$2:$B$307,MATCH($AP63,cpe!$D$2:$D$307,0))),"#N/D")</f>
        <v>#N/D</v>
      </c>
      <c r="H63" s="26" t="str">
        <f>IF($AO63,"#N/D",IFERROR(INDEX(Olimpiadas!$B$2:$B$61,MATCH($AM63,Olimpiadas!$C$2:$C$61,0)),"#N/D"))</f>
        <v>#N/D</v>
      </c>
      <c r="I63" s="26" t="str">
        <f>IF($AO63,"#N/D",IFERROR(INDEX(Olimpiadas!$A$2:$A$61,MATCH($AM63,Olimpiadas!$C$2:$C$61,0)),"#N/D"))</f>
        <v>#N/D</v>
      </c>
      <c r="J63" s="26" t="str">
        <f>IF($AO63,"#N/D",IFERROR(INDEX(Minculturas!$A$2:$A$48,MATCH($AM63,Minculturas!$C$2:$C$48,0)),"#N/D"))</f>
        <v>#N/D</v>
      </c>
      <c r="K63" s="26" t="str">
        <f>IF($AO63,"#N/D",IFERROR(INDEX(Minculturas!$B$2:$B$48,MATCH($AM63,Minculturas!$C$2:$C$48,0)),"#N/D"))</f>
        <v>#N/D</v>
      </c>
      <c r="L63" s="27">
        <v>2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1</v>
      </c>
      <c r="X63" s="28">
        <v>1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7">
        <f>SUM(Tabla43[[#This Row],[Edificación colapsada]:[Robo]])</f>
        <v>2</v>
      </c>
      <c r="AF63" s="28"/>
      <c r="AG63" s="28"/>
      <c r="AH63" s="28">
        <v>25.8</v>
      </c>
      <c r="AI63" s="28"/>
      <c r="AJ63" s="28"/>
      <c r="AK63" s="29" t="s">
        <v>246</v>
      </c>
      <c r="AM63" t="str">
        <f t="shared" si="0"/>
        <v>alban</v>
      </c>
      <c r="AN63" t="str">
        <f t="shared" si="1"/>
        <v>cundinamarca</v>
      </c>
      <c r="AO63" t="b">
        <f t="shared" si="2"/>
        <v>0</v>
      </c>
      <c r="AP63" t="str">
        <f t="shared" si="3"/>
        <v>alban</v>
      </c>
    </row>
    <row r="64" spans="1:42" ht="25.5" customHeight="1" x14ac:dyDescent="0.25">
      <c r="A64" s="33" t="s">
        <v>312</v>
      </c>
      <c r="B64" s="11" t="s">
        <v>49</v>
      </c>
      <c r="C64" s="34" t="s">
        <v>112</v>
      </c>
      <c r="D64" s="69"/>
      <c r="E64" s="11" t="s">
        <v>313</v>
      </c>
      <c r="F64" s="25" t="str">
        <f>IFERROR(IF($AO64,INDEX(cpe!$C$2:$C$307,MATCH($AP64,cpe!$F$2:$F$307,0)),INDEX(cpe!$C$2:$C$307,MATCH($AP64,cpe!$D$2:$D$307,0))),"#N/D")</f>
        <v>#N/D</v>
      </c>
      <c r="G64" s="25" t="str">
        <f>IFERROR(IF($AO64,INDEX(cpe!$B$2:$B$307,MATCH($AP64,cpe!$F$2:$F$307,0)),INDEX(cpe!$B$2:$B$307,MATCH($AP64,cpe!$D$2:$D$307,0))),"#N/D")</f>
        <v>#N/D</v>
      </c>
      <c r="H64" s="26" t="str">
        <f>IF($AO64,"#N/D",IFERROR(INDEX(Olimpiadas!$B$2:$B$61,MATCH($AM64,Olimpiadas!$C$2:$C$61,0)),"#N/D"))</f>
        <v>#N/D</v>
      </c>
      <c r="I64" s="26" t="str">
        <f>IF($AO64,"#N/D",IFERROR(INDEX(Olimpiadas!$A$2:$A$61,MATCH($AM64,Olimpiadas!$C$2:$C$61,0)),"#N/D"))</f>
        <v>#N/D</v>
      </c>
      <c r="J64" s="26" t="str">
        <f>IF($AO64,"#N/D",IFERROR(INDEX(Minculturas!$A$2:$A$48,MATCH($AM64,Minculturas!$C$2:$C$48,0)),"#N/D"))</f>
        <v>#N/D</v>
      </c>
      <c r="K64" s="26" t="str">
        <f>IF($AO64,"#N/D",IFERROR(INDEX(Minculturas!$B$2:$B$48,MATCH($AM64,Minculturas!$C$2:$C$48,0)),"#N/D"))</f>
        <v>#N/D</v>
      </c>
      <c r="L64" s="27">
        <v>5</v>
      </c>
      <c r="M64" s="28">
        <v>0</v>
      </c>
      <c r="N64" s="28">
        <v>0</v>
      </c>
      <c r="O64" s="28">
        <v>0</v>
      </c>
      <c r="P64" s="28">
        <v>1</v>
      </c>
      <c r="Q64" s="28">
        <v>0</v>
      </c>
      <c r="R64" s="28">
        <v>1</v>
      </c>
      <c r="S64" s="28">
        <v>1</v>
      </c>
      <c r="T64" s="28">
        <v>1</v>
      </c>
      <c r="U64" s="28">
        <v>0</v>
      </c>
      <c r="V64" s="28">
        <v>1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7">
        <f>SUM(Tabla43[[#This Row],[Edificación colapsada]:[Robo]])</f>
        <v>5</v>
      </c>
      <c r="AF64" s="28" t="s">
        <v>314</v>
      </c>
      <c r="AG64" s="28" t="s">
        <v>315</v>
      </c>
      <c r="AH64" s="28">
        <v>31.9</v>
      </c>
      <c r="AI64" s="28"/>
      <c r="AJ64" s="28"/>
      <c r="AK64" s="29" t="s">
        <v>114</v>
      </c>
      <c r="AM64" t="str">
        <f t="shared" si="0"/>
        <v>alcala</v>
      </c>
      <c r="AN64" t="str">
        <f t="shared" si="1"/>
        <v>valle del cauca</v>
      </c>
      <c r="AO64" t="b">
        <f t="shared" si="2"/>
        <v>0</v>
      </c>
      <c r="AP64" t="str">
        <f t="shared" si="3"/>
        <v>alcala</v>
      </c>
    </row>
    <row r="65" spans="1:42" ht="25.5" customHeight="1" x14ac:dyDescent="0.25">
      <c r="A65" s="33" t="s">
        <v>865</v>
      </c>
      <c r="B65" s="11" t="s">
        <v>10</v>
      </c>
      <c r="C65" s="34" t="s">
        <v>112</v>
      </c>
      <c r="D65" s="69"/>
      <c r="E65" s="11" t="s">
        <v>866</v>
      </c>
      <c r="F65" s="25" t="str">
        <f>IFERROR(IF($AO65,INDEX(cpe!$C$2:$C$307,MATCH($AP65,cpe!$F$2:$F$307,0)),INDEX(cpe!$C$2:$C$307,MATCH($AP65,cpe!$D$2:$D$307,0))),"#N/D")</f>
        <v>#N/D</v>
      </c>
      <c r="G65" s="25" t="str">
        <f>IFERROR(IF($AO65,INDEX(cpe!$B$2:$B$307,MATCH($AP65,cpe!$F$2:$F$307,0)),INDEX(cpe!$B$2:$B$307,MATCH($AP65,cpe!$D$2:$D$307,0))),"#N/D")</f>
        <v>#N/D</v>
      </c>
      <c r="H65" s="26" t="str">
        <f>IF($AO65,"#N/D",IFERROR(INDEX(Olimpiadas!$B$2:$B$61,MATCH($AM65,Olimpiadas!$C$2:$C$61,0)),"#N/D"))</f>
        <v>#N/D</v>
      </c>
      <c r="I65" s="26" t="str">
        <f>IF($AO65,"#N/D",IFERROR(INDEX(Olimpiadas!$A$2:$A$61,MATCH($AM65,Olimpiadas!$C$2:$C$61,0)),"#N/D"))</f>
        <v>#N/D</v>
      </c>
      <c r="J65" s="26" t="str">
        <f>IF($AO65,"#N/D",IFERROR(INDEX(Minculturas!$A$2:$A$48,MATCH($AM65,Minculturas!$C$2:$C$48,0)),"#N/D"))</f>
        <v>#N/D</v>
      </c>
      <c r="K65" s="26" t="str">
        <f>IF($AO65,"#N/D",IFERROR(INDEX(Minculturas!$B$2:$B$48,MATCH($AM65,Minculturas!$C$2:$C$48,0)),"#N/D"))</f>
        <v>#N/D</v>
      </c>
      <c r="L65" s="27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7">
        <f>SUM(Tabla43[[#This Row],[Edificación colapsada]:[Robo]])</f>
        <v>0</v>
      </c>
      <c r="AF65" s="28"/>
      <c r="AG65" s="28"/>
      <c r="AH65" s="28">
        <v>31.9</v>
      </c>
      <c r="AI65" s="28"/>
      <c r="AJ65" s="28"/>
      <c r="AK65" s="29" t="s">
        <v>365</v>
      </c>
      <c r="AM65" t="str">
        <f t="shared" si="0"/>
        <v>alejandria</v>
      </c>
      <c r="AN65" t="str">
        <f t="shared" si="1"/>
        <v>antioquia</v>
      </c>
      <c r="AO65" t="b">
        <f t="shared" si="2"/>
        <v>0</v>
      </c>
      <c r="AP65" t="str">
        <f t="shared" si="3"/>
        <v>alejandria</v>
      </c>
    </row>
    <row r="66" spans="1:42" ht="25.5" customHeight="1" x14ac:dyDescent="0.25">
      <c r="A66" s="33" t="s">
        <v>1145</v>
      </c>
      <c r="B66" s="11" t="s">
        <v>28</v>
      </c>
      <c r="C66" s="34" t="s">
        <v>112</v>
      </c>
      <c r="D66" s="69"/>
      <c r="E66" s="11" t="s">
        <v>1146</v>
      </c>
      <c r="F66" s="25" t="str">
        <f>IFERROR(IF($AO66,INDEX(cpe!$C$2:$C$307,MATCH($AP66,cpe!$F$2:$F$307,0)),INDEX(cpe!$C$2:$C$307,MATCH($AP66,cpe!$D$2:$D$307,0))),"#N/D")</f>
        <v>#N/D</v>
      </c>
      <c r="G66" s="25" t="str">
        <f>IFERROR(IF($AO66,INDEX(cpe!$B$2:$B$307,MATCH($AP66,cpe!$F$2:$F$307,0)),INDEX(cpe!$B$2:$B$307,MATCH($AP66,cpe!$D$2:$D$307,0))),"#N/D")</f>
        <v>#N/D</v>
      </c>
      <c r="H66" s="26" t="str">
        <f>IF($AO66,"#N/D",IFERROR(INDEX(Olimpiadas!$B$2:$B$61,MATCH($AM66,Olimpiadas!$C$2:$C$61,0)),"#N/D"))</f>
        <v>#N/D</v>
      </c>
      <c r="I66" s="26" t="str">
        <f>IF($AO66,"#N/D",IFERROR(INDEX(Olimpiadas!$A$2:$A$61,MATCH($AM66,Olimpiadas!$C$2:$C$61,0)),"#N/D"))</f>
        <v>#N/D</v>
      </c>
      <c r="J66" s="26" t="str">
        <f>IF($AO66,"#N/D",IFERROR(INDEX(Minculturas!$A$2:$A$48,MATCH($AM66,Minculturas!$C$2:$C$48,0)),"#N/D"))</f>
        <v>#N/D</v>
      </c>
      <c r="K66" s="26" t="str">
        <f>IF($AO66,"#N/D",IFERROR(INDEX(Minculturas!$B$2:$B$48,MATCH($AM66,Minculturas!$C$2:$C$48,0)),"#N/D"))</f>
        <v>#N/D</v>
      </c>
      <c r="L66" s="27">
        <v>1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1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7">
        <f>SUM(Tabla43[[#This Row],[Edificación colapsada]:[Robo]])</f>
        <v>1</v>
      </c>
      <c r="AF66" s="28"/>
      <c r="AG66" s="28"/>
      <c r="AH66" s="28">
        <v>62.9</v>
      </c>
      <c r="AI66" s="28"/>
      <c r="AJ66" s="28"/>
      <c r="AK66" s="29" t="s">
        <v>114</v>
      </c>
      <c r="AM66" t="str">
        <f t="shared" ref="AM66:AM129" si="4">TRIM(SUBSTITUTE(SUBSTITUTE(SUBSTITUTE(SUBSTITUTE(SUBSTITUTE(SUBSTITUTE(SUBSTITUTE(SUBSTITUTE(SUBSTITUTE(LOWER(E66),"á","a"),"é","e"),"í","i"),"ó","o"),"ú","u"),"ñ","n"),"-"," "),","," "),"."," "))</f>
        <v>almaguer</v>
      </c>
      <c r="AN66" t="str">
        <f t="shared" ref="AN66:AN129" si="5">TRIM(SUBSTITUTE(SUBSTITUTE(SUBSTITUTE(SUBSTITUTE(SUBSTITUTE(SUBSTITUTE(SUBSTITUTE(SUBSTITUTE(SUBSTITUTE(LOWER(B66),"á","a"),"é","e"),"í","i"),"ó","o"),"ú","u"),"ñ","n"),"-"," "),","," "),"."," "))</f>
        <v>cauca</v>
      </c>
      <c r="AO66" t="b">
        <f t="shared" ref="AO66:AO129" si="6">COUNTIF($AM$2:$AM$433,AM66)&gt;COUNTIFS($AM$2:$AM$433,AM66,$AN$2:$AN$433,AN66)</f>
        <v>0</v>
      </c>
      <c r="AP66" t="str">
        <f t="shared" ref="AP66:AP129" si="7">IF(AO66,AM66&amp;"|"&amp;AN66,AM66)</f>
        <v>almaguer</v>
      </c>
    </row>
    <row r="67" spans="1:42" ht="25.5" customHeight="1" x14ac:dyDescent="0.25">
      <c r="A67" s="33" t="s">
        <v>810</v>
      </c>
      <c r="B67" s="11" t="s">
        <v>48</v>
      </c>
      <c r="C67" s="34" t="s">
        <v>112</v>
      </c>
      <c r="D67" s="69"/>
      <c r="E67" s="11" t="s">
        <v>811</v>
      </c>
      <c r="F67" s="25" t="str">
        <f>IFERROR(IF($AO67,INDEX(cpe!$C$2:$C$307,MATCH($AP67,cpe!$F$2:$F$307,0)),INDEX(cpe!$C$2:$C$307,MATCH($AP67,cpe!$D$2:$D$307,0))),"#N/D")</f>
        <v>#N/D</v>
      </c>
      <c r="G67" s="25" t="str">
        <f>IFERROR(IF($AO67,INDEX(cpe!$B$2:$B$307,MATCH($AP67,cpe!$F$2:$F$307,0)),INDEX(cpe!$B$2:$B$307,MATCH($AP67,cpe!$D$2:$D$307,0))),"#N/D")</f>
        <v>#N/D</v>
      </c>
      <c r="H67" s="26" t="str">
        <f>IF($AO67,"#N/D",IFERROR(INDEX(Olimpiadas!$B$2:$B$61,MATCH($AM67,Olimpiadas!$C$2:$C$61,0)),"#N/D"))</f>
        <v>#N/D</v>
      </c>
      <c r="I67" s="26" t="str">
        <f>IF($AO67,"#N/D",IFERROR(INDEX(Olimpiadas!$A$2:$A$61,MATCH($AM67,Olimpiadas!$C$2:$C$61,0)),"#N/D"))</f>
        <v>#N/D</v>
      </c>
      <c r="J67" s="26" t="str">
        <f>IF($AO67,"#N/D",IFERROR(INDEX(Minculturas!$A$2:$A$48,MATCH($AM67,Minculturas!$C$2:$C$48,0)),"#N/D"))</f>
        <v>#N/D</v>
      </c>
      <c r="K67" s="26" t="str">
        <f>IF($AO67,"#N/D",IFERROR(INDEX(Minculturas!$B$2:$B$48,MATCH($AM67,Minculturas!$C$2:$C$48,0)),"#N/D"))</f>
        <v>#N/D</v>
      </c>
      <c r="L67" s="27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7">
        <f>SUM(Tabla43[[#This Row],[Edificación colapsada]:[Robo]])</f>
        <v>0</v>
      </c>
      <c r="AF67" s="28"/>
      <c r="AG67" s="28"/>
      <c r="AH67" s="28">
        <v>30.9</v>
      </c>
      <c r="AI67" s="28"/>
      <c r="AJ67" s="28"/>
      <c r="AK67" s="29" t="s">
        <v>246</v>
      </c>
      <c r="AM67" t="str">
        <f t="shared" si="4"/>
        <v>alpujarra</v>
      </c>
      <c r="AN67" t="str">
        <f t="shared" si="5"/>
        <v>tolima</v>
      </c>
      <c r="AO67" t="b">
        <f t="shared" si="6"/>
        <v>0</v>
      </c>
      <c r="AP67" t="str">
        <f t="shared" si="7"/>
        <v>alpujarra</v>
      </c>
    </row>
    <row r="68" spans="1:42" ht="25.5" customHeight="1" x14ac:dyDescent="0.25">
      <c r="A68" s="33" t="s">
        <v>219</v>
      </c>
      <c r="B68" s="11" t="s">
        <v>31</v>
      </c>
      <c r="C68" s="34" t="s">
        <v>112</v>
      </c>
      <c r="D68" s="69"/>
      <c r="E68" s="11" t="s">
        <v>220</v>
      </c>
      <c r="F68" s="25" t="str">
        <f>IFERROR(IF($AO68,INDEX(cpe!$C$2:$C$307,MATCH($AP68,cpe!$F$2:$F$307,0)),INDEX(cpe!$C$2:$C$307,MATCH($AP68,cpe!$D$2:$D$307,0))),"#N/D")</f>
        <v>#N/D</v>
      </c>
      <c r="G68" s="25" t="str">
        <f>IFERROR(IF($AO68,INDEX(cpe!$B$2:$B$307,MATCH($AP68,cpe!$F$2:$F$307,0)),INDEX(cpe!$B$2:$B$307,MATCH($AP68,cpe!$D$2:$D$307,0))),"#N/D")</f>
        <v>#N/D</v>
      </c>
      <c r="H68" s="26" t="str">
        <f>IF($AO68,"#N/D",IFERROR(INDEX(Olimpiadas!$B$2:$B$61,MATCH($AM68,Olimpiadas!$C$2:$C$61,0)),"#N/D"))</f>
        <v>#N/D</v>
      </c>
      <c r="I68" s="26" t="str">
        <f>IF($AO68,"#N/D",IFERROR(INDEX(Olimpiadas!$A$2:$A$61,MATCH($AM68,Olimpiadas!$C$2:$C$61,0)),"#N/D"))</f>
        <v>#N/D</v>
      </c>
      <c r="J68" s="26" t="str">
        <f>IF($AO68,"#N/D",IFERROR(INDEX(Minculturas!$A$2:$A$48,MATCH($AM68,Minculturas!$C$2:$C$48,0)),"#N/D"))</f>
        <v>#N/D</v>
      </c>
      <c r="K68" s="26" t="str">
        <f>IF($AO68,"#N/D",IFERROR(INDEX(Minculturas!$B$2:$B$48,MATCH($AM68,Minculturas!$C$2:$C$48,0)),"#N/D"))</f>
        <v>#N/D</v>
      </c>
      <c r="L68" s="27">
        <v>4</v>
      </c>
      <c r="M68" s="28">
        <v>0</v>
      </c>
      <c r="N68" s="28">
        <v>1</v>
      </c>
      <c r="O68" s="28">
        <v>0</v>
      </c>
      <c r="P68" s="28">
        <v>1</v>
      </c>
      <c r="Q68" s="28">
        <v>1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1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7">
        <f>SUM(Tabla43[[#This Row],[Edificación colapsada]:[Robo]])</f>
        <v>4</v>
      </c>
      <c r="AF68" s="28" t="s">
        <v>221</v>
      </c>
      <c r="AG68" s="28" t="s">
        <v>222</v>
      </c>
      <c r="AH68" s="28">
        <v>90.6</v>
      </c>
      <c r="AI68" s="28"/>
      <c r="AJ68" s="28"/>
      <c r="AK68" s="29" t="s">
        <v>114</v>
      </c>
      <c r="AM68" t="str">
        <f t="shared" si="4"/>
        <v>alto baudo</v>
      </c>
      <c r="AN68" t="str">
        <f t="shared" si="5"/>
        <v>choco</v>
      </c>
      <c r="AO68" t="b">
        <f t="shared" si="6"/>
        <v>0</v>
      </c>
      <c r="AP68" t="str">
        <f t="shared" si="7"/>
        <v>alto baudo</v>
      </c>
    </row>
    <row r="69" spans="1:42" ht="25.5" customHeight="1" x14ac:dyDescent="0.25">
      <c r="A69" s="33" t="s">
        <v>812</v>
      </c>
      <c r="B69" s="11" t="s">
        <v>48</v>
      </c>
      <c r="C69" s="34" t="s">
        <v>112</v>
      </c>
      <c r="D69" s="69"/>
      <c r="E69" s="11" t="s">
        <v>813</v>
      </c>
      <c r="F69" s="25" t="str">
        <f>IFERROR(IF($AO69,INDEX(cpe!$C$2:$C$307,MATCH($AP69,cpe!$F$2:$F$307,0)),INDEX(cpe!$C$2:$C$307,MATCH($AP69,cpe!$D$2:$D$307,0))),"#N/D")</f>
        <v>#N/D</v>
      </c>
      <c r="G69" s="25" t="str">
        <f>IFERROR(IF($AO69,INDEX(cpe!$B$2:$B$307,MATCH($AP69,cpe!$F$2:$F$307,0)),INDEX(cpe!$B$2:$B$307,MATCH($AP69,cpe!$D$2:$D$307,0))),"#N/D")</f>
        <v>#N/D</v>
      </c>
      <c r="H69" s="26" t="str">
        <f>IF($AO69,"#N/D",IFERROR(INDEX(Olimpiadas!$B$2:$B$61,MATCH($AM69,Olimpiadas!$C$2:$C$61,0)),"#N/D"))</f>
        <v>#N/D</v>
      </c>
      <c r="I69" s="26" t="str">
        <f>IF($AO69,"#N/D",IFERROR(INDEX(Olimpiadas!$A$2:$A$61,MATCH($AM69,Olimpiadas!$C$2:$C$61,0)),"#N/D"))</f>
        <v>#N/D</v>
      </c>
      <c r="J69" s="26" t="str">
        <f>IF($AO69,"#N/D",IFERROR(INDEX(Minculturas!$A$2:$A$48,MATCH($AM69,Minculturas!$C$2:$C$48,0)),"#N/D"))</f>
        <v>#N/D</v>
      </c>
      <c r="K69" s="26" t="str">
        <f>IF($AO69,"#N/D",IFERROR(INDEX(Minculturas!$B$2:$B$48,MATCH($AM69,Minculturas!$C$2:$C$48,0)),"#N/D"))</f>
        <v>#N/D</v>
      </c>
      <c r="L69" s="27">
        <v>1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1</v>
      </c>
      <c r="AA69" s="28">
        <v>0</v>
      </c>
      <c r="AB69" s="28">
        <v>0</v>
      </c>
      <c r="AC69" s="28">
        <v>0</v>
      </c>
      <c r="AD69" s="28">
        <v>0</v>
      </c>
      <c r="AE69" s="27">
        <f>SUM(Tabla43[[#This Row],[Edificación colapsada]:[Robo]])</f>
        <v>1</v>
      </c>
      <c r="AF69" s="28"/>
      <c r="AG69" s="28"/>
      <c r="AH69" s="28">
        <v>38.799999999999997</v>
      </c>
      <c r="AI69" s="28"/>
      <c r="AJ69" s="28"/>
      <c r="AK69" s="29" t="s">
        <v>114</v>
      </c>
      <c r="AM69" t="str">
        <f t="shared" si="4"/>
        <v>alvarado</v>
      </c>
      <c r="AN69" t="str">
        <f t="shared" si="5"/>
        <v>tolima</v>
      </c>
      <c r="AO69" t="b">
        <f t="shared" si="6"/>
        <v>0</v>
      </c>
      <c r="AP69" t="str">
        <f t="shared" si="7"/>
        <v>alvarado</v>
      </c>
    </row>
    <row r="70" spans="1:42" ht="25.5" customHeight="1" x14ac:dyDescent="0.25">
      <c r="A70" s="33" t="s">
        <v>615</v>
      </c>
      <c r="B70" s="11" t="s">
        <v>10</v>
      </c>
      <c r="C70" s="34" t="s">
        <v>112</v>
      </c>
      <c r="D70" s="69"/>
      <c r="E70" s="11" t="s">
        <v>616</v>
      </c>
      <c r="F70" s="25" t="str">
        <f>IFERROR(IF($AO70,INDEX(cpe!$C$2:$C$307,MATCH($AP70,cpe!$F$2:$F$307,0)),INDEX(cpe!$C$2:$C$307,MATCH($AP70,cpe!$D$2:$D$307,0))),"#N/D")</f>
        <v>#N/D</v>
      </c>
      <c r="G70" s="25" t="str">
        <f>IFERROR(IF($AO70,INDEX(cpe!$B$2:$B$307,MATCH($AP70,cpe!$F$2:$F$307,0)),INDEX(cpe!$B$2:$B$307,MATCH($AP70,cpe!$D$2:$D$307,0))),"#N/D")</f>
        <v>#N/D</v>
      </c>
      <c r="H70" s="26" t="str">
        <f>IF($AO70,"#N/D",IFERROR(INDEX(Olimpiadas!$B$2:$B$61,MATCH($AM70,Olimpiadas!$C$2:$C$61,0)),"#N/D"))</f>
        <v>#N/D</v>
      </c>
      <c r="I70" s="26" t="str">
        <f>IF($AO70,"#N/D",IFERROR(INDEX(Olimpiadas!$A$2:$A$61,MATCH($AM70,Olimpiadas!$C$2:$C$61,0)),"#N/D"))</f>
        <v>#N/D</v>
      </c>
      <c r="J70" s="26" t="str">
        <f>IF($AO70,"#N/D",IFERROR(INDEX(Minculturas!$A$2:$A$48,MATCH($AM70,Minculturas!$C$2:$C$48,0)),"#N/D"))</f>
        <v>#N/D</v>
      </c>
      <c r="K70" s="26" t="str">
        <f>IF($AO70,"#N/D",IFERROR(INDEX(Minculturas!$B$2:$B$48,MATCH($AM70,Minculturas!$C$2:$C$48,0)),"#N/D"))</f>
        <v>#N/D</v>
      </c>
      <c r="L70" s="27">
        <v>1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1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7">
        <f>SUM(Tabla43[[#This Row],[Edificación colapsada]:[Robo]])</f>
        <v>1</v>
      </c>
      <c r="AF70" s="28"/>
      <c r="AG70" s="28"/>
      <c r="AH70" s="28">
        <v>22.9</v>
      </c>
      <c r="AI70" s="28"/>
      <c r="AJ70" s="28"/>
      <c r="AK70" s="29" t="s">
        <v>114</v>
      </c>
      <c r="AM70" t="str">
        <f t="shared" si="4"/>
        <v>amaga</v>
      </c>
      <c r="AN70" t="str">
        <f t="shared" si="5"/>
        <v>antioquia</v>
      </c>
      <c r="AO70" t="b">
        <f t="shared" si="6"/>
        <v>0</v>
      </c>
      <c r="AP70" t="str">
        <f t="shared" si="7"/>
        <v>amaga</v>
      </c>
    </row>
    <row r="71" spans="1:42" ht="25.5" customHeight="1" x14ac:dyDescent="0.25">
      <c r="A71" s="33" t="s">
        <v>867</v>
      </c>
      <c r="B71" s="11" t="s">
        <v>10</v>
      </c>
      <c r="C71" s="34" t="s">
        <v>112</v>
      </c>
      <c r="D71" s="69"/>
      <c r="E71" s="11" t="s">
        <v>868</v>
      </c>
      <c r="F71" s="25" t="str">
        <f>IFERROR(IF($AO71,INDEX(cpe!$C$2:$C$307,MATCH($AP71,cpe!$F$2:$F$307,0)),INDEX(cpe!$C$2:$C$307,MATCH($AP71,cpe!$D$2:$D$307,0))),"#N/D")</f>
        <v>#N/D</v>
      </c>
      <c r="G71" s="25" t="str">
        <f>IFERROR(IF($AO71,INDEX(cpe!$B$2:$B$307,MATCH($AP71,cpe!$F$2:$F$307,0)),INDEX(cpe!$B$2:$B$307,MATCH($AP71,cpe!$D$2:$D$307,0))),"#N/D")</f>
        <v>#N/D</v>
      </c>
      <c r="H71" s="26" t="str">
        <f>IF($AO71,"#N/D",IFERROR(INDEX(Olimpiadas!$B$2:$B$61,MATCH($AM71,Olimpiadas!$C$2:$C$61,0)),"#N/D"))</f>
        <v>#N/D</v>
      </c>
      <c r="I71" s="26" t="str">
        <f>IF($AO71,"#N/D",IFERROR(INDEX(Olimpiadas!$A$2:$A$61,MATCH($AM71,Olimpiadas!$C$2:$C$61,0)),"#N/D"))</f>
        <v>#N/D</v>
      </c>
      <c r="J71" s="26" t="str">
        <f>IF($AO71,"#N/D",IFERROR(INDEX(Minculturas!$A$2:$A$48,MATCH($AM71,Minculturas!$C$2:$C$48,0)),"#N/D"))</f>
        <v>#N/D</v>
      </c>
      <c r="K71" s="26" t="str">
        <f>IF($AO71,"#N/D",IFERROR(INDEX(Minculturas!$B$2:$B$48,MATCH($AM71,Minculturas!$C$2:$C$48,0)),"#N/D"))</f>
        <v>#N/D</v>
      </c>
      <c r="L71" s="27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7">
        <f>SUM(Tabla43[[#This Row],[Edificación colapsada]:[Robo]])</f>
        <v>0</v>
      </c>
      <c r="AF71" s="28"/>
      <c r="AG71" s="28"/>
      <c r="AH71" s="28">
        <v>43.3</v>
      </c>
      <c r="AI71" s="28"/>
      <c r="AJ71" s="28"/>
      <c r="AK71" s="29" t="s">
        <v>365</v>
      </c>
      <c r="AM71" t="str">
        <f t="shared" si="4"/>
        <v>amalfi</v>
      </c>
      <c r="AN71" t="str">
        <f t="shared" si="5"/>
        <v>antioquia</v>
      </c>
      <c r="AO71" t="b">
        <f t="shared" si="6"/>
        <v>0</v>
      </c>
      <c r="AP71" t="str">
        <f t="shared" si="7"/>
        <v>amalfi</v>
      </c>
    </row>
    <row r="72" spans="1:42" ht="25.5" customHeight="1" x14ac:dyDescent="0.25">
      <c r="A72" s="33" t="s">
        <v>316</v>
      </c>
      <c r="B72" s="11" t="s">
        <v>49</v>
      </c>
      <c r="C72" s="34" t="s">
        <v>112</v>
      </c>
      <c r="D72" s="69"/>
      <c r="E72" s="11" t="s">
        <v>317</v>
      </c>
      <c r="F72" s="25" t="str">
        <f>IFERROR(IF($AO72,INDEX(cpe!$C$2:$C$307,MATCH($AP72,cpe!$F$2:$F$307,0)),INDEX(cpe!$C$2:$C$307,MATCH($AP72,cpe!$D$2:$D$307,0))),"#N/D")</f>
        <v>#N/D</v>
      </c>
      <c r="G72" s="25" t="str">
        <f>IFERROR(IF($AO72,INDEX(cpe!$B$2:$B$307,MATCH($AP72,cpe!$F$2:$F$307,0)),INDEX(cpe!$B$2:$B$307,MATCH($AP72,cpe!$D$2:$D$307,0))),"#N/D")</f>
        <v>#N/D</v>
      </c>
      <c r="H72" s="26" t="str">
        <f>IF($AO72,"#N/D",IFERROR(INDEX(Olimpiadas!$B$2:$B$61,MATCH($AM72,Olimpiadas!$C$2:$C$61,0)),"#N/D"))</f>
        <v>#N/D</v>
      </c>
      <c r="I72" s="26" t="str">
        <f>IF($AO72,"#N/D",IFERROR(INDEX(Olimpiadas!$A$2:$A$61,MATCH($AM72,Olimpiadas!$C$2:$C$61,0)),"#N/D"))</f>
        <v>#N/D</v>
      </c>
      <c r="J72" s="26" t="str">
        <f>IF($AO72,"#N/D",IFERROR(INDEX(Minculturas!$A$2:$A$48,MATCH($AM72,Minculturas!$C$2:$C$48,0)),"#N/D"))</f>
        <v>#N/D</v>
      </c>
      <c r="K72" s="26" t="str">
        <f>IF($AO72,"#N/D",IFERROR(INDEX(Minculturas!$B$2:$B$48,MATCH($AM72,Minculturas!$C$2:$C$48,0)),"#N/D"))</f>
        <v>#N/D</v>
      </c>
      <c r="L72" s="27">
        <v>5</v>
      </c>
      <c r="M72" s="28">
        <v>0</v>
      </c>
      <c r="N72" s="28">
        <v>2</v>
      </c>
      <c r="O72" s="28">
        <v>0</v>
      </c>
      <c r="P72" s="28">
        <v>1</v>
      </c>
      <c r="Q72" s="28">
        <v>1</v>
      </c>
      <c r="R72" s="28">
        <v>1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7">
        <f>SUM(Tabla43[[#This Row],[Edificación colapsada]:[Robo]])</f>
        <v>5</v>
      </c>
      <c r="AF72" s="28" t="s">
        <v>318</v>
      </c>
      <c r="AG72" s="28" t="s">
        <v>319</v>
      </c>
      <c r="AH72" s="28">
        <v>15.3</v>
      </c>
      <c r="AI72" s="28"/>
      <c r="AJ72" s="28"/>
      <c r="AK72" s="29" t="s">
        <v>114</v>
      </c>
      <c r="AM72" t="str">
        <f t="shared" si="4"/>
        <v>andalucia</v>
      </c>
      <c r="AN72" t="str">
        <f t="shared" si="5"/>
        <v>valle del cauca</v>
      </c>
      <c r="AO72" t="b">
        <f t="shared" si="6"/>
        <v>0</v>
      </c>
      <c r="AP72" t="str">
        <f t="shared" si="7"/>
        <v>andalucia</v>
      </c>
    </row>
    <row r="73" spans="1:42" ht="25.5" customHeight="1" x14ac:dyDescent="0.25">
      <c r="A73" s="33" t="s">
        <v>180</v>
      </c>
      <c r="B73" s="11" t="s">
        <v>10</v>
      </c>
      <c r="C73" s="34" t="s">
        <v>112</v>
      </c>
      <c r="D73" s="69"/>
      <c r="E73" s="11" t="s">
        <v>181</v>
      </c>
      <c r="F73" s="25" t="str">
        <f>IFERROR(IF($AO73,INDEX(cpe!$C$2:$C$307,MATCH($AP73,cpe!$F$2:$F$307,0)),INDEX(cpe!$C$2:$C$307,MATCH($AP73,cpe!$D$2:$D$307,0))),"#N/D")</f>
        <v>#N/D</v>
      </c>
      <c r="G73" s="25" t="str">
        <f>IFERROR(IF($AO73,INDEX(cpe!$B$2:$B$307,MATCH($AP73,cpe!$F$2:$F$307,0)),INDEX(cpe!$B$2:$B$307,MATCH($AP73,cpe!$D$2:$D$307,0))),"#N/D")</f>
        <v>#N/D</v>
      </c>
      <c r="H73" s="26" t="str">
        <f>IF($AO73,"#N/D",IFERROR(INDEX(Olimpiadas!$B$2:$B$61,MATCH($AM73,Olimpiadas!$C$2:$C$61,0)),"#N/D"))</f>
        <v>#N/D</v>
      </c>
      <c r="I73" s="26" t="str">
        <f>IF($AO73,"#N/D",IFERROR(INDEX(Olimpiadas!$A$2:$A$61,MATCH($AM73,Olimpiadas!$C$2:$C$61,0)),"#N/D"))</f>
        <v>#N/D</v>
      </c>
      <c r="J73" s="26" t="str">
        <f>IF($AO73,"#N/D",IFERROR(INDEX(Minculturas!$A$2:$A$48,MATCH($AM73,Minculturas!$C$2:$C$48,0)),"#N/D"))</f>
        <v>#N/D</v>
      </c>
      <c r="K73" s="26" t="str">
        <f>IF($AO73,"#N/D",IFERROR(INDEX(Minculturas!$B$2:$B$48,MATCH($AM73,Minculturas!$C$2:$C$48,0)),"#N/D"))</f>
        <v>#N/D</v>
      </c>
      <c r="L73" s="27">
        <v>12</v>
      </c>
      <c r="M73" s="28">
        <v>0</v>
      </c>
      <c r="N73" s="28">
        <v>1</v>
      </c>
      <c r="O73" s="28">
        <v>6</v>
      </c>
      <c r="P73" s="28">
        <v>1</v>
      </c>
      <c r="Q73" s="28">
        <v>4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7">
        <f>SUM(Tabla43[[#This Row],[Edificación colapsada]:[Robo]])</f>
        <v>12</v>
      </c>
      <c r="AF73" s="28"/>
      <c r="AG73" s="28"/>
      <c r="AH73" s="28">
        <v>40.1</v>
      </c>
      <c r="AI73" s="28"/>
      <c r="AJ73" s="28"/>
      <c r="AK73" s="29" t="s">
        <v>114</v>
      </c>
      <c r="AM73" t="str">
        <f t="shared" si="4"/>
        <v>andes</v>
      </c>
      <c r="AN73" t="str">
        <f t="shared" si="5"/>
        <v>antioquia</v>
      </c>
      <c r="AO73" t="b">
        <f t="shared" si="6"/>
        <v>0</v>
      </c>
      <c r="AP73" t="str">
        <f t="shared" si="7"/>
        <v>andes</v>
      </c>
    </row>
    <row r="74" spans="1:42" ht="25.5" customHeight="1" x14ac:dyDescent="0.25">
      <c r="A74" s="33" t="s">
        <v>869</v>
      </c>
      <c r="B74" s="11" t="s">
        <v>10</v>
      </c>
      <c r="C74" s="34" t="s">
        <v>112</v>
      </c>
      <c r="D74" s="69"/>
      <c r="E74" s="11" t="s">
        <v>870</v>
      </c>
      <c r="F74" s="25" t="str">
        <f>IFERROR(IF($AO74,INDEX(cpe!$C$2:$C$307,MATCH($AP74,cpe!$F$2:$F$307,0)),INDEX(cpe!$C$2:$C$307,MATCH($AP74,cpe!$D$2:$D$307,0))),"#N/D")</f>
        <v>#N/D</v>
      </c>
      <c r="G74" s="25" t="str">
        <f>IFERROR(IF($AO74,INDEX(cpe!$B$2:$B$307,MATCH($AP74,cpe!$F$2:$F$307,0)),INDEX(cpe!$B$2:$B$307,MATCH($AP74,cpe!$D$2:$D$307,0))),"#N/D")</f>
        <v>#N/D</v>
      </c>
      <c r="H74" s="26" t="str">
        <f>IF($AO74,"#N/D",IFERROR(INDEX(Olimpiadas!$B$2:$B$61,MATCH($AM74,Olimpiadas!$C$2:$C$61,0)),"#N/D"))</f>
        <v>#N/D</v>
      </c>
      <c r="I74" s="26" t="str">
        <f>IF($AO74,"#N/D",IFERROR(INDEX(Olimpiadas!$A$2:$A$61,MATCH($AM74,Olimpiadas!$C$2:$C$61,0)),"#N/D"))</f>
        <v>#N/D</v>
      </c>
      <c r="J74" s="26" t="str">
        <f>IF($AO74,"#N/D",IFERROR(INDEX(Minculturas!$A$2:$A$48,MATCH($AM74,Minculturas!$C$2:$C$48,0)),"#N/D"))</f>
        <v>#N/D</v>
      </c>
      <c r="K74" s="26" t="str">
        <f>IF($AO74,"#N/D",IFERROR(INDEX(Minculturas!$B$2:$B$48,MATCH($AM74,Minculturas!$C$2:$C$48,0)),"#N/D"))</f>
        <v>#N/D</v>
      </c>
      <c r="L74" s="27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7">
        <f>SUM(Tabla43[[#This Row],[Edificación colapsada]:[Robo]])</f>
        <v>0</v>
      </c>
      <c r="AF74" s="28"/>
      <c r="AG74" s="28"/>
      <c r="AH74" s="28">
        <v>30.7</v>
      </c>
      <c r="AI74" s="28"/>
      <c r="AJ74" s="28"/>
      <c r="AK74" s="29" t="s">
        <v>657</v>
      </c>
      <c r="AM74" t="str">
        <f t="shared" si="4"/>
        <v>angelopolis</v>
      </c>
      <c r="AN74" t="str">
        <f t="shared" si="5"/>
        <v>antioquia</v>
      </c>
      <c r="AO74" t="b">
        <f t="shared" si="6"/>
        <v>0</v>
      </c>
      <c r="AP74" t="str">
        <f t="shared" si="7"/>
        <v>angelopolis</v>
      </c>
    </row>
    <row r="75" spans="1:42" ht="25.5" customHeight="1" x14ac:dyDescent="0.25">
      <c r="A75" s="33" t="s">
        <v>871</v>
      </c>
      <c r="B75" s="11" t="s">
        <v>10</v>
      </c>
      <c r="C75" s="34" t="s">
        <v>112</v>
      </c>
      <c r="D75" s="69"/>
      <c r="E75" s="11" t="s">
        <v>872</v>
      </c>
      <c r="F75" s="25" t="str">
        <f>IFERROR(IF($AO75,INDEX(cpe!$C$2:$C$307,MATCH($AP75,cpe!$F$2:$F$307,0)),INDEX(cpe!$C$2:$C$307,MATCH($AP75,cpe!$D$2:$D$307,0))),"#N/D")</f>
        <v>#N/D</v>
      </c>
      <c r="G75" s="25" t="str">
        <f>IFERROR(IF($AO75,INDEX(cpe!$B$2:$B$307,MATCH($AP75,cpe!$F$2:$F$307,0)),INDEX(cpe!$B$2:$B$307,MATCH($AP75,cpe!$D$2:$D$307,0))),"#N/D")</f>
        <v>#N/D</v>
      </c>
      <c r="H75" s="26" t="str">
        <f>IF($AO75,"#N/D",IFERROR(INDEX(Olimpiadas!$B$2:$B$61,MATCH($AM75,Olimpiadas!$C$2:$C$61,0)),"#N/D"))</f>
        <v>#N/D</v>
      </c>
      <c r="I75" s="26" t="str">
        <f>IF($AO75,"#N/D",IFERROR(INDEX(Olimpiadas!$A$2:$A$61,MATCH($AM75,Olimpiadas!$C$2:$C$61,0)),"#N/D"))</f>
        <v>#N/D</v>
      </c>
      <c r="J75" s="26" t="str">
        <f>IF($AO75,"#N/D",IFERROR(INDEX(Minculturas!$A$2:$A$48,MATCH($AM75,Minculturas!$C$2:$C$48,0)),"#N/D"))</f>
        <v>#N/D</v>
      </c>
      <c r="K75" s="26" t="str">
        <f>IF($AO75,"#N/D",IFERROR(INDEX(Minculturas!$B$2:$B$48,MATCH($AM75,Minculturas!$C$2:$C$48,0)),"#N/D"))</f>
        <v>#N/D</v>
      </c>
      <c r="L75" s="27">
        <v>0</v>
      </c>
      <c r="M75" s="28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6">
        <f>SUM(Tabla43[[#This Row],[Edificación colapsada]:[Robo]])</f>
        <v>0</v>
      </c>
      <c r="AF75" s="37"/>
      <c r="AG75" s="37"/>
      <c r="AH75" s="28">
        <v>53.8</v>
      </c>
      <c r="AI75" s="28"/>
      <c r="AJ75" s="28"/>
      <c r="AK75" s="29" t="s">
        <v>365</v>
      </c>
      <c r="AM75" t="str">
        <f t="shared" si="4"/>
        <v>angostura</v>
      </c>
      <c r="AN75" t="str">
        <f t="shared" si="5"/>
        <v>antioquia</v>
      </c>
      <c r="AO75" t="b">
        <f t="shared" si="6"/>
        <v>0</v>
      </c>
      <c r="AP75" t="str">
        <f t="shared" si="7"/>
        <v>angostura</v>
      </c>
    </row>
    <row r="76" spans="1:42" ht="25.5" customHeight="1" x14ac:dyDescent="0.25">
      <c r="A76" s="33" t="s">
        <v>786</v>
      </c>
      <c r="B76" s="11" t="s">
        <v>35</v>
      </c>
      <c r="C76" s="34" t="s">
        <v>112</v>
      </c>
      <c r="D76" s="69"/>
      <c r="E76" s="11" t="s">
        <v>787</v>
      </c>
      <c r="F76" s="25" t="str">
        <f>IFERROR(IF($AO76,INDEX(cpe!$C$2:$C$307,MATCH($AP76,cpe!$F$2:$F$307,0)),INDEX(cpe!$C$2:$C$307,MATCH($AP76,cpe!$D$2:$D$307,0))),"#N/D")</f>
        <v>#N/D</v>
      </c>
      <c r="G76" s="25" t="str">
        <f>IFERROR(IF($AO76,INDEX(cpe!$B$2:$B$307,MATCH($AP76,cpe!$F$2:$F$307,0)),INDEX(cpe!$B$2:$B$307,MATCH($AP76,cpe!$D$2:$D$307,0))),"#N/D")</f>
        <v>#N/D</v>
      </c>
      <c r="H76" s="26" t="str">
        <f>IF($AO76,"#N/D",IFERROR(INDEX(Olimpiadas!$B$2:$B$61,MATCH($AM76,Olimpiadas!$C$2:$C$61,0)),"#N/D"))</f>
        <v>#N/D</v>
      </c>
      <c r="I76" s="26" t="str">
        <f>IF($AO76,"#N/D",IFERROR(INDEX(Olimpiadas!$A$2:$A$61,MATCH($AM76,Olimpiadas!$C$2:$C$61,0)),"#N/D"))</f>
        <v>#N/D</v>
      </c>
      <c r="J76" s="26" t="str">
        <f>IF($AO76,"#N/D",IFERROR(INDEX(Minculturas!$A$2:$A$48,MATCH($AM76,Minculturas!$C$2:$C$48,0)),"#N/D"))</f>
        <v>#N/D</v>
      </c>
      <c r="K76" s="26" t="str">
        <f>IF($AO76,"#N/D",IFERROR(INDEX(Minculturas!$B$2:$B$48,MATCH($AM76,Minculturas!$C$2:$C$48,0)),"#N/D"))</f>
        <v>#N/D</v>
      </c>
      <c r="L76" s="27">
        <v>1</v>
      </c>
      <c r="M76" s="28">
        <v>0</v>
      </c>
      <c r="N76" s="28">
        <v>0</v>
      </c>
      <c r="O76" s="28">
        <v>0</v>
      </c>
      <c r="P76" s="28">
        <v>0</v>
      </c>
      <c r="Q76" s="28">
        <v>1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7">
        <f>SUM(Tabla43[[#This Row],[Edificación colapsada]:[Robo]])</f>
        <v>1</v>
      </c>
      <c r="AF76" s="28"/>
      <c r="AG76" s="28"/>
      <c r="AH76" s="28">
        <v>22.7</v>
      </c>
      <c r="AI76" s="28"/>
      <c r="AJ76" s="28"/>
      <c r="AK76" s="29" t="s">
        <v>114</v>
      </c>
      <c r="AM76" t="str">
        <f t="shared" si="4"/>
        <v>anolaima</v>
      </c>
      <c r="AN76" t="str">
        <f t="shared" si="5"/>
        <v>cundinamarca</v>
      </c>
      <c r="AO76" t="b">
        <f t="shared" si="6"/>
        <v>0</v>
      </c>
      <c r="AP76" t="str">
        <f t="shared" si="7"/>
        <v>anolaima</v>
      </c>
    </row>
    <row r="77" spans="1:42" ht="25.5" customHeight="1" x14ac:dyDescent="0.25">
      <c r="A77" s="33" t="s">
        <v>1120</v>
      </c>
      <c r="B77" s="11" t="s">
        <v>49</v>
      </c>
      <c r="C77" s="34" t="s">
        <v>112</v>
      </c>
      <c r="D77" s="69"/>
      <c r="E77" s="11" t="s">
        <v>1121</v>
      </c>
      <c r="F77" s="25" t="str">
        <f>IFERROR(IF($AO77,INDEX(cpe!$C$2:$C$307,MATCH($AP77,cpe!$F$2:$F$307,0)),INDEX(cpe!$C$2:$C$307,MATCH($AP77,cpe!$D$2:$D$307,0))),"#N/D")</f>
        <v>#N/D</v>
      </c>
      <c r="G77" s="25" t="str">
        <f>IFERROR(IF($AO77,INDEX(cpe!$B$2:$B$307,MATCH($AP77,cpe!$F$2:$F$307,0)),INDEX(cpe!$B$2:$B$307,MATCH($AP77,cpe!$D$2:$D$307,0))),"#N/D")</f>
        <v>#N/D</v>
      </c>
      <c r="H77" s="26" t="str">
        <f>IF($AO77,"#N/D",IFERROR(INDEX(Olimpiadas!$B$2:$B$61,MATCH($AM77,Olimpiadas!$C$2:$C$61,0)),"#N/D"))</f>
        <v>#N/D</v>
      </c>
      <c r="I77" s="26" t="str">
        <f>IF($AO77,"#N/D",IFERROR(INDEX(Olimpiadas!$A$2:$A$61,MATCH($AM77,Olimpiadas!$C$2:$C$61,0)),"#N/D"))</f>
        <v>#N/D</v>
      </c>
      <c r="J77" s="26" t="str">
        <f>IF($AO77,"#N/D",IFERROR(INDEX(Minculturas!$A$2:$A$48,MATCH($AM77,Minculturas!$C$2:$C$48,0)),"#N/D"))</f>
        <v>#N/D</v>
      </c>
      <c r="K77" s="26" t="str">
        <f>IF($AO77,"#N/D",IFERROR(INDEX(Minculturas!$B$2:$B$48,MATCH($AM77,Minculturas!$C$2:$C$48,0)),"#N/D"))</f>
        <v>#N/D</v>
      </c>
      <c r="L77" s="27">
        <v>6</v>
      </c>
      <c r="M77" s="28">
        <v>0</v>
      </c>
      <c r="N77" s="28">
        <v>1</v>
      </c>
      <c r="O77" s="28">
        <v>1</v>
      </c>
      <c r="P77" s="28">
        <v>1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3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7">
        <f>SUM(Tabla43[[#This Row],[Edificación colapsada]:[Robo]])</f>
        <v>6</v>
      </c>
      <c r="AF77" s="28" t="s">
        <v>1122</v>
      </c>
      <c r="AG77" s="28" t="s">
        <v>1123</v>
      </c>
      <c r="AH77" s="28">
        <v>31.3</v>
      </c>
      <c r="AI77" s="28"/>
      <c r="AJ77" s="28"/>
      <c r="AK77" s="29" t="s">
        <v>114</v>
      </c>
      <c r="AM77" t="str">
        <f t="shared" si="4"/>
        <v>ansermanuevo</v>
      </c>
      <c r="AN77" t="str">
        <f t="shared" si="5"/>
        <v>valle del cauca</v>
      </c>
      <c r="AO77" t="b">
        <f t="shared" si="6"/>
        <v>0</v>
      </c>
      <c r="AP77" t="str">
        <f t="shared" si="7"/>
        <v>ansermanuevo</v>
      </c>
    </row>
    <row r="78" spans="1:42" ht="25.5" customHeight="1" x14ac:dyDescent="0.25">
      <c r="A78" s="33" t="s">
        <v>617</v>
      </c>
      <c r="B78" s="11" t="s">
        <v>10</v>
      </c>
      <c r="C78" s="34" t="s">
        <v>112</v>
      </c>
      <c r="D78" s="69"/>
      <c r="E78" s="11" t="s">
        <v>618</v>
      </c>
      <c r="F78" s="25" t="str">
        <f>IFERROR(IF($AO78,INDEX(cpe!$C$2:$C$307,MATCH($AP78,cpe!$F$2:$F$307,0)),INDEX(cpe!$C$2:$C$307,MATCH($AP78,cpe!$D$2:$D$307,0))),"#N/D")</f>
        <v>#N/D</v>
      </c>
      <c r="G78" s="25" t="str">
        <f>IFERROR(IF($AO78,INDEX(cpe!$B$2:$B$307,MATCH($AP78,cpe!$F$2:$F$307,0)),INDEX(cpe!$B$2:$B$307,MATCH($AP78,cpe!$D$2:$D$307,0))),"#N/D")</f>
        <v>#N/D</v>
      </c>
      <c r="H78" s="26" t="str">
        <f>IF($AO78,"#N/D",IFERROR(INDEX(Olimpiadas!$B$2:$B$61,MATCH($AM78,Olimpiadas!$C$2:$C$61,0)),"#N/D"))</f>
        <v>#N/D</v>
      </c>
      <c r="I78" s="26" t="str">
        <f>IF($AO78,"#N/D",IFERROR(INDEX(Olimpiadas!$A$2:$A$61,MATCH($AM78,Olimpiadas!$C$2:$C$61,0)),"#N/D"))</f>
        <v>#N/D</v>
      </c>
      <c r="J78" s="26" t="str">
        <f>IF($AO78,"#N/D",IFERROR(INDEX(Minculturas!$A$2:$A$48,MATCH($AM78,Minculturas!$C$2:$C$48,0)),"#N/D"))</f>
        <v>#N/D</v>
      </c>
      <c r="K78" s="26" t="str">
        <f>IF($AO78,"#N/D",IFERROR(INDEX(Minculturas!$B$2:$B$48,MATCH($AM78,Minculturas!$C$2:$C$48,0)),"#N/D"))</f>
        <v>#N/D</v>
      </c>
      <c r="L78" s="27">
        <v>1</v>
      </c>
      <c r="M78" s="28">
        <v>0</v>
      </c>
      <c r="N78" s="28">
        <v>1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7">
        <f>SUM(Tabla43[[#This Row],[Edificación colapsada]:[Robo]])</f>
        <v>1</v>
      </c>
      <c r="AF78" s="28"/>
      <c r="AG78" s="28"/>
      <c r="AH78" s="28">
        <v>47.1</v>
      </c>
      <c r="AI78" s="28"/>
      <c r="AJ78" s="28"/>
      <c r="AK78" s="29" t="s">
        <v>114</v>
      </c>
      <c r="AM78" t="str">
        <f t="shared" si="4"/>
        <v>anza</v>
      </c>
      <c r="AN78" t="str">
        <f t="shared" si="5"/>
        <v>antioquia</v>
      </c>
      <c r="AO78" t="b">
        <f t="shared" si="6"/>
        <v>0</v>
      </c>
      <c r="AP78" t="str">
        <f t="shared" si="7"/>
        <v>anza</v>
      </c>
    </row>
    <row r="79" spans="1:42" ht="25.5" customHeight="1" x14ac:dyDescent="0.25">
      <c r="A79" s="33" t="s">
        <v>814</v>
      </c>
      <c r="B79" s="11" t="s">
        <v>48</v>
      </c>
      <c r="C79" s="34" t="s">
        <v>112</v>
      </c>
      <c r="D79" s="69"/>
      <c r="E79" s="11" t="s">
        <v>815</v>
      </c>
      <c r="F79" s="25" t="str">
        <f>IFERROR(IF($AO79,INDEX(cpe!$C$2:$C$307,MATCH($AP79,cpe!$F$2:$F$307,0)),INDEX(cpe!$C$2:$C$307,MATCH($AP79,cpe!$D$2:$D$307,0))),"#N/D")</f>
        <v>#N/D</v>
      </c>
      <c r="G79" s="25" t="str">
        <f>IFERROR(IF($AO79,INDEX(cpe!$B$2:$B$307,MATCH($AP79,cpe!$F$2:$F$307,0)),INDEX(cpe!$B$2:$B$307,MATCH($AP79,cpe!$D$2:$D$307,0))),"#N/D")</f>
        <v>#N/D</v>
      </c>
      <c r="H79" s="26" t="str">
        <f>IF($AO79,"#N/D",IFERROR(INDEX(Olimpiadas!$B$2:$B$61,MATCH($AM79,Olimpiadas!$C$2:$C$61,0)),"#N/D"))</f>
        <v>#N/D</v>
      </c>
      <c r="I79" s="26" t="str">
        <f>IF($AO79,"#N/D",IFERROR(INDEX(Olimpiadas!$A$2:$A$61,MATCH($AM79,Olimpiadas!$C$2:$C$61,0)),"#N/D"))</f>
        <v>#N/D</v>
      </c>
      <c r="J79" s="26" t="str">
        <f>IF($AO79,"#N/D",IFERROR(INDEX(Minculturas!$A$2:$A$48,MATCH($AM79,Minculturas!$C$2:$C$48,0)),"#N/D"))</f>
        <v>#N/D</v>
      </c>
      <c r="K79" s="26" t="str">
        <f>IF($AO79,"#N/D",IFERROR(INDEX(Minculturas!$B$2:$B$48,MATCH($AM79,Minculturas!$C$2:$C$48,0)),"#N/D"))</f>
        <v>#N/D</v>
      </c>
      <c r="L79" s="27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7">
        <f>SUM(Tabla43[[#This Row],[Edificación colapsada]:[Robo]])</f>
        <v>0</v>
      </c>
      <c r="AF79" s="28"/>
      <c r="AG79" s="28"/>
      <c r="AH79" s="28">
        <v>55.8</v>
      </c>
      <c r="AI79" s="28"/>
      <c r="AJ79" s="28"/>
      <c r="AK79" s="29" t="s">
        <v>246</v>
      </c>
      <c r="AM79" t="str">
        <f t="shared" si="4"/>
        <v>anzoategui</v>
      </c>
      <c r="AN79" t="str">
        <f t="shared" si="5"/>
        <v>tolima</v>
      </c>
      <c r="AO79" t="b">
        <f t="shared" si="6"/>
        <v>0</v>
      </c>
      <c r="AP79" t="str">
        <f t="shared" si="7"/>
        <v>anzoategui</v>
      </c>
    </row>
    <row r="80" spans="1:42" ht="25.5" customHeight="1" x14ac:dyDescent="0.25">
      <c r="A80" s="33" t="s">
        <v>619</v>
      </c>
      <c r="B80" s="11" t="s">
        <v>10</v>
      </c>
      <c r="C80" s="34" t="s">
        <v>112</v>
      </c>
      <c r="D80" s="69"/>
      <c r="E80" s="11" t="s">
        <v>620</v>
      </c>
      <c r="F80" s="25" t="str">
        <f>IFERROR(IF($AO80,INDEX(cpe!$C$2:$C$307,MATCH($AP80,cpe!$F$2:$F$307,0)),INDEX(cpe!$C$2:$C$307,MATCH($AP80,cpe!$D$2:$D$307,0))),"#N/D")</f>
        <v>#N/D</v>
      </c>
      <c r="G80" s="25" t="str">
        <f>IFERROR(IF($AO80,INDEX(cpe!$B$2:$B$307,MATCH($AP80,cpe!$F$2:$F$307,0)),INDEX(cpe!$B$2:$B$307,MATCH($AP80,cpe!$D$2:$D$307,0))),"#N/D")</f>
        <v>#N/D</v>
      </c>
      <c r="H80" s="26" t="str">
        <f>IF($AO80,"#N/D",IFERROR(INDEX(Olimpiadas!$B$2:$B$61,MATCH($AM80,Olimpiadas!$C$2:$C$61,0)),"#N/D"))</f>
        <v>#N/D</v>
      </c>
      <c r="I80" s="26" t="str">
        <f>IF($AO80,"#N/D",IFERROR(INDEX(Olimpiadas!$A$2:$A$61,MATCH($AM80,Olimpiadas!$C$2:$C$61,0)),"#N/D"))</f>
        <v>#N/D</v>
      </c>
      <c r="J80" s="26" t="str">
        <f>IF($AO80,"#N/D",IFERROR(INDEX(Minculturas!$A$2:$A$48,MATCH($AM80,Minculturas!$C$2:$C$48,0)),"#N/D"))</f>
        <v>#N/D</v>
      </c>
      <c r="K80" s="26" t="str">
        <f>IF($AO80,"#N/D",IFERROR(INDEX(Minculturas!$B$2:$B$48,MATCH($AM80,Minculturas!$C$2:$C$48,0)),"#N/D"))</f>
        <v>#N/D</v>
      </c>
      <c r="L80" s="27">
        <v>1</v>
      </c>
      <c r="M80" s="28">
        <v>0</v>
      </c>
      <c r="N80" s="28">
        <v>0</v>
      </c>
      <c r="O80" s="28">
        <v>0</v>
      </c>
      <c r="P80" s="28">
        <v>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7">
        <f>SUM(Tabla43[[#This Row],[Edificación colapsada]:[Robo]])</f>
        <v>1</v>
      </c>
      <c r="AF80" s="28"/>
      <c r="AG80" s="28"/>
      <c r="AH80" s="28">
        <v>28</v>
      </c>
      <c r="AI80" s="28"/>
      <c r="AJ80" s="28"/>
      <c r="AK80" s="29" t="s">
        <v>114</v>
      </c>
      <c r="AM80" t="str">
        <f t="shared" si="4"/>
        <v>apartado</v>
      </c>
      <c r="AN80" t="str">
        <f t="shared" si="5"/>
        <v>antioquia</v>
      </c>
      <c r="AO80" t="b">
        <f t="shared" si="6"/>
        <v>0</v>
      </c>
      <c r="AP80" t="str">
        <f t="shared" si="7"/>
        <v>apartado</v>
      </c>
    </row>
    <row r="81" spans="1:42" ht="25.5" customHeight="1" x14ac:dyDescent="0.25">
      <c r="A81" s="33" t="s">
        <v>788</v>
      </c>
      <c r="B81" s="11" t="s">
        <v>45</v>
      </c>
      <c r="C81" s="34" t="s">
        <v>112</v>
      </c>
      <c r="D81" s="69"/>
      <c r="E81" s="11" t="s">
        <v>789</v>
      </c>
      <c r="F81" s="25" t="str">
        <f>IFERROR(IF($AO81,INDEX(cpe!$C$2:$C$307,MATCH($AP81,cpe!$F$2:$F$307,0)),INDEX(cpe!$C$2:$C$307,MATCH($AP81,cpe!$D$2:$D$307,0))),"#N/D")</f>
        <v>#N/D</v>
      </c>
      <c r="G81" s="25" t="str">
        <f>IFERROR(IF($AO81,INDEX(cpe!$B$2:$B$307,MATCH($AP81,cpe!$F$2:$F$307,0)),INDEX(cpe!$B$2:$B$307,MATCH($AP81,cpe!$D$2:$D$307,0))),"#N/D")</f>
        <v>#N/D</v>
      </c>
      <c r="H81" s="26" t="str">
        <f>IF($AO81,"#N/D",IFERROR(INDEX(Olimpiadas!$B$2:$B$61,MATCH($AM81,Olimpiadas!$C$2:$C$61,0)),"#N/D"))</f>
        <v>#N/D</v>
      </c>
      <c r="I81" s="26" t="str">
        <f>IF($AO81,"#N/D",IFERROR(INDEX(Olimpiadas!$A$2:$A$61,MATCH($AM81,Olimpiadas!$C$2:$C$61,0)),"#N/D"))</f>
        <v>#N/D</v>
      </c>
      <c r="J81" s="26" t="str">
        <f>IF($AO81,"#N/D",IFERROR(INDEX(Minculturas!$A$2:$A$48,MATCH($AM81,Minculturas!$C$2:$C$48,0)),"#N/D"))</f>
        <v>#N/D</v>
      </c>
      <c r="K81" s="26" t="str">
        <f>IF($AO81,"#N/D",IFERROR(INDEX(Minculturas!$B$2:$B$48,MATCH($AM81,Minculturas!$C$2:$C$48,0)),"#N/D"))</f>
        <v>#N/D</v>
      </c>
      <c r="L81" s="27">
        <v>1</v>
      </c>
      <c r="M81" s="28">
        <v>0</v>
      </c>
      <c r="N81" s="28">
        <v>1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7">
        <f>SUM(Tabla43[[#This Row],[Edificación colapsada]:[Robo]])</f>
        <v>1</v>
      </c>
      <c r="AF81" s="28" t="s">
        <v>790</v>
      </c>
      <c r="AG81" s="28" t="s">
        <v>791</v>
      </c>
      <c r="AH81" s="28">
        <v>33.6</v>
      </c>
      <c r="AI81" s="28"/>
      <c r="AJ81" s="28"/>
      <c r="AK81" s="29" t="s">
        <v>246</v>
      </c>
      <c r="AM81" t="str">
        <f t="shared" si="4"/>
        <v>apia</v>
      </c>
      <c r="AN81" t="str">
        <f t="shared" si="5"/>
        <v>risaralda</v>
      </c>
      <c r="AO81" t="b">
        <f t="shared" si="6"/>
        <v>0</v>
      </c>
      <c r="AP81" t="str">
        <f t="shared" si="7"/>
        <v>apia</v>
      </c>
    </row>
    <row r="82" spans="1:42" ht="25.5" customHeight="1" x14ac:dyDescent="0.25">
      <c r="A82" s="33" t="s">
        <v>182</v>
      </c>
      <c r="B82" s="11" t="s">
        <v>24</v>
      </c>
      <c r="C82" s="34" t="s">
        <v>112</v>
      </c>
      <c r="D82" s="69"/>
      <c r="E82" s="11" t="s">
        <v>183</v>
      </c>
      <c r="F82" s="25" t="str">
        <f>IFERROR(IF($AO82,INDEX(cpe!$C$2:$C$307,MATCH($AP82,cpe!$F$2:$F$307,0)),INDEX(cpe!$C$2:$C$307,MATCH($AP82,cpe!$D$2:$D$307,0))),"#N/D")</f>
        <v>#N/D</v>
      </c>
      <c r="G82" s="25" t="str">
        <f>IFERROR(IF($AO82,INDEX(cpe!$B$2:$B$307,MATCH($AP82,cpe!$F$2:$F$307,0)),INDEX(cpe!$B$2:$B$307,MATCH($AP82,cpe!$D$2:$D$307,0))),"#N/D")</f>
        <v>#N/D</v>
      </c>
      <c r="H82" s="26" t="str">
        <f>IF($AO82,"#N/D",IFERROR(INDEX(Olimpiadas!$B$2:$B$61,MATCH($AM82,Olimpiadas!$C$2:$C$61,0)),"#N/D"))</f>
        <v>#N/D</v>
      </c>
      <c r="I82" s="26" t="str">
        <f>IF($AO82,"#N/D",IFERROR(INDEX(Olimpiadas!$A$2:$A$61,MATCH($AM82,Olimpiadas!$C$2:$C$61,0)),"#N/D"))</f>
        <v>#N/D</v>
      </c>
      <c r="J82" s="26" t="str">
        <f>IF($AO82,"#N/D",IFERROR(INDEX(Minculturas!$A$2:$A$48,MATCH($AM82,Minculturas!$C$2:$C$48,0)),"#N/D"))</f>
        <v>#N/D</v>
      </c>
      <c r="K82" s="26" t="str">
        <f>IF($AO82,"#N/D",IFERROR(INDEX(Minculturas!$B$2:$B$48,MATCH($AM82,Minculturas!$C$2:$C$48,0)),"#N/D"))</f>
        <v>#N/D</v>
      </c>
      <c r="L82" s="27">
        <v>14</v>
      </c>
      <c r="M82" s="28">
        <v>0</v>
      </c>
      <c r="N82" s="28">
        <v>1</v>
      </c>
      <c r="O82" s="28">
        <v>1</v>
      </c>
      <c r="P82" s="28">
        <v>0</v>
      </c>
      <c r="Q82" s="28">
        <v>10</v>
      </c>
      <c r="R82" s="28">
        <v>1</v>
      </c>
      <c r="S82" s="28">
        <v>1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7">
        <f>SUM(Tabla43[[#This Row],[Edificación colapsada]:[Robo]])</f>
        <v>14</v>
      </c>
      <c r="AF82" s="38" t="s">
        <v>184</v>
      </c>
      <c r="AG82" s="38" t="s">
        <v>185</v>
      </c>
      <c r="AH82" s="28">
        <v>32.1</v>
      </c>
      <c r="AI82" s="28"/>
      <c r="AJ82" s="28"/>
      <c r="AK82" s="29" t="s">
        <v>114</v>
      </c>
      <c r="AM82" t="str">
        <f t="shared" si="4"/>
        <v>aranzazu</v>
      </c>
      <c r="AN82" t="str">
        <f t="shared" si="5"/>
        <v>caldas</v>
      </c>
      <c r="AO82" t="b">
        <f t="shared" si="6"/>
        <v>0</v>
      </c>
      <c r="AP82" t="str">
        <f t="shared" si="7"/>
        <v>aranzazu</v>
      </c>
    </row>
    <row r="83" spans="1:42" ht="25.5" customHeight="1" x14ac:dyDescent="0.25">
      <c r="A83" s="33" t="s">
        <v>792</v>
      </c>
      <c r="B83" s="11" t="s">
        <v>49</v>
      </c>
      <c r="C83" s="34" t="s">
        <v>112</v>
      </c>
      <c r="D83" s="69"/>
      <c r="E83" s="11" t="s">
        <v>224</v>
      </c>
      <c r="F83" s="25" t="str">
        <f>IFERROR(IF($AO83,INDEX(cpe!$C$2:$C$307,MATCH($AP83,cpe!$F$2:$F$307,0)),INDEX(cpe!$C$2:$C$307,MATCH($AP83,cpe!$D$2:$D$307,0))),"#N/D")</f>
        <v>#N/D</v>
      </c>
      <c r="G83" s="25" t="str">
        <f>IFERROR(IF($AO83,INDEX(cpe!$B$2:$B$307,MATCH($AP83,cpe!$F$2:$F$307,0)),INDEX(cpe!$B$2:$B$307,MATCH($AP83,cpe!$D$2:$D$307,0))),"#N/D")</f>
        <v>#N/D</v>
      </c>
      <c r="H83" s="26" t="str">
        <f>IF($AO83,"#N/D",IFERROR(INDEX(Olimpiadas!$B$2:$B$61,MATCH($AM83,Olimpiadas!$C$2:$C$61,0)),"#N/D"))</f>
        <v>#N/D</v>
      </c>
      <c r="I83" s="26" t="str">
        <f>IF($AO83,"#N/D",IFERROR(INDEX(Olimpiadas!$A$2:$A$61,MATCH($AM83,Olimpiadas!$C$2:$C$61,0)),"#N/D"))</f>
        <v>#N/D</v>
      </c>
      <c r="J83" s="26" t="str">
        <f>IF($AO83,"#N/D",IFERROR(INDEX(Minculturas!$A$2:$A$48,MATCH($AM83,Minculturas!$C$2:$C$48,0)),"#N/D"))</f>
        <v>#N/D</v>
      </c>
      <c r="K83" s="26" t="str">
        <f>IF($AO83,"#N/D",IFERROR(INDEX(Minculturas!$B$2:$B$48,MATCH($AM83,Minculturas!$C$2:$C$48,0)),"#N/D"))</f>
        <v>#N/D</v>
      </c>
      <c r="L83" s="27">
        <v>1</v>
      </c>
      <c r="M83" s="28">
        <v>0</v>
      </c>
      <c r="N83" s="28">
        <v>1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7">
        <f>SUM(Tabla43[[#This Row],[Edificación colapsada]:[Robo]])</f>
        <v>1</v>
      </c>
      <c r="AF83" s="28" t="s">
        <v>704</v>
      </c>
      <c r="AG83" s="28" t="s">
        <v>793</v>
      </c>
      <c r="AH83" s="28">
        <v>50.1</v>
      </c>
      <c r="AI83" s="28"/>
      <c r="AJ83" s="28"/>
      <c r="AK83" s="29" t="s">
        <v>114</v>
      </c>
      <c r="AM83" t="str">
        <f t="shared" si="4"/>
        <v>argelia</v>
      </c>
      <c r="AN83" t="str">
        <f t="shared" si="5"/>
        <v>valle del cauca</v>
      </c>
      <c r="AO83" t="b">
        <f t="shared" si="6"/>
        <v>1</v>
      </c>
      <c r="AP83" t="str">
        <f t="shared" si="7"/>
        <v>argelia|valle del cauca</v>
      </c>
    </row>
    <row r="84" spans="1:42" ht="25.5" customHeight="1" x14ac:dyDescent="0.25">
      <c r="A84" s="33" t="s">
        <v>873</v>
      </c>
      <c r="B84" s="11" t="s">
        <v>10</v>
      </c>
      <c r="C84" s="34" t="s">
        <v>112</v>
      </c>
      <c r="D84" s="69"/>
      <c r="E84" s="11" t="s">
        <v>224</v>
      </c>
      <c r="F84" s="25" t="str">
        <f>IFERROR(IF($AO84,INDEX(cpe!$C$2:$C$307,MATCH($AP84,cpe!$F$2:$F$307,0)),INDEX(cpe!$C$2:$C$307,MATCH($AP84,cpe!$D$2:$D$307,0))),"#N/D")</f>
        <v>#N/D</v>
      </c>
      <c r="G84" s="25" t="str">
        <f>IFERROR(IF($AO84,INDEX(cpe!$B$2:$B$307,MATCH($AP84,cpe!$F$2:$F$307,0)),INDEX(cpe!$B$2:$B$307,MATCH($AP84,cpe!$D$2:$D$307,0))),"#N/D")</f>
        <v>#N/D</v>
      </c>
      <c r="H84" s="26" t="str">
        <f>IF($AO84,"#N/D",IFERROR(INDEX(Olimpiadas!$B$2:$B$61,MATCH($AM84,Olimpiadas!$C$2:$C$61,0)),"#N/D"))</f>
        <v>#N/D</v>
      </c>
      <c r="I84" s="26" t="str">
        <f>IF($AO84,"#N/D",IFERROR(INDEX(Olimpiadas!$A$2:$A$61,MATCH($AM84,Olimpiadas!$C$2:$C$61,0)),"#N/D"))</f>
        <v>#N/D</v>
      </c>
      <c r="J84" s="26" t="str">
        <f>IF($AO84,"#N/D",IFERROR(INDEX(Minculturas!$A$2:$A$48,MATCH($AM84,Minculturas!$C$2:$C$48,0)),"#N/D"))</f>
        <v>#N/D</v>
      </c>
      <c r="K84" s="26" t="str">
        <f>IF($AO84,"#N/D",IFERROR(INDEX(Minculturas!$B$2:$B$48,MATCH($AM84,Minculturas!$C$2:$C$48,0)),"#N/D"))</f>
        <v>#N/D</v>
      </c>
      <c r="L84" s="27">
        <v>7</v>
      </c>
      <c r="M84" s="28">
        <v>0</v>
      </c>
      <c r="N84" s="28">
        <v>1</v>
      </c>
      <c r="O84" s="28">
        <v>1</v>
      </c>
      <c r="P84" s="28">
        <v>1</v>
      </c>
      <c r="Q84" s="28">
        <v>0</v>
      </c>
      <c r="R84" s="28">
        <v>1</v>
      </c>
      <c r="S84" s="28">
        <v>0</v>
      </c>
      <c r="T84" s="28">
        <v>1</v>
      </c>
      <c r="U84" s="28">
        <v>1</v>
      </c>
      <c r="V84" s="28">
        <v>0</v>
      </c>
      <c r="W84" s="28">
        <v>1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7">
        <f>SUM(Tabla43[[#This Row],[Edificación colapsada]:[Robo]])</f>
        <v>7</v>
      </c>
      <c r="AF84" s="28"/>
      <c r="AG84" s="28"/>
      <c r="AH84" s="28">
        <v>36.200000000000003</v>
      </c>
      <c r="AI84" s="28"/>
      <c r="AJ84" s="28"/>
      <c r="AK84" s="29" t="s">
        <v>114</v>
      </c>
      <c r="AM84" t="str">
        <f t="shared" si="4"/>
        <v>argelia</v>
      </c>
      <c r="AN84" t="str">
        <f t="shared" si="5"/>
        <v>antioquia</v>
      </c>
      <c r="AO84" t="b">
        <f t="shared" si="6"/>
        <v>1</v>
      </c>
      <c r="AP84" t="str">
        <f t="shared" si="7"/>
        <v>argelia|antioquia</v>
      </c>
    </row>
    <row r="85" spans="1:42" ht="25.5" customHeight="1" x14ac:dyDescent="0.25">
      <c r="A85" s="33" t="s">
        <v>223</v>
      </c>
      <c r="B85" s="11" t="s">
        <v>28</v>
      </c>
      <c r="C85" s="34" t="s">
        <v>112</v>
      </c>
      <c r="D85" s="69"/>
      <c r="E85" s="11" t="s">
        <v>224</v>
      </c>
      <c r="F85" s="25" t="str">
        <f>IFERROR(IF($AO85,INDEX(cpe!$C$2:$C$307,MATCH($AP85,cpe!$F$2:$F$307,0)),INDEX(cpe!$C$2:$C$307,MATCH($AP85,cpe!$D$2:$D$307,0))),"#N/D")</f>
        <v>#N/D</v>
      </c>
      <c r="G85" s="25" t="str">
        <f>IFERROR(IF($AO85,INDEX(cpe!$B$2:$B$307,MATCH($AP85,cpe!$F$2:$F$307,0)),INDEX(cpe!$B$2:$B$307,MATCH($AP85,cpe!$D$2:$D$307,0))),"#N/D")</f>
        <v>#N/D</v>
      </c>
      <c r="H85" s="26" t="str">
        <f>IF($AO85,"#N/D",IFERROR(INDEX(Olimpiadas!$B$2:$B$61,MATCH($AM85,Olimpiadas!$C$2:$C$61,0)),"#N/D"))</f>
        <v>#N/D</v>
      </c>
      <c r="I85" s="26" t="str">
        <f>IF($AO85,"#N/D",IFERROR(INDEX(Olimpiadas!$A$2:$A$61,MATCH($AM85,Olimpiadas!$C$2:$C$61,0)),"#N/D"))</f>
        <v>#N/D</v>
      </c>
      <c r="J85" s="26" t="str">
        <f>IF($AO85,"#N/D",IFERROR(INDEX(Minculturas!$A$2:$A$48,MATCH($AM85,Minculturas!$C$2:$C$48,0)),"#N/D"))</f>
        <v>#N/D</v>
      </c>
      <c r="K85" s="26" t="str">
        <f>IF($AO85,"#N/D",IFERROR(INDEX(Minculturas!$B$2:$B$48,MATCH($AM85,Minculturas!$C$2:$C$48,0)),"#N/D"))</f>
        <v>#N/D</v>
      </c>
      <c r="L85" s="27">
        <v>5</v>
      </c>
      <c r="M85" s="28">
        <v>0</v>
      </c>
      <c r="N85" s="28">
        <v>0</v>
      </c>
      <c r="O85" s="28">
        <v>1</v>
      </c>
      <c r="P85" s="28">
        <v>0</v>
      </c>
      <c r="Q85" s="28">
        <v>1</v>
      </c>
      <c r="R85" s="28">
        <v>1</v>
      </c>
      <c r="S85" s="28">
        <v>1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1</v>
      </c>
      <c r="AA85" s="28">
        <v>0</v>
      </c>
      <c r="AB85" s="28">
        <v>0</v>
      </c>
      <c r="AC85" s="28">
        <v>0</v>
      </c>
      <c r="AD85" s="28">
        <v>0</v>
      </c>
      <c r="AE85" s="27">
        <f>SUM(Tabla43[[#This Row],[Edificación colapsada]:[Robo]])</f>
        <v>5</v>
      </c>
      <c r="AF85" s="28"/>
      <c r="AG85" s="28"/>
      <c r="AH85" s="28">
        <v>48.7</v>
      </c>
      <c r="AI85" s="28"/>
      <c r="AJ85" s="28"/>
      <c r="AK85" s="29" t="s">
        <v>114</v>
      </c>
      <c r="AM85" t="str">
        <f t="shared" si="4"/>
        <v>argelia</v>
      </c>
      <c r="AN85" t="str">
        <f t="shared" si="5"/>
        <v>cauca</v>
      </c>
      <c r="AO85" t="b">
        <f t="shared" si="6"/>
        <v>1</v>
      </c>
      <c r="AP85" t="str">
        <f t="shared" si="7"/>
        <v>argelia|cauca</v>
      </c>
    </row>
    <row r="86" spans="1:42" ht="25.5" customHeight="1" x14ac:dyDescent="0.25">
      <c r="A86" s="33" t="s">
        <v>874</v>
      </c>
      <c r="B86" s="11" t="s">
        <v>10</v>
      </c>
      <c r="C86" s="34" t="s">
        <v>112</v>
      </c>
      <c r="D86" s="69"/>
      <c r="E86" s="11" t="s">
        <v>830</v>
      </c>
      <c r="F86" s="25" t="str">
        <f>IFERROR(IF($AO86,INDEX(cpe!$C$2:$C$307,MATCH($AP86,cpe!$F$2:$F$307,0)),INDEX(cpe!$C$2:$C$307,MATCH($AP86,cpe!$D$2:$D$307,0))),"#N/D")</f>
        <v>#N/D</v>
      </c>
      <c r="G86" s="25" t="str">
        <f>IFERROR(IF($AO86,INDEX(cpe!$B$2:$B$307,MATCH($AP86,cpe!$F$2:$F$307,0)),INDEX(cpe!$B$2:$B$307,MATCH($AP86,cpe!$D$2:$D$307,0))),"#N/D")</f>
        <v>#N/D</v>
      </c>
      <c r="H86" s="26" t="str">
        <f>IF($AO86,"#N/D",IFERROR(INDEX(Olimpiadas!$B$2:$B$61,MATCH($AM86,Olimpiadas!$C$2:$C$61,0)),"#N/D"))</f>
        <v>#N/D</v>
      </c>
      <c r="I86" s="26" t="str">
        <f>IF($AO86,"#N/D",IFERROR(INDEX(Olimpiadas!$A$2:$A$61,MATCH($AM86,Olimpiadas!$C$2:$C$61,0)),"#N/D"))</f>
        <v>#N/D</v>
      </c>
      <c r="J86" s="26" t="str">
        <f>IF($AO86,"#N/D",IFERROR(INDEX(Minculturas!$A$2:$A$48,MATCH($AM86,Minculturas!$C$2:$C$48,0)),"#N/D"))</f>
        <v>#N/D</v>
      </c>
      <c r="K86" s="26" t="str">
        <f>IF($AO86,"#N/D",IFERROR(INDEX(Minculturas!$B$2:$B$48,MATCH($AM86,Minculturas!$C$2:$C$48,0)),"#N/D"))</f>
        <v>#N/D</v>
      </c>
      <c r="L86" s="27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7">
        <f>SUM(Tabla43[[#This Row],[Edificación colapsada]:[Robo]])</f>
        <v>0</v>
      </c>
      <c r="AF86" s="28"/>
      <c r="AG86" s="28"/>
      <c r="AH86" s="28">
        <v>37.700000000000003</v>
      </c>
      <c r="AI86" s="28"/>
      <c r="AJ86" s="28"/>
      <c r="AK86" s="29" t="s">
        <v>365</v>
      </c>
      <c r="AM86" t="str">
        <f t="shared" si="4"/>
        <v>armenia</v>
      </c>
      <c r="AN86" t="str">
        <f t="shared" si="5"/>
        <v>antioquia</v>
      </c>
      <c r="AO86" t="b">
        <f t="shared" si="6"/>
        <v>1</v>
      </c>
      <c r="AP86" t="str">
        <f t="shared" si="7"/>
        <v>armenia|antioquia</v>
      </c>
    </row>
    <row r="87" spans="1:42" ht="25.5" customHeight="1" x14ac:dyDescent="0.25">
      <c r="A87" s="33" t="s">
        <v>547</v>
      </c>
      <c r="B87" s="11" t="s">
        <v>48</v>
      </c>
      <c r="C87" s="34" t="s">
        <v>112</v>
      </c>
      <c r="D87" s="69"/>
      <c r="E87" s="11" t="s">
        <v>548</v>
      </c>
      <c r="F87" s="25" t="str">
        <f>IFERROR(IF($AO87,INDEX(cpe!$C$2:$C$307,MATCH($AP87,cpe!$F$2:$F$307,0)),INDEX(cpe!$C$2:$C$307,MATCH($AP87,cpe!$D$2:$D$307,0))),"#N/D")</f>
        <v>#N/D</v>
      </c>
      <c r="G87" s="25" t="str">
        <f>IFERROR(IF($AO87,INDEX(cpe!$B$2:$B$307,MATCH($AP87,cpe!$F$2:$F$307,0)),INDEX(cpe!$B$2:$B$307,MATCH($AP87,cpe!$D$2:$D$307,0))),"#N/D")</f>
        <v>#N/D</v>
      </c>
      <c r="H87" s="26" t="str">
        <f>IF($AO87,"#N/D",IFERROR(INDEX(Olimpiadas!$B$2:$B$61,MATCH($AM87,Olimpiadas!$C$2:$C$61,0)),"#N/D"))</f>
        <v>#N/D</v>
      </c>
      <c r="I87" s="26" t="str">
        <f>IF($AO87,"#N/D",IFERROR(INDEX(Olimpiadas!$A$2:$A$61,MATCH($AM87,Olimpiadas!$C$2:$C$61,0)),"#N/D"))</f>
        <v>#N/D</v>
      </c>
      <c r="J87" s="26" t="str">
        <f>IF($AO87,"#N/D",IFERROR(INDEX(Minculturas!$A$2:$A$48,MATCH($AM87,Minculturas!$C$2:$C$48,0)),"#N/D"))</f>
        <v>#N/D</v>
      </c>
      <c r="K87" s="26" t="str">
        <f>IF($AO87,"#N/D",IFERROR(INDEX(Minculturas!$B$2:$B$48,MATCH($AM87,Minculturas!$C$2:$C$48,0)),"#N/D"))</f>
        <v>#N/D</v>
      </c>
      <c r="L87" s="27">
        <v>1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1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7">
        <f>SUM(Tabla43[[#This Row],[Edificación colapsada]:[Robo]])</f>
        <v>1</v>
      </c>
      <c r="AF87" s="28"/>
      <c r="AG87" s="28"/>
      <c r="AH87" s="28">
        <v>27.3</v>
      </c>
      <c r="AI87" s="28"/>
      <c r="AJ87" s="28"/>
      <c r="AK87" s="29" t="s">
        <v>549</v>
      </c>
      <c r="AM87" t="str">
        <f t="shared" si="4"/>
        <v>armero guayabal</v>
      </c>
      <c r="AN87" t="str">
        <f t="shared" si="5"/>
        <v>tolima</v>
      </c>
      <c r="AO87" t="b">
        <f t="shared" si="6"/>
        <v>0</v>
      </c>
      <c r="AP87" t="str">
        <f t="shared" si="7"/>
        <v>armero guayabal</v>
      </c>
    </row>
    <row r="88" spans="1:42" ht="25.5" customHeight="1" x14ac:dyDescent="0.25">
      <c r="A88" s="33" t="s">
        <v>488</v>
      </c>
      <c r="B88" s="11" t="s">
        <v>48</v>
      </c>
      <c r="C88" s="34" t="s">
        <v>112</v>
      </c>
      <c r="D88" s="69"/>
      <c r="E88" s="11" t="s">
        <v>489</v>
      </c>
      <c r="F88" s="25" t="str">
        <f>IFERROR(IF($AO88,INDEX(cpe!$C$2:$C$307,MATCH($AP88,cpe!$F$2:$F$307,0)),INDEX(cpe!$C$2:$C$307,MATCH($AP88,cpe!$D$2:$D$307,0))),"#N/D")</f>
        <v>Institucion Educativa de Desarrollo Rural de Berruecos</v>
      </c>
      <c r="G88" s="25" t="str">
        <f>IFERROR(IF($AO88,INDEX(cpe!$B$2:$B$307,MATCH($AP88,cpe!$F$2:$F$307,0)),INDEX(cpe!$B$2:$B$307,MATCH($AP88,cpe!$D$2:$D$307,0))),"#N/D")</f>
        <v>Ataco</v>
      </c>
      <c r="H88" s="26" t="str">
        <f>IF($AO88,"#N/D",IFERROR(INDEX(Olimpiadas!$B$2:$B$61,MATCH($AM88,Olimpiadas!$C$2:$C$61,0)),"#N/D"))</f>
        <v>#N/D</v>
      </c>
      <c r="I88" s="26" t="str">
        <f>IF($AO88,"#N/D",IFERROR(INDEX(Olimpiadas!$A$2:$A$61,MATCH($AM88,Olimpiadas!$C$2:$C$61,0)),"#N/D"))</f>
        <v>#N/D</v>
      </c>
      <c r="J88" s="26" t="str">
        <f>IF($AO88,"#N/D",IFERROR(INDEX(Minculturas!$A$2:$A$48,MATCH($AM88,Minculturas!$C$2:$C$48,0)),"#N/D"))</f>
        <v>#N/D</v>
      </c>
      <c r="K88" s="26" t="str">
        <f>IF($AO88,"#N/D",IFERROR(INDEX(Minculturas!$B$2:$B$48,MATCH($AM88,Minculturas!$C$2:$C$48,0)),"#N/D"))</f>
        <v>#N/D</v>
      </c>
      <c r="L88" s="27">
        <v>1</v>
      </c>
      <c r="M88" s="28">
        <v>0</v>
      </c>
      <c r="N88" s="28">
        <v>1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7">
        <f>SUM(Tabla43[[#This Row],[Edificación colapsada]:[Robo]])</f>
        <v>1</v>
      </c>
      <c r="AF88" s="28"/>
      <c r="AG88" s="28"/>
      <c r="AH88" s="28">
        <v>64</v>
      </c>
      <c r="AI88" s="28"/>
      <c r="AJ88" s="28"/>
      <c r="AK88" s="29" t="s">
        <v>114</v>
      </c>
      <c r="AM88" t="str">
        <f t="shared" si="4"/>
        <v>ataco</v>
      </c>
      <c r="AN88" t="str">
        <f t="shared" si="5"/>
        <v>tolima</v>
      </c>
      <c r="AO88" t="b">
        <f t="shared" si="6"/>
        <v>0</v>
      </c>
      <c r="AP88" t="str">
        <f t="shared" si="7"/>
        <v>ataco</v>
      </c>
    </row>
    <row r="89" spans="1:42" ht="25.5" customHeight="1" x14ac:dyDescent="0.25">
      <c r="A89" s="33" t="s">
        <v>1131</v>
      </c>
      <c r="B89" s="11" t="s">
        <v>31</v>
      </c>
      <c r="C89" s="34" t="s">
        <v>112</v>
      </c>
      <c r="D89" s="69"/>
      <c r="E89" s="11" t="s">
        <v>1132</v>
      </c>
      <c r="F89" s="25" t="str">
        <f>IFERROR(IF($AO89,INDEX(cpe!$C$2:$C$307,MATCH($AP89,cpe!$F$2:$F$307,0)),INDEX(cpe!$C$2:$C$307,MATCH($AP89,cpe!$D$2:$D$307,0))),"#N/D")</f>
        <v>Institucion Educativa CASD Hermogenes Maza</v>
      </c>
      <c r="G89" s="25" t="str">
        <f>IFERROR(IF($AO89,INDEX(cpe!$B$2:$B$307,MATCH($AP89,cpe!$F$2:$F$307,0)),INDEX(cpe!$B$2:$B$307,MATCH($AP89,cpe!$D$2:$D$307,0))),"#N/D")</f>
        <v>Atrato</v>
      </c>
      <c r="H89" s="26" t="str">
        <f>IF($AO89,"#N/D",IFERROR(INDEX(Olimpiadas!$B$2:$B$61,MATCH($AM89,Olimpiadas!$C$2:$C$61,0)),"#N/D"))</f>
        <v>#N/D</v>
      </c>
      <c r="I89" s="26" t="str">
        <f>IF($AO89,"#N/D",IFERROR(INDEX(Olimpiadas!$A$2:$A$61,MATCH($AM89,Olimpiadas!$C$2:$C$61,0)),"#N/D"))</f>
        <v>#N/D</v>
      </c>
      <c r="J89" s="26" t="str">
        <f>IF($AO89,"#N/D",IFERROR(INDEX(Minculturas!$A$2:$A$48,MATCH($AM89,Minculturas!$C$2:$C$48,0)),"#N/D"))</f>
        <v>#N/D</v>
      </c>
      <c r="K89" s="26" t="str">
        <f>IF($AO89,"#N/D",IFERROR(INDEX(Minculturas!$B$2:$B$48,MATCH($AM89,Minculturas!$C$2:$C$48,0)),"#N/D"))</f>
        <v>#N/D</v>
      </c>
      <c r="L89" s="27">
        <v>4</v>
      </c>
      <c r="M89" s="28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1</v>
      </c>
      <c r="X89" s="45">
        <v>0</v>
      </c>
      <c r="Y89" s="45">
        <v>0</v>
      </c>
      <c r="Z89" s="45">
        <v>3</v>
      </c>
      <c r="AA89" s="45">
        <v>0</v>
      </c>
      <c r="AB89" s="45">
        <v>0</v>
      </c>
      <c r="AC89" s="45">
        <v>0</v>
      </c>
      <c r="AD89" s="45">
        <v>0</v>
      </c>
      <c r="AE89" s="46">
        <f>SUM(Tabla43[[#This Row],[Edificación colapsada]:[Robo]])</f>
        <v>4</v>
      </c>
      <c r="AF89" s="45"/>
      <c r="AG89" s="45"/>
      <c r="AH89" s="28">
        <v>61.5</v>
      </c>
      <c r="AI89" s="28"/>
      <c r="AJ89" s="28"/>
      <c r="AK89" s="29" t="s">
        <v>114</v>
      </c>
      <c r="AM89" t="str">
        <f t="shared" si="4"/>
        <v>atrato</v>
      </c>
      <c r="AN89" t="str">
        <f t="shared" si="5"/>
        <v>choco</v>
      </c>
      <c r="AO89" t="b">
        <f t="shared" si="6"/>
        <v>0</v>
      </c>
      <c r="AP89" t="str">
        <f t="shared" si="7"/>
        <v>atrato</v>
      </c>
    </row>
    <row r="90" spans="1:42" ht="25.5" customHeight="1" x14ac:dyDescent="0.25">
      <c r="A90" s="33" t="s">
        <v>351</v>
      </c>
      <c r="B90" s="11" t="s">
        <v>31</v>
      </c>
      <c r="C90" s="34" t="s">
        <v>112</v>
      </c>
      <c r="D90" s="69"/>
      <c r="E90" s="11" t="s">
        <v>352</v>
      </c>
      <c r="F90" s="25" t="str">
        <f>IFERROR(IF($AO90,INDEX(cpe!$C$2:$C$307,MATCH($AP90,cpe!$F$2:$F$307,0)),INDEX(cpe!$C$2:$C$307,MATCH($AP90,cpe!$D$2:$D$307,0))),"#N/D")</f>
        <v>Institucion Educativa el Quebradon</v>
      </c>
      <c r="G90" s="25" t="str">
        <f>IFERROR(IF($AO90,INDEX(cpe!$B$2:$B$307,MATCH($AP90,cpe!$F$2:$F$307,0)),INDEX(cpe!$B$2:$B$307,MATCH($AP90,cpe!$D$2:$D$307,0))),"#N/D")</f>
        <v>Bagadó</v>
      </c>
      <c r="H90" s="26" t="str">
        <f>IF($AO90,"#N/D",IFERROR(INDEX(Olimpiadas!$B$2:$B$61,MATCH($AM90,Olimpiadas!$C$2:$C$61,0)),"#N/D"))</f>
        <v>#N/D</v>
      </c>
      <c r="I90" s="26" t="str">
        <f>IF($AO90,"#N/D",IFERROR(INDEX(Olimpiadas!$A$2:$A$61,MATCH($AM90,Olimpiadas!$C$2:$C$61,0)),"#N/D"))</f>
        <v>#N/D</v>
      </c>
      <c r="J90" s="26" t="str">
        <f>IF($AO90,"#N/D",IFERROR(INDEX(Minculturas!$A$2:$A$48,MATCH($AM90,Minculturas!$C$2:$C$48,0)),"#N/D"))</f>
        <v>#N/D</v>
      </c>
      <c r="K90" s="26" t="str">
        <f>IF($AO90,"#N/D",IFERROR(INDEX(Minculturas!$B$2:$B$48,MATCH($AM90,Minculturas!$C$2:$C$48,0)),"#N/D"))</f>
        <v>#N/D</v>
      </c>
      <c r="L90" s="27">
        <v>2</v>
      </c>
      <c r="M90" s="28">
        <v>0</v>
      </c>
      <c r="N90" s="47">
        <v>0</v>
      </c>
      <c r="O90" s="47">
        <v>1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1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8">
        <f>SUM(Tabla43[[#This Row],[Edificación colapsada]:[Robo]])</f>
        <v>2</v>
      </c>
      <c r="AF90" s="28" t="s">
        <v>353</v>
      </c>
      <c r="AG90" s="28" t="s">
        <v>354</v>
      </c>
      <c r="AH90" s="28">
        <v>81</v>
      </c>
      <c r="AI90" s="28"/>
      <c r="AJ90" s="28"/>
      <c r="AK90" s="29" t="s">
        <v>114</v>
      </c>
      <c r="AM90" t="str">
        <f t="shared" si="4"/>
        <v>bagado</v>
      </c>
      <c r="AN90" t="str">
        <f t="shared" si="5"/>
        <v>choco</v>
      </c>
      <c r="AO90" t="b">
        <f t="shared" si="6"/>
        <v>0</v>
      </c>
      <c r="AP90" t="str">
        <f t="shared" si="7"/>
        <v>bagado</v>
      </c>
    </row>
    <row r="91" spans="1:42" ht="25.5" customHeight="1" x14ac:dyDescent="0.25">
      <c r="A91" s="33" t="s">
        <v>406</v>
      </c>
      <c r="B91" s="11" t="s">
        <v>31</v>
      </c>
      <c r="C91" s="34" t="s">
        <v>112</v>
      </c>
      <c r="D91" s="69"/>
      <c r="E91" s="11" t="s">
        <v>407</v>
      </c>
      <c r="F91" s="25" t="str">
        <f>IFERROR(IF($AO91,INDEX(cpe!$C$2:$C$307,MATCH($AP91,cpe!$F$2:$F$307,0)),INDEX(cpe!$C$2:$C$307,MATCH($AP91,cpe!$D$2:$D$307,0))),"#N/D")</f>
        <v>#N/D</v>
      </c>
      <c r="G91" s="25" t="str">
        <f>IFERROR(IF($AO91,INDEX(cpe!$B$2:$B$307,MATCH($AP91,cpe!$F$2:$F$307,0)),INDEX(cpe!$B$2:$B$307,MATCH($AP91,cpe!$D$2:$D$307,0))),"#N/D")</f>
        <v>#N/D</v>
      </c>
      <c r="H91" s="26" t="str">
        <f>IF($AO91,"#N/D",IFERROR(INDEX(Olimpiadas!$B$2:$B$61,MATCH($AM91,Olimpiadas!$C$2:$C$61,0)),"#N/D"))</f>
        <v>#N/D</v>
      </c>
      <c r="I91" s="26" t="str">
        <f>IF($AO91,"#N/D",IFERROR(INDEX(Olimpiadas!$A$2:$A$61,MATCH($AM91,Olimpiadas!$C$2:$C$61,0)),"#N/D"))</f>
        <v>#N/D</v>
      </c>
      <c r="J91" s="26" t="str">
        <f>IF($AO91,"#N/D",IFERROR(INDEX(Minculturas!$A$2:$A$48,MATCH($AM91,Minculturas!$C$2:$C$48,0)),"#N/D"))</f>
        <v>#N/D</v>
      </c>
      <c r="K91" s="26" t="str">
        <f>IF($AO91,"#N/D",IFERROR(INDEX(Minculturas!$B$2:$B$48,MATCH($AM91,Minculturas!$C$2:$C$48,0)),"#N/D"))</f>
        <v>#N/D</v>
      </c>
      <c r="L91" s="27">
        <v>2</v>
      </c>
      <c r="M91" s="28">
        <v>1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  <c r="W91" s="49">
        <v>0</v>
      </c>
      <c r="X91" s="49">
        <v>1</v>
      </c>
      <c r="Y91" s="49">
        <v>0</v>
      </c>
      <c r="Z91" s="49">
        <v>0</v>
      </c>
      <c r="AA91" s="49">
        <v>0</v>
      </c>
      <c r="AB91" s="49">
        <v>0</v>
      </c>
      <c r="AC91" s="49">
        <v>0</v>
      </c>
      <c r="AD91" s="49">
        <v>0</v>
      </c>
      <c r="AE91" s="50">
        <f>SUM(Tabla43[[#This Row],[Edificación colapsada]:[Robo]])</f>
        <v>2</v>
      </c>
      <c r="AF91" s="49" t="s">
        <v>233</v>
      </c>
      <c r="AG91" s="49" t="s">
        <v>408</v>
      </c>
      <c r="AH91" s="49">
        <v>46.6</v>
      </c>
      <c r="AI91" s="28"/>
      <c r="AJ91" s="28"/>
      <c r="AK91" s="29" t="s">
        <v>114</v>
      </c>
      <c r="AM91" t="str">
        <f t="shared" si="4"/>
        <v>bahia solano</v>
      </c>
      <c r="AN91" t="str">
        <f t="shared" si="5"/>
        <v>choco</v>
      </c>
      <c r="AO91" t="b">
        <f t="shared" si="6"/>
        <v>0</v>
      </c>
      <c r="AP91" t="str">
        <f t="shared" si="7"/>
        <v>bahia solano</v>
      </c>
    </row>
    <row r="92" spans="1:42" ht="25.5" customHeight="1" x14ac:dyDescent="0.25">
      <c r="A92" s="33" t="s">
        <v>592</v>
      </c>
      <c r="B92" s="11" t="s">
        <v>31</v>
      </c>
      <c r="C92" s="34" t="s">
        <v>112</v>
      </c>
      <c r="D92" s="69"/>
      <c r="E92" s="11" t="s">
        <v>593</v>
      </c>
      <c r="F92" s="25" t="str">
        <f>IFERROR(IF($AO92,INDEX(cpe!$C$2:$C$307,MATCH($AP92,cpe!$F$2:$F$307,0)),INDEX(cpe!$C$2:$C$307,MATCH($AP92,cpe!$D$2:$D$307,0))),"#N/D")</f>
        <v>IE de Samurindo</v>
      </c>
      <c r="G92" s="25" t="str">
        <f>IFERROR(IF($AO92,INDEX(cpe!$B$2:$B$307,MATCH($AP92,cpe!$F$2:$F$307,0)),INDEX(cpe!$B$2:$B$307,MATCH($AP92,cpe!$D$2:$D$307,0))),"#N/D")</f>
        <v>Bajo Baudó</v>
      </c>
      <c r="H92" s="26" t="str">
        <f>IF($AO92,"#N/D",IFERROR(INDEX(Olimpiadas!$B$2:$B$61,MATCH($AM92,Olimpiadas!$C$2:$C$61,0)),"#N/D"))</f>
        <v>#N/D</v>
      </c>
      <c r="I92" s="26" t="str">
        <f>IF($AO92,"#N/D",IFERROR(INDEX(Olimpiadas!$A$2:$A$61,MATCH($AM92,Olimpiadas!$C$2:$C$61,0)),"#N/D"))</f>
        <v>#N/D</v>
      </c>
      <c r="J92" s="26" t="str">
        <f>IF($AO92,"#N/D",IFERROR(INDEX(Minculturas!$A$2:$A$48,MATCH($AM92,Minculturas!$C$2:$C$48,0)),"#N/D"))</f>
        <v>#N/D</v>
      </c>
      <c r="K92" s="26" t="str">
        <f>IF($AO92,"#N/D",IFERROR(INDEX(Minculturas!$B$2:$B$48,MATCH($AM92,Minculturas!$C$2:$C$48,0)),"#N/D"))</f>
        <v>#N/D</v>
      </c>
      <c r="L92" s="27">
        <v>2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2</v>
      </c>
      <c r="AA92" s="28">
        <v>0</v>
      </c>
      <c r="AB92" s="28">
        <v>0</v>
      </c>
      <c r="AC92" s="28">
        <v>0</v>
      </c>
      <c r="AD92" s="28">
        <v>0</v>
      </c>
      <c r="AE92" s="27">
        <f>SUM(Tabla43[[#This Row],[Edificación colapsada]:[Robo]])</f>
        <v>2</v>
      </c>
      <c r="AF92" s="28">
        <v>285</v>
      </c>
      <c r="AG92" s="28" t="s">
        <v>594</v>
      </c>
      <c r="AH92" s="28">
        <v>80.400000000000006</v>
      </c>
      <c r="AI92" s="28"/>
      <c r="AJ92" s="28"/>
      <c r="AK92" s="29" t="s">
        <v>114</v>
      </c>
      <c r="AM92" t="str">
        <f t="shared" si="4"/>
        <v>bajo baudo</v>
      </c>
      <c r="AN92" t="str">
        <f t="shared" si="5"/>
        <v>choco</v>
      </c>
      <c r="AO92" t="b">
        <f t="shared" si="6"/>
        <v>0</v>
      </c>
      <c r="AP92" t="str">
        <f t="shared" si="7"/>
        <v>bajo baudo</v>
      </c>
    </row>
    <row r="93" spans="1:42" ht="25.5" customHeight="1" x14ac:dyDescent="0.25">
      <c r="A93" s="33" t="s">
        <v>794</v>
      </c>
      <c r="B93" s="11" t="s">
        <v>45</v>
      </c>
      <c r="C93" s="34" t="s">
        <v>112</v>
      </c>
      <c r="D93" s="69"/>
      <c r="E93" s="11" t="s">
        <v>113</v>
      </c>
      <c r="F93" s="25" t="str">
        <f>IFERROR(IF($AO93,INDEX(cpe!$C$2:$C$307,MATCH($AP93,cpe!$F$2:$F$307,0)),INDEX(cpe!$C$2:$C$307,MATCH($AP93,cpe!$D$2:$D$307,0))),"#N/D")</f>
        <v>#N/D</v>
      </c>
      <c r="G93" s="25" t="str">
        <f>IFERROR(IF($AO93,INDEX(cpe!$B$2:$B$307,MATCH($AP93,cpe!$F$2:$F$307,0)),INDEX(cpe!$B$2:$B$307,MATCH($AP93,cpe!$D$2:$D$307,0))),"#N/D")</f>
        <v>#N/D</v>
      </c>
      <c r="H93" s="26" t="str">
        <f>IF($AO93,"#N/D",IFERROR(INDEX(Olimpiadas!$B$2:$B$61,MATCH($AM93,Olimpiadas!$C$2:$C$61,0)),"#N/D"))</f>
        <v>#N/D</v>
      </c>
      <c r="I93" s="26" t="str">
        <f>IF($AO93,"#N/D",IFERROR(INDEX(Olimpiadas!$A$2:$A$61,MATCH($AM93,Olimpiadas!$C$2:$C$61,0)),"#N/D"))</f>
        <v>#N/D</v>
      </c>
      <c r="J93" s="26" t="str">
        <f>IF($AO93,"#N/D",IFERROR(INDEX(Minculturas!$A$2:$A$48,MATCH($AM93,Minculturas!$C$2:$C$48,0)),"#N/D"))</f>
        <v>#N/D</v>
      </c>
      <c r="K93" s="26" t="str">
        <f>IF($AO93,"#N/D",IFERROR(INDEX(Minculturas!$B$2:$B$48,MATCH($AM93,Minculturas!$C$2:$C$48,0)),"#N/D"))</f>
        <v>#N/D</v>
      </c>
      <c r="L93" s="27">
        <v>2</v>
      </c>
      <c r="M93" s="28">
        <v>0</v>
      </c>
      <c r="N93" s="28">
        <v>1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1</v>
      </c>
      <c r="AA93" s="28">
        <v>0</v>
      </c>
      <c r="AB93" s="28">
        <v>0</v>
      </c>
      <c r="AC93" s="28">
        <v>0</v>
      </c>
      <c r="AD93" s="28">
        <v>0</v>
      </c>
      <c r="AE93" s="27">
        <f>SUM(Tabla43[[#This Row],[Edificación colapsada]:[Robo]])</f>
        <v>2</v>
      </c>
      <c r="AF93" s="28" t="s">
        <v>795</v>
      </c>
      <c r="AG93" s="28" t="s">
        <v>796</v>
      </c>
      <c r="AH93" s="28">
        <v>47.1</v>
      </c>
      <c r="AI93" s="28"/>
      <c r="AJ93" s="28"/>
      <c r="AK93" s="29" t="s">
        <v>246</v>
      </c>
      <c r="AM93" t="str">
        <f t="shared" si="4"/>
        <v>balboa</v>
      </c>
      <c r="AN93" t="str">
        <f t="shared" si="5"/>
        <v>risaralda</v>
      </c>
      <c r="AO93" t="b">
        <f t="shared" si="6"/>
        <v>1</v>
      </c>
      <c r="AP93" t="str">
        <f t="shared" si="7"/>
        <v>balboa|risaralda</v>
      </c>
    </row>
    <row r="94" spans="1:42" ht="25.5" customHeight="1" x14ac:dyDescent="0.25">
      <c r="A94" s="33" t="s">
        <v>111</v>
      </c>
      <c r="B94" s="11" t="s">
        <v>28</v>
      </c>
      <c r="C94" s="34" t="s">
        <v>112</v>
      </c>
      <c r="D94" s="69"/>
      <c r="E94" s="11" t="s">
        <v>113</v>
      </c>
      <c r="F94" s="25" t="str">
        <f>IFERROR(IF($AO94,INDEX(cpe!$C$2:$C$307,MATCH($AP94,cpe!$F$2:$F$307,0)),INDEX(cpe!$C$2:$C$307,MATCH($AP94,cpe!$D$2:$D$307,0))),"#N/D")</f>
        <v>#N/D</v>
      </c>
      <c r="G94" s="25" t="str">
        <f>IFERROR(IF($AO94,INDEX(cpe!$B$2:$B$307,MATCH($AP94,cpe!$F$2:$F$307,0)),INDEX(cpe!$B$2:$B$307,MATCH($AP94,cpe!$D$2:$D$307,0))),"#N/D")</f>
        <v>#N/D</v>
      </c>
      <c r="H94" s="26" t="str">
        <f>IF($AO94,"#N/D",IFERROR(INDEX(Olimpiadas!$B$2:$B$61,MATCH($AM94,Olimpiadas!$C$2:$C$61,0)),"#N/D"))</f>
        <v>#N/D</v>
      </c>
      <c r="I94" s="26" t="str">
        <f>IF($AO94,"#N/D",IFERROR(INDEX(Olimpiadas!$A$2:$A$61,MATCH($AM94,Olimpiadas!$C$2:$C$61,0)),"#N/D"))</f>
        <v>#N/D</v>
      </c>
      <c r="J94" s="26" t="str">
        <f>IF($AO94,"#N/D",IFERROR(INDEX(Minculturas!$A$2:$A$48,MATCH($AM94,Minculturas!$C$2:$C$48,0)),"#N/D"))</f>
        <v>#N/D</v>
      </c>
      <c r="K94" s="26" t="str">
        <f>IF($AO94,"#N/D",IFERROR(INDEX(Minculturas!$B$2:$B$48,MATCH($AM94,Minculturas!$C$2:$C$48,0)),"#N/D"))</f>
        <v>#N/D</v>
      </c>
      <c r="L94" s="27">
        <v>11</v>
      </c>
      <c r="M94" s="28">
        <v>0</v>
      </c>
      <c r="N94" s="28">
        <v>3</v>
      </c>
      <c r="O94" s="28">
        <v>1</v>
      </c>
      <c r="P94" s="28">
        <v>1</v>
      </c>
      <c r="Q94" s="28">
        <v>3</v>
      </c>
      <c r="R94" s="28">
        <v>1</v>
      </c>
      <c r="S94" s="28">
        <v>1</v>
      </c>
      <c r="T94" s="28">
        <v>1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7">
        <f>SUM(Tabla43[[#This Row],[Edificación colapsada]:[Robo]])</f>
        <v>11</v>
      </c>
      <c r="AF94" s="28"/>
      <c r="AG94" s="28"/>
      <c r="AH94" s="28">
        <v>31.6</v>
      </c>
      <c r="AI94" s="28"/>
      <c r="AJ94" s="28"/>
      <c r="AK94" s="29" t="s">
        <v>114</v>
      </c>
      <c r="AM94" t="str">
        <f t="shared" si="4"/>
        <v>balboa</v>
      </c>
      <c r="AN94" t="str">
        <f t="shared" si="5"/>
        <v>cauca</v>
      </c>
      <c r="AO94" t="b">
        <f t="shared" si="6"/>
        <v>1</v>
      </c>
      <c r="AP94" t="str">
        <f t="shared" si="7"/>
        <v>balboa|cauca</v>
      </c>
    </row>
    <row r="95" spans="1:42" ht="25.5" customHeight="1" x14ac:dyDescent="0.25">
      <c r="A95" s="33" t="s">
        <v>142</v>
      </c>
      <c r="B95" s="11" t="s">
        <v>37</v>
      </c>
      <c r="C95" s="34" t="s">
        <v>112</v>
      </c>
      <c r="D95" s="69"/>
      <c r="E95" s="11" t="s">
        <v>143</v>
      </c>
      <c r="F95" s="25" t="str">
        <f>IFERROR(IF($AO95,INDEX(cpe!$C$2:$C$307,MATCH($AP95,cpe!$F$2:$F$307,0)),INDEX(cpe!$C$2:$C$307,MATCH($AP95,cpe!$D$2:$D$307,0))),"#N/D")</f>
        <v>#N/D</v>
      </c>
      <c r="G95" s="25" t="str">
        <f>IFERROR(IF($AO95,INDEX(cpe!$B$2:$B$307,MATCH($AP95,cpe!$F$2:$F$307,0)),INDEX(cpe!$B$2:$B$307,MATCH($AP95,cpe!$D$2:$D$307,0))),"#N/D")</f>
        <v>#N/D</v>
      </c>
      <c r="H95" s="26" t="str">
        <f>IF($AO95,"#N/D",IFERROR(INDEX(Olimpiadas!$B$2:$B$61,MATCH($AM95,Olimpiadas!$C$2:$C$61,0)),"#N/D"))</f>
        <v>#N/D</v>
      </c>
      <c r="I95" s="26" t="str">
        <f>IF($AO95,"#N/D",IFERROR(INDEX(Olimpiadas!$A$2:$A$61,MATCH($AM95,Olimpiadas!$C$2:$C$61,0)),"#N/D"))</f>
        <v>#N/D</v>
      </c>
      <c r="J95" s="26" t="str">
        <f>IF($AO95,"#N/D",IFERROR(INDEX(Minculturas!$A$2:$A$48,MATCH($AM95,Minculturas!$C$2:$C$48,0)),"#N/D"))</f>
        <v>#N/D</v>
      </c>
      <c r="K95" s="26" t="str">
        <f>IF($AO95,"#N/D",IFERROR(INDEX(Minculturas!$B$2:$B$48,MATCH($AM95,Minculturas!$C$2:$C$48,0)),"#N/D"))</f>
        <v>#N/D</v>
      </c>
      <c r="L95" s="27">
        <v>5</v>
      </c>
      <c r="M95" s="28">
        <v>0</v>
      </c>
      <c r="N95" s="28">
        <v>1</v>
      </c>
      <c r="O95" s="28">
        <v>0</v>
      </c>
      <c r="P95" s="28">
        <v>1</v>
      </c>
      <c r="Q95" s="28">
        <v>3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7">
        <f>SUM(Tabla43[[#This Row],[Edificación colapsada]:[Robo]])</f>
        <v>5</v>
      </c>
      <c r="AF95" s="28"/>
      <c r="AG95" s="28"/>
      <c r="AH95" s="28">
        <v>49.4</v>
      </c>
      <c r="AI95" s="28"/>
      <c r="AJ95" s="28"/>
      <c r="AK95" s="29" t="s">
        <v>114</v>
      </c>
      <c r="AM95" t="str">
        <f t="shared" si="4"/>
        <v>baraya</v>
      </c>
      <c r="AN95" t="str">
        <f t="shared" si="5"/>
        <v>huila</v>
      </c>
      <c r="AO95" t="b">
        <f t="shared" si="6"/>
        <v>0</v>
      </c>
      <c r="AP95" t="str">
        <f t="shared" si="7"/>
        <v>baraya</v>
      </c>
    </row>
    <row r="96" spans="1:42" ht="25.5" customHeight="1" x14ac:dyDescent="0.25">
      <c r="A96" s="33" t="s">
        <v>355</v>
      </c>
      <c r="B96" s="11" t="s">
        <v>41</v>
      </c>
      <c r="C96" s="34" t="s">
        <v>112</v>
      </c>
      <c r="D96" s="69"/>
      <c r="E96" s="11" t="s">
        <v>356</v>
      </c>
      <c r="F96" s="25" t="str">
        <f>IFERROR(IF($AO96,INDEX(cpe!$C$2:$C$307,MATCH($AP96,cpe!$F$2:$F$307,0)),INDEX(cpe!$C$2:$C$307,MATCH($AP96,cpe!$D$2:$D$307,0))),"#N/D")</f>
        <v>IE Hernando Palacios</v>
      </c>
      <c r="G96" s="25" t="str">
        <f>IFERROR(IF($AO96,INDEX(cpe!$B$2:$B$307,MATCH($AP96,cpe!$F$2:$F$307,0)),INDEX(cpe!$B$2:$B$307,MATCH($AP96,cpe!$D$2:$D$307,0))),"#N/D")</f>
        <v>Barbacoas</v>
      </c>
      <c r="H96" s="26" t="str">
        <f>IF($AO96,"#N/D",IFERROR(INDEX(Olimpiadas!$B$2:$B$61,MATCH($AM96,Olimpiadas!$C$2:$C$61,0)),"#N/D"))</f>
        <v>#N/D</v>
      </c>
      <c r="I96" s="26" t="str">
        <f>IF($AO96,"#N/D",IFERROR(INDEX(Olimpiadas!$A$2:$A$61,MATCH($AM96,Olimpiadas!$C$2:$C$61,0)),"#N/D"))</f>
        <v>#N/D</v>
      </c>
      <c r="J96" s="26" t="str">
        <f>IF($AO96,"#N/D",IFERROR(INDEX(Minculturas!$A$2:$A$48,MATCH($AM96,Minculturas!$C$2:$C$48,0)),"#N/D"))</f>
        <v>#N/D</v>
      </c>
      <c r="K96" s="26" t="str">
        <f>IF($AO96,"#N/D",IFERROR(INDEX(Minculturas!$B$2:$B$48,MATCH($AM96,Minculturas!$C$2:$C$48,0)),"#N/D"))</f>
        <v>#N/D</v>
      </c>
      <c r="L96" s="27">
        <v>1</v>
      </c>
      <c r="M96" s="28">
        <v>0</v>
      </c>
      <c r="N96" s="28">
        <v>0</v>
      </c>
      <c r="O96" s="28">
        <v>0</v>
      </c>
      <c r="P96" s="28">
        <v>0</v>
      </c>
      <c r="Q96" s="28">
        <v>1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7">
        <f>SUM(Tabla43[[#This Row],[Edificación colapsada]:[Robo]])</f>
        <v>1</v>
      </c>
      <c r="AF96" s="28"/>
      <c r="AG96" s="28"/>
      <c r="AH96" s="28">
        <v>76.099999999999994</v>
      </c>
      <c r="AI96" s="28"/>
      <c r="AJ96" s="28"/>
      <c r="AK96" s="29" t="s">
        <v>114</v>
      </c>
      <c r="AM96" t="str">
        <f t="shared" si="4"/>
        <v>barbacoas</v>
      </c>
      <c r="AN96" t="str">
        <f t="shared" si="5"/>
        <v>narino</v>
      </c>
      <c r="AO96" t="b">
        <f t="shared" si="6"/>
        <v>0</v>
      </c>
      <c r="AP96" t="str">
        <f t="shared" si="7"/>
        <v>barbacoas</v>
      </c>
    </row>
    <row r="97" spans="1:42" ht="25.5" customHeight="1" x14ac:dyDescent="0.25">
      <c r="A97" s="33" t="s">
        <v>875</v>
      </c>
      <c r="B97" s="11" t="s">
        <v>10</v>
      </c>
      <c r="C97" s="34" t="s">
        <v>112</v>
      </c>
      <c r="D97" s="69"/>
      <c r="E97" s="11" t="s">
        <v>876</v>
      </c>
      <c r="F97" s="25" t="str">
        <f>IFERROR(IF($AO97,INDEX(cpe!$C$2:$C$307,MATCH($AP97,cpe!$F$2:$F$307,0)),INDEX(cpe!$C$2:$C$307,MATCH($AP97,cpe!$D$2:$D$307,0))),"#N/D")</f>
        <v>#N/D</v>
      </c>
      <c r="G97" s="25" t="str">
        <f>IFERROR(IF($AO97,INDEX(cpe!$B$2:$B$307,MATCH($AP97,cpe!$F$2:$F$307,0)),INDEX(cpe!$B$2:$B$307,MATCH($AP97,cpe!$D$2:$D$307,0))),"#N/D")</f>
        <v>#N/D</v>
      </c>
      <c r="H97" s="26" t="str">
        <f>IF($AO97,"#N/D",IFERROR(INDEX(Olimpiadas!$B$2:$B$61,MATCH($AM97,Olimpiadas!$C$2:$C$61,0)),"#N/D"))</f>
        <v>#N/D</v>
      </c>
      <c r="I97" s="26" t="str">
        <f>IF($AO97,"#N/D",IFERROR(INDEX(Olimpiadas!$A$2:$A$61,MATCH($AM97,Olimpiadas!$C$2:$C$61,0)),"#N/D"))</f>
        <v>#N/D</v>
      </c>
      <c r="J97" s="26" t="str">
        <f>IF($AO97,"#N/D",IFERROR(INDEX(Minculturas!$A$2:$A$48,MATCH($AM97,Minculturas!$C$2:$C$48,0)),"#N/D"))</f>
        <v>#N/D</v>
      </c>
      <c r="K97" s="26" t="str">
        <f>IF($AO97,"#N/D",IFERROR(INDEX(Minculturas!$B$2:$B$48,MATCH($AM97,Minculturas!$C$2:$C$48,0)),"#N/D"))</f>
        <v>#N/D</v>
      </c>
      <c r="L97" s="27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7">
        <f>SUM(Tabla43[[#This Row],[Edificación colapsada]:[Robo]])</f>
        <v>0</v>
      </c>
      <c r="AF97" s="28"/>
      <c r="AG97" s="28"/>
      <c r="AH97" s="28">
        <v>22.2</v>
      </c>
      <c r="AI97" s="28"/>
      <c r="AJ97" s="28"/>
      <c r="AK97" s="29" t="s">
        <v>657</v>
      </c>
      <c r="AM97" t="str">
        <f t="shared" si="4"/>
        <v>barbosa</v>
      </c>
      <c r="AN97" t="str">
        <f t="shared" si="5"/>
        <v>antioquia</v>
      </c>
      <c r="AO97" t="b">
        <f t="shared" si="6"/>
        <v>0</v>
      </c>
      <c r="AP97" t="str">
        <f t="shared" si="7"/>
        <v>barbosa</v>
      </c>
    </row>
    <row r="98" spans="1:42" ht="25.5" customHeight="1" x14ac:dyDescent="0.25">
      <c r="A98" s="33" t="s">
        <v>151</v>
      </c>
      <c r="B98" s="11" t="s">
        <v>46</v>
      </c>
      <c r="C98" s="34" t="s">
        <v>112</v>
      </c>
      <c r="D98" s="69"/>
      <c r="E98" s="11" t="s">
        <v>152</v>
      </c>
      <c r="F98" s="25" t="str">
        <f>IFERROR(IF($AO98,INDEX(cpe!$C$2:$C$307,MATCH($AP98,cpe!$F$2:$F$307,0)),INDEX(cpe!$C$2:$C$307,MATCH($AP98,cpe!$D$2:$D$307,0))),"#N/D")</f>
        <v>Institucion Educativa Tecnica Maria Inmaculada de Pital de Megua</v>
      </c>
      <c r="G98" s="25" t="str">
        <f>IFERROR(IF($AO98,INDEX(cpe!$B$2:$B$307,MATCH($AP98,cpe!$F$2:$F$307,0)),INDEX(cpe!$B$2:$B$307,MATCH($AP98,cpe!$D$2:$D$307,0))),"#N/D")</f>
        <v>Barrancabermeja</v>
      </c>
      <c r="H98" s="26" t="str">
        <f>IF($AO98,"#N/D",IFERROR(INDEX(Olimpiadas!$B$2:$B$61,MATCH($AM98,Olimpiadas!$C$2:$C$61,0)),"#N/D"))</f>
        <v>#N/D</v>
      </c>
      <c r="I98" s="26" t="str">
        <f>IF($AO98,"#N/D",IFERROR(INDEX(Olimpiadas!$A$2:$A$61,MATCH($AM98,Olimpiadas!$C$2:$C$61,0)),"#N/D"))</f>
        <v>#N/D</v>
      </c>
      <c r="J98" s="26" t="str">
        <f>IF($AO98,"#N/D",IFERROR(INDEX(Minculturas!$A$2:$A$48,MATCH($AM98,Minculturas!$C$2:$C$48,0)),"#N/D"))</f>
        <v>#N/D</v>
      </c>
      <c r="K98" s="26" t="str">
        <f>IF($AO98,"#N/D",IFERROR(INDEX(Minculturas!$B$2:$B$48,MATCH($AM98,Minculturas!$C$2:$C$48,0)),"#N/D"))</f>
        <v>#N/D</v>
      </c>
      <c r="L98" s="27">
        <v>16</v>
      </c>
      <c r="M98" s="28">
        <v>0</v>
      </c>
      <c r="N98" s="28">
        <v>2</v>
      </c>
      <c r="O98" s="28">
        <v>5</v>
      </c>
      <c r="P98" s="28">
        <v>1</v>
      </c>
      <c r="Q98" s="28">
        <v>8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7">
        <f>SUM(Tabla43[[#This Row],[Edificación colapsada]:[Robo]])</f>
        <v>16</v>
      </c>
      <c r="AF98" s="28"/>
      <c r="AG98" s="28"/>
      <c r="AH98" s="28">
        <v>26.4</v>
      </c>
      <c r="AI98" s="28"/>
      <c r="AJ98" s="28"/>
      <c r="AK98" s="29" t="s">
        <v>114</v>
      </c>
      <c r="AM98" t="str">
        <f t="shared" si="4"/>
        <v>barrancabermeja</v>
      </c>
      <c r="AN98" t="str">
        <f t="shared" si="5"/>
        <v>santander</v>
      </c>
      <c r="AO98" t="b">
        <f t="shared" si="6"/>
        <v>0</v>
      </c>
      <c r="AP98" t="str">
        <f t="shared" si="7"/>
        <v>barrancabermeja</v>
      </c>
    </row>
    <row r="99" spans="1:42" ht="25.5" customHeight="1" x14ac:dyDescent="0.25">
      <c r="A99" s="33" t="s">
        <v>822</v>
      </c>
      <c r="B99" s="11" t="s">
        <v>14</v>
      </c>
      <c r="C99" s="34" t="s">
        <v>112</v>
      </c>
      <c r="D99" s="69"/>
      <c r="E99" s="11" t="s">
        <v>823</v>
      </c>
      <c r="F99" s="25" t="str">
        <f>IFERROR(IF($AO99,INDEX(cpe!$C$2:$C$307,MATCH($AP99,cpe!$F$2:$F$307,0)),INDEX(cpe!$C$2:$C$307,MATCH($AP99,cpe!$D$2:$D$307,0))),"#N/D")</f>
        <v>Institucion Educativa Escuela Normal Superior la Inmaculada</v>
      </c>
      <c r="G99" s="25" t="str">
        <f>IFERROR(IF($AO99,INDEX(cpe!$B$2:$B$307,MATCH($AP99,cpe!$F$2:$F$307,0)),INDEX(cpe!$B$2:$B$307,MATCH($AP99,cpe!$D$2:$D$307,0))),"#N/D")</f>
        <v>Barranquilla</v>
      </c>
      <c r="H99" s="26" t="str">
        <f>IF($AO99,"#N/D",IFERROR(INDEX(Olimpiadas!$B$2:$B$61,MATCH($AM99,Olimpiadas!$C$2:$C$61,0)),"#N/D"))</f>
        <v>Barranquilla</v>
      </c>
      <c r="I99" s="26" t="str">
        <f>IF($AO99,"#N/D",IFERROR(INDEX(Olimpiadas!$A$2:$A$61,MATCH($AM99,Olimpiadas!$C$2:$C$61,0)),"#N/D"))</f>
        <v>INSTITUCIÓN EDUCATIVA DISTRITAL TÉCNICA EVELYN ABUCHAIBE DE DAES</v>
      </c>
      <c r="J99" s="26" t="str">
        <f>IF($AO99,"#N/D",IFERROR(INDEX(Minculturas!$A$2:$A$48,MATCH($AM99,Minculturas!$C$2:$C$48,0)),"#N/D"))</f>
        <v>#N/D</v>
      </c>
      <c r="K99" s="26" t="str">
        <f>IF($AO99,"#N/D",IFERROR(INDEX(Minculturas!$B$2:$B$48,MATCH($AM99,Minculturas!$C$2:$C$48,0)),"#N/D"))</f>
        <v>#N/D</v>
      </c>
      <c r="L99" s="27">
        <v>19</v>
      </c>
      <c r="M99" s="28">
        <v>0</v>
      </c>
      <c r="N99" s="28">
        <v>6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12</v>
      </c>
      <c r="X99" s="28">
        <v>1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7">
        <f>SUM(Tabla43[[#This Row],[Edificación colapsada]:[Robo]])</f>
        <v>19</v>
      </c>
      <c r="AF99" s="28"/>
      <c r="AG99" s="28"/>
      <c r="AH99" s="28">
        <v>17.399999999999999</v>
      </c>
      <c r="AI99" s="28"/>
      <c r="AJ99" s="28"/>
      <c r="AK99" s="29" t="s">
        <v>114</v>
      </c>
      <c r="AM99" t="str">
        <f t="shared" si="4"/>
        <v>barranquilla</v>
      </c>
      <c r="AN99" t="str">
        <f t="shared" si="5"/>
        <v>atlantico</v>
      </c>
      <c r="AO99" t="b">
        <f t="shared" si="6"/>
        <v>0</v>
      </c>
      <c r="AP99" t="str">
        <f t="shared" si="7"/>
        <v>barranquilla</v>
      </c>
    </row>
    <row r="100" spans="1:42" ht="25.5" customHeight="1" x14ac:dyDescent="0.25">
      <c r="A100" s="33" t="s">
        <v>877</v>
      </c>
      <c r="B100" s="11" t="s">
        <v>24</v>
      </c>
      <c r="C100" s="34" t="s">
        <v>112</v>
      </c>
      <c r="D100" s="69"/>
      <c r="E100" s="11" t="s">
        <v>878</v>
      </c>
      <c r="F100" s="25" t="str">
        <f>IFERROR(IF($AO100,INDEX(cpe!$C$2:$C$307,MATCH($AP100,cpe!$F$2:$F$307,0)),INDEX(cpe!$C$2:$C$307,MATCH($AP100,cpe!$D$2:$D$307,0))),"#N/D")</f>
        <v>#N/D</v>
      </c>
      <c r="G100" s="25" t="str">
        <f>IFERROR(IF($AO100,INDEX(cpe!$B$2:$B$307,MATCH($AP100,cpe!$F$2:$F$307,0)),INDEX(cpe!$B$2:$B$307,MATCH($AP100,cpe!$D$2:$D$307,0))),"#N/D")</f>
        <v>#N/D</v>
      </c>
      <c r="H100" s="26" t="str">
        <f>IF($AO100,"#N/D",IFERROR(INDEX(Olimpiadas!$B$2:$B$61,MATCH($AM100,Olimpiadas!$C$2:$C$61,0)),"#N/D"))</f>
        <v>#N/D</v>
      </c>
      <c r="I100" s="26" t="str">
        <f>IF($AO100,"#N/D",IFERROR(INDEX(Olimpiadas!$A$2:$A$61,MATCH($AM100,Olimpiadas!$C$2:$C$61,0)),"#N/D"))</f>
        <v>#N/D</v>
      </c>
      <c r="J100" s="26" t="str">
        <f>IF($AO100,"#N/D",IFERROR(INDEX(Minculturas!$A$2:$A$48,MATCH($AM100,Minculturas!$C$2:$C$48,0)),"#N/D"))</f>
        <v>#N/D</v>
      </c>
      <c r="K100" s="26" t="str">
        <f>IF($AO100,"#N/D",IFERROR(INDEX(Minculturas!$B$2:$B$48,MATCH($AM100,Minculturas!$C$2:$C$48,0)),"#N/D"))</f>
        <v>#N/D</v>
      </c>
      <c r="L100" s="27">
        <v>11</v>
      </c>
      <c r="M100" s="28">
        <v>0</v>
      </c>
      <c r="N100" s="28">
        <v>3</v>
      </c>
      <c r="O100" s="28">
        <v>0</v>
      </c>
      <c r="P100" s="28">
        <v>0</v>
      </c>
      <c r="Q100" s="28">
        <v>6</v>
      </c>
      <c r="R100" s="28">
        <v>0</v>
      </c>
      <c r="S100" s="28">
        <v>1</v>
      </c>
      <c r="T100" s="28">
        <v>0</v>
      </c>
      <c r="U100" s="28">
        <v>0</v>
      </c>
      <c r="V100" s="28">
        <v>0</v>
      </c>
      <c r="W100" s="28">
        <v>1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7">
        <f>SUM(Tabla43[[#This Row],[Edificación colapsada]:[Robo]])</f>
        <v>11</v>
      </c>
      <c r="AF100" s="38" t="s">
        <v>879</v>
      </c>
      <c r="AG100" s="38" t="s">
        <v>576</v>
      </c>
      <c r="AH100" s="28">
        <v>41.2</v>
      </c>
      <c r="AI100" s="28"/>
      <c r="AJ100" s="28"/>
      <c r="AK100" s="29" t="s">
        <v>114</v>
      </c>
      <c r="AM100" t="str">
        <f t="shared" si="4"/>
        <v>belalcazar</v>
      </c>
      <c r="AN100" t="str">
        <f t="shared" si="5"/>
        <v>caldas</v>
      </c>
      <c r="AO100" t="b">
        <f t="shared" si="6"/>
        <v>0</v>
      </c>
      <c r="AP100" t="str">
        <f t="shared" si="7"/>
        <v>belalcazar</v>
      </c>
    </row>
    <row r="101" spans="1:42" ht="25.5" customHeight="1" x14ac:dyDescent="0.25">
      <c r="A101" s="33" t="s">
        <v>1105</v>
      </c>
      <c r="B101" s="11" t="s">
        <v>10</v>
      </c>
      <c r="C101" s="34" t="s">
        <v>112</v>
      </c>
      <c r="D101" s="69"/>
      <c r="E101" s="11" t="s">
        <v>1106</v>
      </c>
      <c r="F101" s="25" t="str">
        <f>IFERROR(IF($AO101,INDEX(cpe!$C$2:$C$307,MATCH($AP101,cpe!$F$2:$F$307,0)),INDEX(cpe!$C$2:$C$307,MATCH($AP101,cpe!$D$2:$D$307,0))),"#N/D")</f>
        <v>#N/D</v>
      </c>
      <c r="G101" s="25" t="str">
        <f>IFERROR(IF($AO101,INDEX(cpe!$B$2:$B$307,MATCH($AP101,cpe!$F$2:$F$307,0)),INDEX(cpe!$B$2:$B$307,MATCH($AP101,cpe!$D$2:$D$307,0))),"#N/D")</f>
        <v>#N/D</v>
      </c>
      <c r="H101" s="26" t="str">
        <f>IF($AO101,"#N/D",IFERROR(INDEX(Olimpiadas!$B$2:$B$61,MATCH($AM101,Olimpiadas!$C$2:$C$61,0)),"#N/D"))</f>
        <v>Bello</v>
      </c>
      <c r="I101" s="26" t="str">
        <f>IF($AO101,"#N/D",IFERROR(INDEX(Olimpiadas!$A$2:$A$61,MATCH($AM101,Olimpiadas!$C$2:$C$61,0)),"#N/D"))</f>
        <v>INSTITUCIÓN EDUCATIVA HERNÁN VILLA BAENA</v>
      </c>
      <c r="J101" s="26" t="str">
        <f>IF($AO101,"#N/D",IFERROR(INDEX(Minculturas!$A$2:$A$48,MATCH($AM101,Minculturas!$C$2:$C$48,0)),"#N/D"))</f>
        <v>#N/D</v>
      </c>
      <c r="K101" s="26" t="str">
        <f>IF($AO101,"#N/D",IFERROR(INDEX(Minculturas!$B$2:$B$48,MATCH($AM101,Minculturas!$C$2:$C$48,0)),"#N/D"))</f>
        <v>#N/D</v>
      </c>
      <c r="L101" s="27">
        <v>4</v>
      </c>
      <c r="M101" s="28">
        <v>0</v>
      </c>
      <c r="N101" s="28">
        <v>1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1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7">
        <f>SUM(Tabla43[[#This Row],[Edificación colapsada]:[Robo]])</f>
        <v>4</v>
      </c>
      <c r="AF101" s="28"/>
      <c r="AG101" s="28"/>
      <c r="AH101" s="28">
        <v>14.2</v>
      </c>
      <c r="AI101" s="28"/>
      <c r="AJ101" s="28"/>
      <c r="AK101" s="29" t="s">
        <v>114</v>
      </c>
      <c r="AM101" t="str">
        <f t="shared" si="4"/>
        <v>bello</v>
      </c>
      <c r="AN101" t="str">
        <f t="shared" si="5"/>
        <v>antioquia</v>
      </c>
      <c r="AO101" t="b">
        <f t="shared" si="6"/>
        <v>0</v>
      </c>
      <c r="AP101" t="str">
        <f t="shared" si="7"/>
        <v>bello</v>
      </c>
    </row>
    <row r="102" spans="1:42" ht="25.5" customHeight="1" x14ac:dyDescent="0.25">
      <c r="A102" s="33" t="s">
        <v>880</v>
      </c>
      <c r="B102" s="11" t="s">
        <v>10</v>
      </c>
      <c r="C102" s="34" t="s">
        <v>112</v>
      </c>
      <c r="D102" s="69"/>
      <c r="E102" s="11" t="s">
        <v>881</v>
      </c>
      <c r="F102" s="25" t="str">
        <f>IFERROR(IF($AO102,INDEX(cpe!$C$2:$C$307,MATCH($AP102,cpe!$F$2:$F$307,0)),INDEX(cpe!$C$2:$C$307,MATCH($AP102,cpe!$D$2:$D$307,0))),"#N/D")</f>
        <v>#N/D</v>
      </c>
      <c r="G102" s="25" t="str">
        <f>IFERROR(IF($AO102,INDEX(cpe!$B$2:$B$307,MATCH($AP102,cpe!$F$2:$F$307,0)),INDEX(cpe!$B$2:$B$307,MATCH($AP102,cpe!$D$2:$D$307,0))),"#N/D")</f>
        <v>#N/D</v>
      </c>
      <c r="H102" s="26" t="str">
        <f>IF($AO102,"#N/D",IFERROR(INDEX(Olimpiadas!$B$2:$B$61,MATCH($AM102,Olimpiadas!$C$2:$C$61,0)),"#N/D"))</f>
        <v>#N/D</v>
      </c>
      <c r="I102" s="26" t="str">
        <f>IF($AO102,"#N/D",IFERROR(INDEX(Olimpiadas!$A$2:$A$61,MATCH($AM102,Olimpiadas!$C$2:$C$61,0)),"#N/D"))</f>
        <v>#N/D</v>
      </c>
      <c r="J102" s="26" t="str">
        <f>IF($AO102,"#N/D",IFERROR(INDEX(Minculturas!$A$2:$A$48,MATCH($AM102,Minculturas!$C$2:$C$48,0)),"#N/D"))</f>
        <v>#N/D</v>
      </c>
      <c r="K102" s="26" t="str">
        <f>IF($AO102,"#N/D",IFERROR(INDEX(Minculturas!$B$2:$B$48,MATCH($AM102,Minculturas!$C$2:$C$48,0)),"#N/D"))</f>
        <v>#N/D</v>
      </c>
      <c r="L102" s="27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7">
        <f>SUM(Tabla43[[#This Row],[Edificación colapsada]:[Robo]])</f>
        <v>0</v>
      </c>
      <c r="AF102" s="28"/>
      <c r="AG102" s="28"/>
      <c r="AH102" s="28">
        <v>53.6</v>
      </c>
      <c r="AI102" s="28"/>
      <c r="AJ102" s="28"/>
      <c r="AK102" s="29" t="s">
        <v>365</v>
      </c>
      <c r="AM102" t="str">
        <f t="shared" si="4"/>
        <v>betania</v>
      </c>
      <c r="AN102" t="str">
        <f t="shared" si="5"/>
        <v>antioquia</v>
      </c>
      <c r="AO102" t="b">
        <f t="shared" si="6"/>
        <v>0</v>
      </c>
      <c r="AP102" t="str">
        <f t="shared" si="7"/>
        <v>betania</v>
      </c>
    </row>
    <row r="103" spans="1:42" ht="25.5" customHeight="1" x14ac:dyDescent="0.25">
      <c r="A103" s="33" t="s">
        <v>882</v>
      </c>
      <c r="B103" s="11" t="s">
        <v>10</v>
      </c>
      <c r="C103" s="34" t="s">
        <v>112</v>
      </c>
      <c r="D103" s="69"/>
      <c r="E103" s="11" t="s">
        <v>883</v>
      </c>
      <c r="F103" s="25" t="str">
        <f>IFERROR(IF($AO103,INDEX(cpe!$C$2:$C$307,MATCH($AP103,cpe!$F$2:$F$307,0)),INDEX(cpe!$C$2:$C$307,MATCH($AP103,cpe!$D$2:$D$307,0))),"#N/D")</f>
        <v>#N/D</v>
      </c>
      <c r="G103" s="25" t="str">
        <f>IFERROR(IF($AO103,INDEX(cpe!$B$2:$B$307,MATCH($AP103,cpe!$F$2:$F$307,0)),INDEX(cpe!$B$2:$B$307,MATCH($AP103,cpe!$D$2:$D$307,0))),"#N/D")</f>
        <v>#N/D</v>
      </c>
      <c r="H103" s="26" t="str">
        <f>IF($AO103,"#N/D",IFERROR(INDEX(Olimpiadas!$B$2:$B$61,MATCH($AM103,Olimpiadas!$C$2:$C$61,0)),"#N/D"))</f>
        <v>#N/D</v>
      </c>
      <c r="I103" s="26" t="str">
        <f>IF($AO103,"#N/D",IFERROR(INDEX(Olimpiadas!$A$2:$A$61,MATCH($AM103,Olimpiadas!$C$2:$C$61,0)),"#N/D"))</f>
        <v>#N/D</v>
      </c>
      <c r="J103" s="26" t="str">
        <f>IF($AO103,"#N/D",IFERROR(INDEX(Minculturas!$A$2:$A$48,MATCH($AM103,Minculturas!$C$2:$C$48,0)),"#N/D"))</f>
        <v>#N/D</v>
      </c>
      <c r="K103" s="26" t="str">
        <f>IF($AO103,"#N/D",IFERROR(INDEX(Minculturas!$B$2:$B$48,MATCH($AM103,Minculturas!$C$2:$C$48,0)),"#N/D"))</f>
        <v>#N/D</v>
      </c>
      <c r="L103" s="27">
        <v>1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1</v>
      </c>
      <c r="AA103" s="28">
        <v>0</v>
      </c>
      <c r="AB103" s="28">
        <v>0</v>
      </c>
      <c r="AC103" s="28">
        <v>0</v>
      </c>
      <c r="AD103" s="28">
        <v>0</v>
      </c>
      <c r="AE103" s="27">
        <f>SUM(Tabla43[[#This Row],[Edificación colapsada]:[Robo]])</f>
        <v>1</v>
      </c>
      <c r="AF103" s="28"/>
      <c r="AG103" s="28"/>
      <c r="AH103" s="28">
        <v>53.1</v>
      </c>
      <c r="AI103" s="28"/>
      <c r="AJ103" s="28"/>
      <c r="AK103" s="29" t="s">
        <v>365</v>
      </c>
      <c r="AM103" t="str">
        <f t="shared" si="4"/>
        <v>betulia</v>
      </c>
      <c r="AN103" t="str">
        <f t="shared" si="5"/>
        <v>antioquia</v>
      </c>
      <c r="AO103" t="b">
        <f t="shared" si="6"/>
        <v>0</v>
      </c>
      <c r="AP103" t="str">
        <f t="shared" si="7"/>
        <v>betulia</v>
      </c>
    </row>
    <row r="104" spans="1:42" ht="25.5" customHeight="1" x14ac:dyDescent="0.25">
      <c r="A104" s="33" t="s">
        <v>1038</v>
      </c>
      <c r="B104" s="11" t="s">
        <v>35</v>
      </c>
      <c r="C104" s="34" t="s">
        <v>112</v>
      </c>
      <c r="D104" s="69"/>
      <c r="E104" s="11" t="s">
        <v>1039</v>
      </c>
      <c r="F104" s="25" t="str">
        <f>IFERROR(IF($AO104,INDEX(cpe!$C$2:$C$307,MATCH($AP104,cpe!$F$2:$F$307,0)),INDEX(cpe!$C$2:$C$307,MATCH($AP104,cpe!$D$2:$D$307,0))),"#N/D")</f>
        <v>#N/D</v>
      </c>
      <c r="G104" s="25" t="str">
        <f>IFERROR(IF($AO104,INDEX(cpe!$B$2:$B$307,MATCH($AP104,cpe!$F$2:$F$307,0)),INDEX(cpe!$B$2:$B$307,MATCH($AP104,cpe!$D$2:$D$307,0))),"#N/D")</f>
        <v>#N/D</v>
      </c>
      <c r="H104" s="26" t="str">
        <f>IF($AO104,"#N/D",IFERROR(INDEX(Olimpiadas!$B$2:$B$61,MATCH($AM104,Olimpiadas!$C$2:$C$61,0)),"#N/D"))</f>
        <v>#N/D</v>
      </c>
      <c r="I104" s="26" t="str">
        <f>IF($AO104,"#N/D",IFERROR(INDEX(Olimpiadas!$A$2:$A$61,MATCH($AM104,Olimpiadas!$C$2:$C$61,0)),"#N/D"))</f>
        <v>#N/D</v>
      </c>
      <c r="J104" s="26" t="str">
        <f>IF($AO104,"#N/D",IFERROR(INDEX(Minculturas!$A$2:$A$48,MATCH($AM104,Minculturas!$C$2:$C$48,0)),"#N/D"))</f>
        <v>#N/D</v>
      </c>
      <c r="K104" s="26" t="str">
        <f>IF($AO104,"#N/D",IFERROR(INDEX(Minculturas!$B$2:$B$48,MATCH($AM104,Minculturas!$C$2:$C$48,0)),"#N/D"))</f>
        <v>#N/D</v>
      </c>
      <c r="L104" s="27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7">
        <f>SUM(Tabla43[[#This Row],[Edificación colapsada]:[Robo]])</f>
        <v>0</v>
      </c>
      <c r="AF104" s="28"/>
      <c r="AG104" s="28"/>
      <c r="AH104" s="28">
        <v>29.3</v>
      </c>
      <c r="AI104" s="28"/>
      <c r="AJ104" s="28"/>
      <c r="AK104" s="29" t="s">
        <v>246</v>
      </c>
      <c r="AM104" t="str">
        <f t="shared" si="4"/>
        <v>bituima</v>
      </c>
      <c r="AN104" t="str">
        <f t="shared" si="5"/>
        <v>cundinamarca</v>
      </c>
      <c r="AO104" t="b">
        <f t="shared" si="6"/>
        <v>0</v>
      </c>
      <c r="AP104" t="str">
        <f t="shared" si="7"/>
        <v>bituima</v>
      </c>
    </row>
    <row r="105" spans="1:42" ht="25.5" customHeight="1" x14ac:dyDescent="0.25">
      <c r="A105" s="33" t="s">
        <v>983</v>
      </c>
      <c r="B105" s="11" t="s">
        <v>17</v>
      </c>
      <c r="C105" s="34" t="s">
        <v>112</v>
      </c>
      <c r="D105" s="69"/>
      <c r="E105" s="11" t="s">
        <v>17</v>
      </c>
      <c r="F105" s="25" t="str">
        <f>IFERROR(IF($AO105,INDEX(cpe!$C$2:$C$307,MATCH($AP105,cpe!$F$2:$F$307,0)),INDEX(cpe!$C$2:$C$307,MATCH($AP105,cpe!$D$2:$D$307,0))),"#N/D")</f>
        <v>Institucion Educativa el Cruce de Santa Rosa</v>
      </c>
      <c r="G105" s="25" t="str">
        <f>IFERROR(IF($AO105,INDEX(cpe!$B$2:$B$307,MATCH($AP105,cpe!$F$2:$F$307,0)),INDEX(cpe!$B$2:$B$307,MATCH($AP105,cpe!$D$2:$D$307,0))),"#N/D")</f>
        <v>Bogotá D.C.</v>
      </c>
      <c r="H105" s="26" t="str">
        <f>IF($AO105,"#N/D",IFERROR(INDEX(Olimpiadas!$B$2:$B$61,MATCH($AM105,Olimpiadas!$C$2:$C$61,0)),"#N/D"))</f>
        <v>Bogotá D.C.</v>
      </c>
      <c r="I105" s="26" t="str">
        <f>IF($AO105,"#N/D",IFERROR(INDEX(Olimpiadas!$A$2:$A$61,MATCH($AM105,Olimpiadas!$C$2:$C$61,0)),"#N/D"))</f>
        <v xml:space="preserve">INSTITUCIÓN EDUCATIVA DISTRITAL COLEGIO NUEVA DELHI </v>
      </c>
      <c r="J105" s="26" t="str">
        <f>IF($AO105,"#N/D",IFERROR(INDEX(Minculturas!$A$2:$A$48,MATCH($AM105,Minculturas!$C$2:$C$48,0)),"#N/D"))</f>
        <v>#N/D</v>
      </c>
      <c r="K105" s="26" t="str">
        <f>IF($AO105,"#N/D",IFERROR(INDEX(Minculturas!$B$2:$B$48,MATCH($AM105,Minculturas!$C$2:$C$48,0)),"#N/D"))</f>
        <v>#N/D</v>
      </c>
      <c r="L105" s="27">
        <v>109</v>
      </c>
      <c r="M105" s="28">
        <v>0</v>
      </c>
      <c r="N105" s="28">
        <v>8</v>
      </c>
      <c r="O105" s="28">
        <v>0</v>
      </c>
      <c r="P105" s="28">
        <v>0</v>
      </c>
      <c r="Q105" s="28">
        <v>0</v>
      </c>
      <c r="R105" s="28">
        <v>0</v>
      </c>
      <c r="S105" s="28">
        <v>7</v>
      </c>
      <c r="T105" s="28">
        <v>2</v>
      </c>
      <c r="U105" s="28">
        <v>0</v>
      </c>
      <c r="V105" s="28">
        <v>0</v>
      </c>
      <c r="W105" s="28">
        <v>89</v>
      </c>
      <c r="X105" s="28">
        <v>2</v>
      </c>
      <c r="Y105" s="28">
        <v>0</v>
      </c>
      <c r="Z105" s="28">
        <v>1</v>
      </c>
      <c r="AA105" s="28">
        <v>0</v>
      </c>
      <c r="AB105" s="28">
        <v>0</v>
      </c>
      <c r="AC105" s="28">
        <v>0</v>
      </c>
      <c r="AD105" s="28">
        <v>0</v>
      </c>
      <c r="AE105" s="27">
        <f>SUM(Tabla43[[#This Row],[Edificación colapsada]:[Robo]])</f>
        <v>109</v>
      </c>
      <c r="AF105" s="28"/>
      <c r="AG105" s="28"/>
      <c r="AH105" s="28">
        <v>5.4</v>
      </c>
      <c r="AI105" s="28"/>
      <c r="AJ105" s="28"/>
      <c r="AK105" s="29" t="s">
        <v>114</v>
      </c>
      <c r="AM105" t="str">
        <f t="shared" si="4"/>
        <v>bogota d c</v>
      </c>
      <c r="AN105" t="str">
        <f t="shared" si="5"/>
        <v>bogota d c</v>
      </c>
      <c r="AO105" t="b">
        <f t="shared" si="6"/>
        <v>0</v>
      </c>
      <c r="AP105" t="str">
        <f t="shared" si="7"/>
        <v>bogota d c</v>
      </c>
    </row>
    <row r="106" spans="1:42" ht="25.5" customHeight="1" x14ac:dyDescent="0.25">
      <c r="A106" s="33" t="s">
        <v>1040</v>
      </c>
      <c r="B106" s="11" t="s">
        <v>35</v>
      </c>
      <c r="C106" s="34" t="s">
        <v>112</v>
      </c>
      <c r="D106" s="69"/>
      <c r="E106" s="11" t="s">
        <v>1041</v>
      </c>
      <c r="F106" s="25" t="str">
        <f>IFERROR(IF($AO106,INDEX(cpe!$C$2:$C$307,MATCH($AP106,cpe!$F$2:$F$307,0)),INDEX(cpe!$C$2:$C$307,MATCH($AP106,cpe!$D$2:$D$307,0))),"#N/D")</f>
        <v>#N/D</v>
      </c>
      <c r="G106" s="25" t="str">
        <f>IFERROR(IF($AO106,INDEX(cpe!$B$2:$B$307,MATCH($AP106,cpe!$F$2:$F$307,0)),INDEX(cpe!$B$2:$B$307,MATCH($AP106,cpe!$D$2:$D$307,0))),"#N/D")</f>
        <v>#N/D</v>
      </c>
      <c r="H106" s="26" t="str">
        <f>IF($AO106,"#N/D",IFERROR(INDEX(Olimpiadas!$B$2:$B$61,MATCH($AM106,Olimpiadas!$C$2:$C$61,0)),"#N/D"))</f>
        <v>#N/D</v>
      </c>
      <c r="I106" s="26" t="str">
        <f>IF($AO106,"#N/D",IFERROR(INDEX(Olimpiadas!$A$2:$A$61,MATCH($AM106,Olimpiadas!$C$2:$C$61,0)),"#N/D"))</f>
        <v>#N/D</v>
      </c>
      <c r="J106" s="26" t="str">
        <f>IF($AO106,"#N/D",IFERROR(INDEX(Minculturas!$A$2:$A$48,MATCH($AM106,Minculturas!$C$2:$C$48,0)),"#N/D"))</f>
        <v>#N/D</v>
      </c>
      <c r="K106" s="26" t="str">
        <f>IF($AO106,"#N/D",IFERROR(INDEX(Minculturas!$B$2:$B$48,MATCH($AM106,Minculturas!$C$2:$C$48,0)),"#N/D"))</f>
        <v>#N/D</v>
      </c>
      <c r="L106" s="27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7">
        <f>SUM(Tabla43[[#This Row],[Edificación colapsada]:[Robo]])</f>
        <v>0</v>
      </c>
      <c r="AF106" s="28"/>
      <c r="AG106" s="28"/>
      <c r="AH106" s="28">
        <v>16.8</v>
      </c>
      <c r="AI106" s="28"/>
      <c r="AJ106" s="28"/>
      <c r="AK106" s="29" t="s">
        <v>246</v>
      </c>
      <c r="AM106" t="str">
        <f t="shared" si="4"/>
        <v>bojaca</v>
      </c>
      <c r="AN106" t="str">
        <f t="shared" si="5"/>
        <v>cundinamarca</v>
      </c>
      <c r="AO106" t="b">
        <f t="shared" si="6"/>
        <v>0</v>
      </c>
      <c r="AP106" t="str">
        <f t="shared" si="7"/>
        <v>bojaca</v>
      </c>
    </row>
    <row r="107" spans="1:42" ht="25.5" customHeight="1" x14ac:dyDescent="0.25">
      <c r="A107" s="33" t="s">
        <v>669</v>
      </c>
      <c r="B107" s="11" t="s">
        <v>31</v>
      </c>
      <c r="C107" s="34" t="s">
        <v>112</v>
      </c>
      <c r="D107" s="69"/>
      <c r="E107" s="11" t="s">
        <v>670</v>
      </c>
      <c r="F107" s="25" t="str">
        <f>IFERROR(IF($AO107,INDEX(cpe!$C$2:$C$307,MATCH($AP107,cpe!$F$2:$F$307,0)),INDEX(cpe!$C$2:$C$307,MATCH($AP107,cpe!$D$2:$D$307,0))),"#N/D")</f>
        <v>#N/D</v>
      </c>
      <c r="G107" s="25" t="str">
        <f>IFERROR(IF($AO107,INDEX(cpe!$B$2:$B$307,MATCH($AP107,cpe!$F$2:$F$307,0)),INDEX(cpe!$B$2:$B$307,MATCH($AP107,cpe!$D$2:$D$307,0))),"#N/D")</f>
        <v>#N/D</v>
      </c>
      <c r="H107" s="26" t="str">
        <f>IF($AO107,"#N/D",IFERROR(INDEX(Olimpiadas!$B$2:$B$61,MATCH($AM107,Olimpiadas!$C$2:$C$61,0)),"#N/D"))</f>
        <v>#N/D</v>
      </c>
      <c r="I107" s="26" t="str">
        <f>IF($AO107,"#N/D",IFERROR(INDEX(Olimpiadas!$A$2:$A$61,MATCH($AM107,Olimpiadas!$C$2:$C$61,0)),"#N/D"))</f>
        <v>#N/D</v>
      </c>
      <c r="J107" s="26" t="str">
        <f>IF($AO107,"#N/D",IFERROR(INDEX(Minculturas!$A$2:$A$48,MATCH($AM107,Minculturas!$C$2:$C$48,0)),"#N/D"))</f>
        <v>#N/D</v>
      </c>
      <c r="K107" s="26" t="str">
        <f>IF($AO107,"#N/D",IFERROR(INDEX(Minculturas!$B$2:$B$48,MATCH($AM107,Minculturas!$C$2:$C$48,0)),"#N/D"))</f>
        <v>#N/D</v>
      </c>
      <c r="L107" s="27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7">
        <f>SUM(Tabla43[[#This Row],[Edificación colapsada]:[Robo]])</f>
        <v>0</v>
      </c>
      <c r="AF107" s="28"/>
      <c r="AG107" s="28"/>
      <c r="AH107" s="28">
        <v>77.099999999999994</v>
      </c>
      <c r="AI107" s="28"/>
      <c r="AJ107" s="28"/>
      <c r="AK107" s="29" t="s">
        <v>246</v>
      </c>
      <c r="AM107" t="str">
        <f t="shared" si="4"/>
        <v>bojaya</v>
      </c>
      <c r="AN107" t="str">
        <f t="shared" si="5"/>
        <v>choco</v>
      </c>
      <c r="AO107" t="b">
        <f t="shared" si="6"/>
        <v>0</v>
      </c>
      <c r="AP107" t="str">
        <f t="shared" si="7"/>
        <v>bojaya</v>
      </c>
    </row>
    <row r="108" spans="1:42" ht="25.5" customHeight="1" x14ac:dyDescent="0.25">
      <c r="A108" s="33" t="s">
        <v>1042</v>
      </c>
      <c r="B108" s="11" t="s">
        <v>49</v>
      </c>
      <c r="C108" s="34" t="s">
        <v>112</v>
      </c>
      <c r="D108" s="69"/>
      <c r="E108" s="11" t="s">
        <v>19</v>
      </c>
      <c r="F108" s="25" t="str">
        <f>IFERROR(IF($AO108,INDEX(cpe!$C$2:$C$307,MATCH($AP108,cpe!$F$2:$F$307,0)),INDEX(cpe!$C$2:$C$307,MATCH($AP108,cpe!$D$2:$D$307,0))),"#N/D")</f>
        <v>#N/D</v>
      </c>
      <c r="G108" s="25" t="str">
        <f>IFERROR(IF($AO108,INDEX(cpe!$B$2:$B$307,MATCH($AP108,cpe!$F$2:$F$307,0)),INDEX(cpe!$B$2:$B$307,MATCH($AP108,cpe!$D$2:$D$307,0))),"#N/D")</f>
        <v>#N/D</v>
      </c>
      <c r="H108" s="26" t="str">
        <f>IF($AO108,"#N/D",IFERROR(INDEX(Olimpiadas!$B$2:$B$61,MATCH($AM108,Olimpiadas!$C$2:$C$61,0)),"#N/D"))</f>
        <v>#N/D</v>
      </c>
      <c r="I108" s="26" t="str">
        <f>IF($AO108,"#N/D",IFERROR(INDEX(Olimpiadas!$A$2:$A$61,MATCH($AM108,Olimpiadas!$C$2:$C$61,0)),"#N/D"))</f>
        <v>#N/D</v>
      </c>
      <c r="J108" s="26" t="str">
        <f>IF($AO108,"#N/D",IFERROR(INDEX(Minculturas!$A$2:$A$48,MATCH($AM108,Minculturas!$C$2:$C$48,0)),"#N/D"))</f>
        <v>#N/D</v>
      </c>
      <c r="K108" s="26" t="str">
        <f>IF($AO108,"#N/D",IFERROR(INDEX(Minculturas!$B$2:$B$48,MATCH($AM108,Minculturas!$C$2:$C$48,0)),"#N/D"))</f>
        <v>#N/D</v>
      </c>
      <c r="L108" s="27">
        <v>1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1</v>
      </c>
      <c r="AA108" s="28">
        <v>0</v>
      </c>
      <c r="AB108" s="28">
        <v>0</v>
      </c>
      <c r="AC108" s="28">
        <v>0</v>
      </c>
      <c r="AD108" s="28">
        <v>0</v>
      </c>
      <c r="AE108" s="27">
        <f>SUM(Tabla43[[#This Row],[Edificación colapsada]:[Robo]])</f>
        <v>1</v>
      </c>
      <c r="AF108" s="28" t="s">
        <v>1043</v>
      </c>
      <c r="AG108" s="28" t="s">
        <v>1044</v>
      </c>
      <c r="AH108" s="28">
        <v>51.1</v>
      </c>
      <c r="AI108" s="28"/>
      <c r="AJ108" s="28"/>
      <c r="AK108" s="29" t="s">
        <v>114</v>
      </c>
      <c r="AM108" t="str">
        <f t="shared" si="4"/>
        <v>bolivar</v>
      </c>
      <c r="AN108" t="str">
        <f t="shared" si="5"/>
        <v>valle del cauca</v>
      </c>
      <c r="AO108" t="b">
        <f t="shared" si="6"/>
        <v>1</v>
      </c>
      <c r="AP108" t="str">
        <f t="shared" si="7"/>
        <v>bolivar|valle del cauca</v>
      </c>
    </row>
    <row r="109" spans="1:42" ht="25.5" customHeight="1" x14ac:dyDescent="0.25">
      <c r="A109" s="33" t="s">
        <v>671</v>
      </c>
      <c r="B109" s="11" t="s">
        <v>28</v>
      </c>
      <c r="C109" s="34" t="s">
        <v>112</v>
      </c>
      <c r="D109" s="69"/>
      <c r="E109" s="11" t="s">
        <v>19</v>
      </c>
      <c r="F109" s="25" t="str">
        <f>IFERROR(IF($AO109,INDEX(cpe!$C$2:$C$307,MATCH($AP109,cpe!$F$2:$F$307,0)),INDEX(cpe!$C$2:$C$307,MATCH($AP109,cpe!$D$2:$D$307,0))),"#N/D")</f>
        <v>#N/D</v>
      </c>
      <c r="G109" s="25" t="str">
        <f>IFERROR(IF($AO109,INDEX(cpe!$B$2:$B$307,MATCH($AP109,cpe!$F$2:$F$307,0)),INDEX(cpe!$B$2:$B$307,MATCH($AP109,cpe!$D$2:$D$307,0))),"#N/D")</f>
        <v>#N/D</v>
      </c>
      <c r="H109" s="26" t="str">
        <f>IF($AO109,"#N/D",IFERROR(INDEX(Olimpiadas!$B$2:$B$61,MATCH($AM109,Olimpiadas!$C$2:$C$61,0)),"#N/D"))</f>
        <v>#N/D</v>
      </c>
      <c r="I109" s="26" t="str">
        <f>IF($AO109,"#N/D",IFERROR(INDEX(Olimpiadas!$A$2:$A$61,MATCH($AM109,Olimpiadas!$C$2:$C$61,0)),"#N/D"))</f>
        <v>#N/D</v>
      </c>
      <c r="J109" s="26" t="str">
        <f>IF($AO109,"#N/D",IFERROR(INDEX(Minculturas!$A$2:$A$48,MATCH($AM109,Minculturas!$C$2:$C$48,0)),"#N/D"))</f>
        <v>#N/D</v>
      </c>
      <c r="K109" s="26" t="str">
        <f>IF($AO109,"#N/D",IFERROR(INDEX(Minculturas!$B$2:$B$48,MATCH($AM109,Minculturas!$C$2:$C$48,0)),"#N/D"))</f>
        <v>#N/D</v>
      </c>
      <c r="L109" s="27">
        <v>9</v>
      </c>
      <c r="M109" s="28">
        <v>0</v>
      </c>
      <c r="N109" s="28">
        <v>2</v>
      </c>
      <c r="O109" s="28">
        <v>0</v>
      </c>
      <c r="P109" s="28">
        <v>2</v>
      </c>
      <c r="Q109" s="28">
        <v>1</v>
      </c>
      <c r="R109" s="28">
        <v>0</v>
      </c>
      <c r="S109" s="28">
        <v>1</v>
      </c>
      <c r="T109" s="28">
        <v>1</v>
      </c>
      <c r="U109" s="28">
        <v>0</v>
      </c>
      <c r="V109" s="28">
        <v>0</v>
      </c>
      <c r="W109" s="28">
        <v>1</v>
      </c>
      <c r="X109" s="28">
        <v>0</v>
      </c>
      <c r="Y109" s="28">
        <v>0</v>
      </c>
      <c r="Z109" s="28">
        <v>1</v>
      </c>
      <c r="AA109" s="28">
        <v>0</v>
      </c>
      <c r="AB109" s="28">
        <v>0</v>
      </c>
      <c r="AC109" s="28">
        <v>0</v>
      </c>
      <c r="AD109" s="28">
        <v>0</v>
      </c>
      <c r="AE109" s="27">
        <f>SUM(Tabla43[[#This Row],[Edificación colapsada]:[Robo]])</f>
        <v>9</v>
      </c>
      <c r="AF109" s="28"/>
      <c r="AG109" s="28"/>
      <c r="AH109" s="28">
        <v>29.7</v>
      </c>
      <c r="AI109" s="28"/>
      <c r="AJ109" s="28"/>
      <c r="AK109" s="29" t="s">
        <v>114</v>
      </c>
      <c r="AM109" t="str">
        <f t="shared" si="4"/>
        <v>bolivar</v>
      </c>
      <c r="AN109" t="str">
        <f t="shared" si="5"/>
        <v>cauca</v>
      </c>
      <c r="AO109" t="b">
        <f t="shared" si="6"/>
        <v>1</v>
      </c>
      <c r="AP109" t="str">
        <f t="shared" si="7"/>
        <v>bolivar|cauca</v>
      </c>
    </row>
    <row r="110" spans="1:42" ht="25.5" customHeight="1" x14ac:dyDescent="0.25">
      <c r="A110" s="33" t="s">
        <v>1147</v>
      </c>
      <c r="B110" s="11" t="s">
        <v>29</v>
      </c>
      <c r="C110" s="34" t="s">
        <v>112</v>
      </c>
      <c r="D110" s="69"/>
      <c r="E110" s="11" t="s">
        <v>1148</v>
      </c>
      <c r="F110" s="25" t="str">
        <f>IFERROR(IF($AO110,INDEX(cpe!$C$2:$C$307,MATCH($AP110,cpe!$F$2:$F$307,0)),INDEX(cpe!$C$2:$C$307,MATCH($AP110,cpe!$D$2:$D$307,0))),"#N/D")</f>
        <v>#N/D</v>
      </c>
      <c r="G110" s="25" t="str">
        <f>IFERROR(IF($AO110,INDEX(cpe!$B$2:$B$307,MATCH($AP110,cpe!$F$2:$F$307,0)),INDEX(cpe!$B$2:$B$307,MATCH($AP110,cpe!$D$2:$D$307,0))),"#N/D")</f>
        <v>#N/D</v>
      </c>
      <c r="H110" s="26" t="str">
        <f>IF($AO110,"#N/D",IFERROR(INDEX(Olimpiadas!$B$2:$B$61,MATCH($AM110,Olimpiadas!$C$2:$C$61,0)),"#N/D"))</f>
        <v>#N/D</v>
      </c>
      <c r="I110" s="26" t="str">
        <f>IF($AO110,"#N/D",IFERROR(INDEX(Olimpiadas!$A$2:$A$61,MATCH($AM110,Olimpiadas!$C$2:$C$61,0)),"#N/D"))</f>
        <v>#N/D</v>
      </c>
      <c r="J110" s="26" t="str">
        <f>IF($AO110,"#N/D",IFERROR(INDEX(Minculturas!$A$2:$A$48,MATCH($AM110,Minculturas!$C$2:$C$48,0)),"#N/D"))</f>
        <v>#N/D</v>
      </c>
      <c r="K110" s="26" t="str">
        <f>IF($AO110,"#N/D",IFERROR(INDEX(Minculturas!$B$2:$B$48,MATCH($AM110,Minculturas!$C$2:$C$48,0)),"#N/D"))</f>
        <v>#N/D</v>
      </c>
      <c r="L110" s="27">
        <v>1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1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7">
        <f>SUM(Tabla43[[#This Row],[Edificación colapsada]:[Robo]])</f>
        <v>1</v>
      </c>
      <c r="AF110" s="28"/>
      <c r="AG110" s="28"/>
      <c r="AH110" s="28">
        <v>43.8</v>
      </c>
      <c r="AI110" s="28"/>
      <c r="AJ110" s="28"/>
      <c r="AK110" s="29" t="s">
        <v>114</v>
      </c>
      <c r="AM110" t="str">
        <f t="shared" si="4"/>
        <v>bosconia</v>
      </c>
      <c r="AN110" t="str">
        <f t="shared" si="5"/>
        <v>cesar</v>
      </c>
      <c r="AO110" t="b">
        <f t="shared" si="6"/>
        <v>0</v>
      </c>
      <c r="AP110" t="str">
        <f t="shared" si="7"/>
        <v>bosconia</v>
      </c>
    </row>
    <row r="111" spans="1:42" ht="25.5" customHeight="1" x14ac:dyDescent="0.25">
      <c r="A111" s="33" t="s">
        <v>1181</v>
      </c>
      <c r="B111" s="11" t="s">
        <v>46</v>
      </c>
      <c r="C111" s="34" t="s">
        <v>112</v>
      </c>
      <c r="D111" s="69"/>
      <c r="E111" s="11" t="s">
        <v>1182</v>
      </c>
      <c r="F111" s="25" t="str">
        <f>IFERROR(IF($AO111,INDEX(cpe!$C$2:$C$307,MATCH($AP111,cpe!$F$2:$F$307,0)),INDEX(cpe!$C$2:$C$307,MATCH($AP111,cpe!$D$2:$D$307,0))),"#N/D")</f>
        <v>Institucion Educativa Guaure</v>
      </c>
      <c r="G111" s="25" t="str">
        <f>IFERROR(IF($AO111,INDEX(cpe!$B$2:$B$307,MATCH($AP111,cpe!$F$2:$F$307,0)),INDEX(cpe!$B$2:$B$307,MATCH($AP111,cpe!$D$2:$D$307,0))),"#N/D")</f>
        <v>Bucaramanga</v>
      </c>
      <c r="H111" s="26" t="str">
        <f>IF($AO111,"#N/D",IFERROR(INDEX(Olimpiadas!$B$2:$B$61,MATCH($AM111,Olimpiadas!$C$2:$C$61,0)),"#N/D"))</f>
        <v>Bucaramanga</v>
      </c>
      <c r="I111" s="26" t="str">
        <f>IF($AO111,"#N/D",IFERROR(INDEX(Olimpiadas!$A$2:$A$61,MATCH($AM111,Olimpiadas!$C$2:$C$61,0)),"#N/D"))</f>
        <v>INSTITUCIÓN EDUCATIVA TÉCNICO DÁMASO ZAPATA</v>
      </c>
      <c r="J111" s="26" t="str">
        <f>IF($AO111,"#N/D",IFERROR(INDEX(Minculturas!$A$2:$A$48,MATCH($AM111,Minculturas!$C$2:$C$48,0)),"#N/D"))</f>
        <v>#N/D</v>
      </c>
      <c r="K111" s="26" t="str">
        <f>IF($AO111,"#N/D",IFERROR(INDEX(Minculturas!$B$2:$B$48,MATCH($AM111,Minculturas!$C$2:$C$48,0)),"#N/D"))</f>
        <v>#N/D</v>
      </c>
      <c r="L111" s="27">
        <v>14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14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7">
        <f>SUM(Tabla43[[#This Row],[Edificación colapsada]:[Robo]])</f>
        <v>14</v>
      </c>
      <c r="AF111" s="28"/>
      <c r="AG111" s="28"/>
      <c r="AH111" s="28">
        <v>14.2</v>
      </c>
      <c r="AI111" s="28"/>
      <c r="AJ111" s="28"/>
      <c r="AK111" s="29" t="s">
        <v>114</v>
      </c>
      <c r="AM111" t="str">
        <f t="shared" si="4"/>
        <v>bucaramanga</v>
      </c>
      <c r="AN111" t="str">
        <f t="shared" si="5"/>
        <v>santander</v>
      </c>
      <c r="AO111" t="b">
        <f t="shared" si="6"/>
        <v>0</v>
      </c>
      <c r="AP111" t="str">
        <f t="shared" si="7"/>
        <v>bucaramanga</v>
      </c>
    </row>
    <row r="112" spans="1:42" ht="25.5" customHeight="1" x14ac:dyDescent="0.25">
      <c r="A112" s="33" t="s">
        <v>1109</v>
      </c>
      <c r="B112" s="11" t="s">
        <v>44</v>
      </c>
      <c r="C112" s="34" t="s">
        <v>112</v>
      </c>
      <c r="D112" s="69"/>
      <c r="E112" s="11" t="s">
        <v>1110</v>
      </c>
      <c r="F112" s="25" t="str">
        <f>IFERROR(IF($AO112,INDEX(cpe!$C$2:$C$307,MATCH($AP112,cpe!$F$2:$F$307,0)),INDEX(cpe!$C$2:$C$307,MATCH($AP112,cpe!$D$2:$D$307,0))),"#N/D")</f>
        <v>#N/D</v>
      </c>
      <c r="G112" s="25" t="str">
        <f>IFERROR(IF($AO112,INDEX(cpe!$B$2:$B$307,MATCH($AP112,cpe!$F$2:$F$307,0)),INDEX(cpe!$B$2:$B$307,MATCH($AP112,cpe!$D$2:$D$307,0))),"#N/D")</f>
        <v>#N/D</v>
      </c>
      <c r="H112" s="26" t="str">
        <f>IF($AO112,"#N/D",IFERROR(INDEX(Olimpiadas!$B$2:$B$61,MATCH($AM112,Olimpiadas!$C$2:$C$61,0)),"#N/D"))</f>
        <v>#N/D</v>
      </c>
      <c r="I112" s="26" t="str">
        <f>IF($AO112,"#N/D",IFERROR(INDEX(Olimpiadas!$A$2:$A$61,MATCH($AM112,Olimpiadas!$C$2:$C$61,0)),"#N/D"))</f>
        <v>#N/D</v>
      </c>
      <c r="J112" s="26" t="str">
        <f>IF($AO112,"#N/D",IFERROR(INDEX(Minculturas!$A$2:$A$48,MATCH($AM112,Minculturas!$C$2:$C$48,0)),"#N/D"))</f>
        <v>#N/D</v>
      </c>
      <c r="K112" s="26" t="str">
        <f>IF($AO112,"#N/D",IFERROR(INDEX(Minculturas!$B$2:$B$48,MATCH($AM112,Minculturas!$C$2:$C$48,0)),"#N/D"))</f>
        <v>#N/D</v>
      </c>
      <c r="L112" s="27">
        <v>4</v>
      </c>
      <c r="M112" s="28">
        <v>0</v>
      </c>
      <c r="N112" s="28">
        <v>2</v>
      </c>
      <c r="O112" s="28">
        <v>0</v>
      </c>
      <c r="P112" s="28">
        <v>0</v>
      </c>
      <c r="Q112" s="28">
        <v>0</v>
      </c>
      <c r="R112" s="28">
        <v>0</v>
      </c>
      <c r="S112" s="28">
        <v>1</v>
      </c>
      <c r="T112" s="28">
        <v>0</v>
      </c>
      <c r="U112" s="28">
        <v>0</v>
      </c>
      <c r="V112" s="28">
        <v>0</v>
      </c>
      <c r="W112" s="28">
        <v>1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7">
        <f>SUM(Tabla43[[#This Row],[Edificación colapsada]:[Robo]])</f>
        <v>4</v>
      </c>
      <c r="AF112" s="28" t="s">
        <v>472</v>
      </c>
      <c r="AG112" s="28" t="s">
        <v>1111</v>
      </c>
      <c r="AH112" s="28">
        <v>29</v>
      </c>
      <c r="AI112" s="28"/>
      <c r="AJ112" s="28"/>
      <c r="AK112" s="29" t="s">
        <v>114</v>
      </c>
      <c r="AM112" t="str">
        <f t="shared" si="4"/>
        <v>buenavista</v>
      </c>
      <c r="AN112" t="str">
        <f t="shared" si="5"/>
        <v>quindio</v>
      </c>
      <c r="AO112" t="b">
        <f t="shared" si="6"/>
        <v>0</v>
      </c>
      <c r="AP112" t="str">
        <f t="shared" si="7"/>
        <v>buenavista</v>
      </c>
    </row>
    <row r="113" spans="1:42" ht="25.5" customHeight="1" x14ac:dyDescent="0.25">
      <c r="A113" s="33" t="s">
        <v>672</v>
      </c>
      <c r="B113" s="11" t="s">
        <v>28</v>
      </c>
      <c r="C113" s="34" t="s">
        <v>112</v>
      </c>
      <c r="D113" s="69"/>
      <c r="E113" s="11" t="s">
        <v>673</v>
      </c>
      <c r="F113" s="25" t="str">
        <f>IFERROR(IF($AO113,INDEX(cpe!$C$2:$C$307,MATCH($AP113,cpe!$F$2:$F$307,0)),INDEX(cpe!$C$2:$C$307,MATCH($AP113,cpe!$D$2:$D$307,0))),"#N/D")</f>
        <v>#N/D</v>
      </c>
      <c r="G113" s="25" t="str">
        <f>IFERROR(IF($AO113,INDEX(cpe!$B$2:$B$307,MATCH($AP113,cpe!$F$2:$F$307,0)),INDEX(cpe!$B$2:$B$307,MATCH($AP113,cpe!$D$2:$D$307,0))),"#N/D")</f>
        <v>#N/D</v>
      </c>
      <c r="H113" s="26" t="str">
        <f>IF($AO113,"#N/D",IFERROR(INDEX(Olimpiadas!$B$2:$B$61,MATCH($AM113,Olimpiadas!$C$2:$C$61,0)),"#N/D"))</f>
        <v>#N/D</v>
      </c>
      <c r="I113" s="26" t="str">
        <f>IF($AO113,"#N/D",IFERROR(INDEX(Olimpiadas!$A$2:$A$61,MATCH($AM113,Olimpiadas!$C$2:$C$61,0)),"#N/D"))</f>
        <v>#N/D</v>
      </c>
      <c r="J113" s="26" t="str">
        <f>IF($AO113,"#N/D",IFERROR(INDEX(Minculturas!$A$2:$A$48,MATCH($AM113,Minculturas!$C$2:$C$48,0)),"#N/D"))</f>
        <v>#N/D</v>
      </c>
      <c r="K113" s="26" t="str">
        <f>IF($AO113,"#N/D",IFERROR(INDEX(Minculturas!$B$2:$B$48,MATCH($AM113,Minculturas!$C$2:$C$48,0)),"#N/D"))</f>
        <v>#N/D</v>
      </c>
      <c r="L113" s="27">
        <v>1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1</v>
      </c>
      <c r="AA113" s="28">
        <v>0</v>
      </c>
      <c r="AB113" s="28">
        <v>0</v>
      </c>
      <c r="AC113" s="28">
        <v>0</v>
      </c>
      <c r="AD113" s="28">
        <v>0</v>
      </c>
      <c r="AE113" s="27">
        <f>SUM(Tabla43[[#This Row],[Edificación colapsada]:[Robo]])</f>
        <v>1</v>
      </c>
      <c r="AF113" s="28"/>
      <c r="AG113" s="28"/>
      <c r="AH113" s="28">
        <v>42.5</v>
      </c>
      <c r="AI113" s="28"/>
      <c r="AJ113" s="28"/>
      <c r="AK113" s="29" t="s">
        <v>114</v>
      </c>
      <c r="AM113" t="str">
        <f t="shared" si="4"/>
        <v>buenos aires</v>
      </c>
      <c r="AN113" t="str">
        <f t="shared" si="5"/>
        <v>cauca</v>
      </c>
      <c r="AO113" t="b">
        <f t="shared" si="6"/>
        <v>0</v>
      </c>
      <c r="AP113" t="str">
        <f t="shared" si="7"/>
        <v>buenos aires</v>
      </c>
    </row>
    <row r="114" spans="1:42" ht="25.5" customHeight="1" x14ac:dyDescent="0.25">
      <c r="A114" s="33" t="s">
        <v>1045</v>
      </c>
      <c r="B114" s="11" t="s">
        <v>49</v>
      </c>
      <c r="C114" s="34" t="s">
        <v>112</v>
      </c>
      <c r="D114" s="69"/>
      <c r="E114" s="11" t="s">
        <v>1046</v>
      </c>
      <c r="F114" s="25" t="str">
        <f>IFERROR(IF($AO114,INDEX(cpe!$C$2:$C$307,MATCH($AP114,cpe!$F$2:$F$307,0)),INDEX(cpe!$C$2:$C$307,MATCH($AP114,cpe!$D$2:$D$307,0))),"#N/D")</f>
        <v>#N/D</v>
      </c>
      <c r="G114" s="25" t="str">
        <f>IFERROR(IF($AO114,INDEX(cpe!$B$2:$B$307,MATCH($AP114,cpe!$F$2:$F$307,0)),INDEX(cpe!$B$2:$B$307,MATCH($AP114,cpe!$D$2:$D$307,0))),"#N/D")</f>
        <v>#N/D</v>
      </c>
      <c r="H114" s="26" t="str">
        <f>IF($AO114,"#N/D",IFERROR(INDEX(Olimpiadas!$B$2:$B$61,MATCH($AM114,Olimpiadas!$C$2:$C$61,0)),"#N/D"))</f>
        <v>#N/D</v>
      </c>
      <c r="I114" s="26" t="str">
        <f>IF($AO114,"#N/D",IFERROR(INDEX(Olimpiadas!$A$2:$A$61,MATCH($AM114,Olimpiadas!$C$2:$C$61,0)),"#N/D"))</f>
        <v>#N/D</v>
      </c>
      <c r="J114" s="26" t="str">
        <f>IF($AO114,"#N/D",IFERROR(INDEX(Minculturas!$A$2:$A$48,MATCH($AM114,Minculturas!$C$2:$C$48,0)),"#N/D"))</f>
        <v>#N/D</v>
      </c>
      <c r="K114" s="26" t="str">
        <f>IF($AO114,"#N/D",IFERROR(INDEX(Minculturas!$B$2:$B$48,MATCH($AM114,Minculturas!$C$2:$C$48,0)),"#N/D"))</f>
        <v>#N/D</v>
      </c>
      <c r="L114" s="27">
        <v>7</v>
      </c>
      <c r="M114" s="28">
        <v>0</v>
      </c>
      <c r="N114" s="28">
        <v>2</v>
      </c>
      <c r="O114" s="28">
        <v>1</v>
      </c>
      <c r="P114" s="28">
        <v>1</v>
      </c>
      <c r="Q114" s="28">
        <v>0</v>
      </c>
      <c r="R114" s="28">
        <v>1</v>
      </c>
      <c r="S114" s="28">
        <v>0</v>
      </c>
      <c r="T114" s="28">
        <v>0</v>
      </c>
      <c r="U114" s="28">
        <v>0</v>
      </c>
      <c r="V114" s="28">
        <v>0</v>
      </c>
      <c r="W114" s="28">
        <v>1</v>
      </c>
      <c r="X114" s="28">
        <v>0</v>
      </c>
      <c r="Y114" s="28">
        <v>0</v>
      </c>
      <c r="Z114" s="28">
        <v>1</v>
      </c>
      <c r="AA114" s="28">
        <v>0</v>
      </c>
      <c r="AB114" s="28">
        <v>0</v>
      </c>
      <c r="AC114" s="28">
        <v>0</v>
      </c>
      <c r="AD114" s="28">
        <v>0</v>
      </c>
      <c r="AE114" s="27">
        <f>SUM(Tabla43[[#This Row],[Edificación colapsada]:[Robo]])</f>
        <v>7</v>
      </c>
      <c r="AF114" s="28"/>
      <c r="AG114" s="28"/>
      <c r="AH114" s="28">
        <v>25.8</v>
      </c>
      <c r="AI114" s="28"/>
      <c r="AJ114" s="28"/>
      <c r="AK114" s="29" t="s">
        <v>114</v>
      </c>
      <c r="AM114" t="str">
        <f t="shared" si="4"/>
        <v>bugalagrande</v>
      </c>
      <c r="AN114" t="str">
        <f t="shared" si="5"/>
        <v>valle del cauca</v>
      </c>
      <c r="AO114" t="b">
        <f t="shared" si="6"/>
        <v>0</v>
      </c>
      <c r="AP114" t="str">
        <f t="shared" si="7"/>
        <v>bugalagrande</v>
      </c>
    </row>
    <row r="115" spans="1:42" ht="25.5" customHeight="1" x14ac:dyDescent="0.25">
      <c r="A115" s="33" t="s">
        <v>884</v>
      </c>
      <c r="B115" s="11" t="s">
        <v>10</v>
      </c>
      <c r="C115" s="34" t="s">
        <v>112</v>
      </c>
      <c r="D115" s="69"/>
      <c r="E115" s="11" t="s">
        <v>885</v>
      </c>
      <c r="F115" s="25" t="str">
        <f>IFERROR(IF($AO115,INDEX(cpe!$C$2:$C$307,MATCH($AP115,cpe!$F$2:$F$307,0)),INDEX(cpe!$C$2:$C$307,MATCH($AP115,cpe!$D$2:$D$307,0))),"#N/D")</f>
        <v>#N/D</v>
      </c>
      <c r="G115" s="25" t="str">
        <f>IFERROR(IF($AO115,INDEX(cpe!$B$2:$B$307,MATCH($AP115,cpe!$F$2:$F$307,0)),INDEX(cpe!$B$2:$B$307,MATCH($AP115,cpe!$D$2:$D$307,0))),"#N/D")</f>
        <v>#N/D</v>
      </c>
      <c r="H115" s="26" t="str">
        <f>IF($AO115,"#N/D",IFERROR(INDEX(Olimpiadas!$B$2:$B$61,MATCH($AM115,Olimpiadas!$C$2:$C$61,0)),"#N/D"))</f>
        <v>#N/D</v>
      </c>
      <c r="I115" s="26" t="str">
        <f>IF($AO115,"#N/D",IFERROR(INDEX(Olimpiadas!$A$2:$A$61,MATCH($AM115,Olimpiadas!$C$2:$C$61,0)),"#N/D"))</f>
        <v>#N/D</v>
      </c>
      <c r="J115" s="26" t="str">
        <f>IF($AO115,"#N/D",IFERROR(INDEX(Minculturas!$A$2:$A$48,MATCH($AM115,Minculturas!$C$2:$C$48,0)),"#N/D"))</f>
        <v>#N/D</v>
      </c>
      <c r="K115" s="26" t="str">
        <f>IF($AO115,"#N/D",IFERROR(INDEX(Minculturas!$B$2:$B$48,MATCH($AM115,Minculturas!$C$2:$C$48,0)),"#N/D"))</f>
        <v>#N/D</v>
      </c>
      <c r="L115" s="27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7">
        <f>SUM(Tabla43[[#This Row],[Edificación colapsada]:[Robo]])</f>
        <v>0</v>
      </c>
      <c r="AF115" s="28"/>
      <c r="AG115" s="28"/>
      <c r="AH115" s="28">
        <v>54.6</v>
      </c>
      <c r="AI115" s="28"/>
      <c r="AJ115" s="28"/>
      <c r="AK115" s="29" t="s">
        <v>657</v>
      </c>
      <c r="AM115" t="str">
        <f t="shared" si="4"/>
        <v>caicedo</v>
      </c>
      <c r="AN115" t="str">
        <f t="shared" si="5"/>
        <v>antioquia</v>
      </c>
      <c r="AO115" t="b">
        <f t="shared" si="6"/>
        <v>0</v>
      </c>
      <c r="AP115" t="str">
        <f t="shared" si="7"/>
        <v>caicedo</v>
      </c>
    </row>
    <row r="116" spans="1:42" ht="25.5" customHeight="1" x14ac:dyDescent="0.25">
      <c r="A116" s="33" t="s">
        <v>262</v>
      </c>
      <c r="B116" s="11" t="s">
        <v>49</v>
      </c>
      <c r="C116" s="34" t="s">
        <v>112</v>
      </c>
      <c r="D116" s="69"/>
      <c r="E116" s="11" t="s">
        <v>263</v>
      </c>
      <c r="F116" s="25" t="str">
        <f>IFERROR(IF($AO116,INDEX(cpe!$C$2:$C$307,MATCH($AP116,cpe!$F$2:$F$307,0)),INDEX(cpe!$C$2:$C$307,MATCH($AP116,cpe!$D$2:$D$307,0))),"#N/D")</f>
        <v>#N/D</v>
      </c>
      <c r="G116" s="25" t="str">
        <f>IFERROR(IF($AO116,INDEX(cpe!$B$2:$B$307,MATCH($AP116,cpe!$F$2:$F$307,0)),INDEX(cpe!$B$2:$B$307,MATCH($AP116,cpe!$D$2:$D$307,0))),"#N/D")</f>
        <v>#N/D</v>
      </c>
      <c r="H116" s="26" t="str">
        <f>IF($AO116,"#N/D",IFERROR(INDEX(Olimpiadas!$B$2:$B$61,MATCH($AM116,Olimpiadas!$C$2:$C$61,0)),"#N/D"))</f>
        <v>Caicedonia</v>
      </c>
      <c r="I116" s="42" t="str">
        <f>IF($AO116,"#N/D",IFERROR(INDEX(Olimpiadas!$A$2:$A$61,MATCH($AM116,Olimpiadas!$C$2:$C$61,0)),"#N/D"))</f>
        <v>INSTITUCIÓN EDUCATIVA LA CONSOLITA</v>
      </c>
      <c r="J116" s="42" t="str">
        <f>IF($AO116,"#N/D",IFERROR(INDEX(Minculturas!$A$2:$A$48,MATCH($AM116,Minculturas!$C$2:$C$48,0)),"#N/D"))</f>
        <v>#N/D</v>
      </c>
      <c r="K116" s="42" t="str">
        <f>IF($AO116,"#N/D",IFERROR(INDEX(Minculturas!$B$2:$B$48,MATCH($AM116,Minculturas!$C$2:$C$48,0)),"#N/D"))</f>
        <v>#N/D</v>
      </c>
      <c r="L116" s="27">
        <v>11</v>
      </c>
      <c r="M116" s="28">
        <v>0</v>
      </c>
      <c r="N116" s="28">
        <v>2</v>
      </c>
      <c r="O116" s="28">
        <v>5</v>
      </c>
      <c r="P116" s="28">
        <v>0</v>
      </c>
      <c r="Q116" s="28">
        <v>0</v>
      </c>
      <c r="R116" s="28">
        <v>1</v>
      </c>
      <c r="S116" s="28">
        <v>0</v>
      </c>
      <c r="T116" s="28">
        <v>0</v>
      </c>
      <c r="U116" s="28">
        <v>0</v>
      </c>
      <c r="V116" s="28">
        <v>1</v>
      </c>
      <c r="W116" s="28">
        <v>0</v>
      </c>
      <c r="X116" s="28">
        <v>1</v>
      </c>
      <c r="Y116" s="28">
        <v>0</v>
      </c>
      <c r="Z116" s="28">
        <v>1</v>
      </c>
      <c r="AA116" s="28">
        <v>0</v>
      </c>
      <c r="AB116" s="28">
        <v>0</v>
      </c>
      <c r="AC116" s="28">
        <v>0</v>
      </c>
      <c r="AD116" s="28">
        <v>0</v>
      </c>
      <c r="AE116" s="27">
        <f>SUM(Tabla43[[#This Row],[Edificación colapsada]:[Robo]])</f>
        <v>11</v>
      </c>
      <c r="AF116" s="28" t="s">
        <v>264</v>
      </c>
      <c r="AG116" s="28" t="s">
        <v>265</v>
      </c>
      <c r="AH116" s="28">
        <v>24.6</v>
      </c>
      <c r="AI116" s="28"/>
      <c r="AJ116" s="28"/>
      <c r="AK116" s="29" t="s">
        <v>114</v>
      </c>
      <c r="AM116" t="str">
        <f t="shared" si="4"/>
        <v>caicedonia</v>
      </c>
      <c r="AN116" t="str">
        <f t="shared" si="5"/>
        <v>valle del cauca</v>
      </c>
      <c r="AO116" t="b">
        <f t="shared" si="6"/>
        <v>0</v>
      </c>
      <c r="AP116" t="str">
        <f t="shared" si="7"/>
        <v>caicedonia</v>
      </c>
    </row>
    <row r="117" spans="1:42" ht="25.5" customHeight="1" x14ac:dyDescent="0.25">
      <c r="A117" s="33" t="s">
        <v>137</v>
      </c>
      <c r="B117" s="11" t="s">
        <v>48</v>
      </c>
      <c r="C117" s="34" t="s">
        <v>112</v>
      </c>
      <c r="D117" s="69"/>
      <c r="E117" s="11" t="s">
        <v>138</v>
      </c>
      <c r="F117" s="25" t="str">
        <f>IFERROR(IF($AO117,INDEX(cpe!$C$2:$C$307,MATCH($AP117,cpe!$F$2:$F$307,0)),INDEX(cpe!$C$2:$C$307,MATCH($AP117,cpe!$D$2:$D$307,0))),"#N/D")</f>
        <v>Institucion Educativa Distrital Jose Eusebio Caro Colcaro</v>
      </c>
      <c r="G117" s="25" t="str">
        <f>IFERROR(IF($AO117,INDEX(cpe!$B$2:$B$307,MATCH($AP117,cpe!$F$2:$F$307,0)),INDEX(cpe!$B$2:$B$307,MATCH($AP117,cpe!$D$2:$D$307,0))),"#N/D")</f>
        <v>Cajamarca</v>
      </c>
      <c r="H117" s="26" t="str">
        <f>IF($AO117,"#N/D",IFERROR(INDEX(Olimpiadas!$B$2:$B$61,MATCH($AM117,Olimpiadas!$C$2:$C$61,0)),"#N/D"))</f>
        <v>#N/D</v>
      </c>
      <c r="I117" s="26" t="str">
        <f>IF($AO117,"#N/D",IFERROR(INDEX(Olimpiadas!$A$2:$A$61,MATCH($AM117,Olimpiadas!$C$2:$C$61,0)),"#N/D"))</f>
        <v>#N/D</v>
      </c>
      <c r="J117" s="26" t="str">
        <f>IF($AO117,"#N/D",IFERROR(INDEX(Minculturas!$A$2:$A$48,MATCH($AM117,Minculturas!$C$2:$C$48,0)),"#N/D"))</f>
        <v>#N/D</v>
      </c>
      <c r="K117" s="26" t="str">
        <f>IF($AO117,"#N/D",IFERROR(INDEX(Minculturas!$B$2:$B$48,MATCH($AM117,Minculturas!$C$2:$C$48,0)),"#N/D"))</f>
        <v>#N/D</v>
      </c>
      <c r="L117" s="27">
        <v>7</v>
      </c>
      <c r="M117" s="28">
        <v>0</v>
      </c>
      <c r="N117" s="28">
        <v>0</v>
      </c>
      <c r="O117" s="28">
        <v>1</v>
      </c>
      <c r="P117" s="28">
        <v>0</v>
      </c>
      <c r="Q117" s="28">
        <v>0</v>
      </c>
      <c r="R117" s="28">
        <v>1</v>
      </c>
      <c r="S117" s="28">
        <v>1</v>
      </c>
      <c r="T117" s="28">
        <v>3</v>
      </c>
      <c r="U117" s="28">
        <v>1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7">
        <f>SUM(Tabla43[[#This Row],[Edificación colapsada]:[Robo]])</f>
        <v>7</v>
      </c>
      <c r="AF117" s="28"/>
      <c r="AG117" s="28"/>
      <c r="AH117" s="28">
        <v>36.200000000000003</v>
      </c>
      <c r="AI117" s="28"/>
      <c r="AJ117" s="28"/>
      <c r="AK117" s="29" t="s">
        <v>114</v>
      </c>
      <c r="AM117" t="str">
        <f t="shared" si="4"/>
        <v>cajamarca</v>
      </c>
      <c r="AN117" t="str">
        <f t="shared" si="5"/>
        <v>tolima</v>
      </c>
      <c r="AO117" t="b">
        <f t="shared" si="6"/>
        <v>0</v>
      </c>
      <c r="AP117" t="str">
        <f t="shared" si="7"/>
        <v>cajamarca</v>
      </c>
    </row>
    <row r="118" spans="1:42" ht="25.5" customHeight="1" x14ac:dyDescent="0.25">
      <c r="A118" s="33" t="s">
        <v>409</v>
      </c>
      <c r="B118" s="11" t="s">
        <v>28</v>
      </c>
      <c r="C118" s="34" t="s">
        <v>112</v>
      </c>
      <c r="D118" s="69"/>
      <c r="E118" s="11" t="s">
        <v>410</v>
      </c>
      <c r="F118" s="25" t="str">
        <f>IFERROR(IF($AO118,INDEX(cpe!$C$2:$C$307,MATCH($AP118,cpe!$F$2:$F$307,0)),INDEX(cpe!$C$2:$C$307,MATCH($AP118,cpe!$D$2:$D$307,0))),"#N/D")</f>
        <v>#N/D</v>
      </c>
      <c r="G118" s="25" t="str">
        <f>IFERROR(IF($AO118,INDEX(cpe!$B$2:$B$307,MATCH($AP118,cpe!$F$2:$F$307,0)),INDEX(cpe!$B$2:$B$307,MATCH($AP118,cpe!$D$2:$D$307,0))),"#N/D")</f>
        <v>#N/D</v>
      </c>
      <c r="H118" s="26" t="str">
        <f>IF($AO118,"#N/D",IFERROR(INDEX(Olimpiadas!$B$2:$B$61,MATCH($AM118,Olimpiadas!$C$2:$C$61,0)),"#N/D"))</f>
        <v>#N/D</v>
      </c>
      <c r="I118" s="26" t="str">
        <f>IF($AO118,"#N/D",IFERROR(INDEX(Olimpiadas!$A$2:$A$61,MATCH($AM118,Olimpiadas!$C$2:$C$61,0)),"#N/D"))</f>
        <v>#N/D</v>
      </c>
      <c r="J118" s="26" t="str">
        <f>IF($AO118,"#N/D",IFERROR(INDEX(Minculturas!$A$2:$A$48,MATCH($AM118,Minculturas!$C$2:$C$48,0)),"#N/D"))</f>
        <v>#N/D</v>
      </c>
      <c r="K118" s="26" t="str">
        <f>IF($AO118,"#N/D",IFERROR(INDEX(Minculturas!$B$2:$B$48,MATCH($AM118,Minculturas!$C$2:$C$48,0)),"#N/D"))</f>
        <v>#N/D</v>
      </c>
      <c r="L118" s="27">
        <v>2</v>
      </c>
      <c r="M118" s="28">
        <v>0</v>
      </c>
      <c r="N118" s="28">
        <v>0</v>
      </c>
      <c r="O118" s="28">
        <v>1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1</v>
      </c>
      <c r="AA118" s="28">
        <v>0</v>
      </c>
      <c r="AB118" s="28">
        <v>0</v>
      </c>
      <c r="AC118" s="28">
        <v>0</v>
      </c>
      <c r="AD118" s="28">
        <v>0</v>
      </c>
      <c r="AE118" s="27">
        <f>SUM(Tabla43[[#This Row],[Edificación colapsada]:[Robo]])</f>
        <v>2</v>
      </c>
      <c r="AF118" s="28"/>
      <c r="AG118" s="28"/>
      <c r="AH118" s="28">
        <v>56.9</v>
      </c>
      <c r="AI118" s="28"/>
      <c r="AJ118" s="28"/>
      <c r="AK118" s="29" t="s">
        <v>114</v>
      </c>
      <c r="AM118" t="str">
        <f t="shared" si="4"/>
        <v>cajibio</v>
      </c>
      <c r="AN118" t="str">
        <f t="shared" si="5"/>
        <v>cauca</v>
      </c>
      <c r="AO118" t="b">
        <f t="shared" si="6"/>
        <v>0</v>
      </c>
      <c r="AP118" t="str">
        <f t="shared" si="7"/>
        <v>cajibio</v>
      </c>
    </row>
    <row r="119" spans="1:42" ht="25.5" customHeight="1" x14ac:dyDescent="0.25">
      <c r="A119" s="33" t="s">
        <v>1124</v>
      </c>
      <c r="B119" s="11" t="s">
        <v>35</v>
      </c>
      <c r="C119" s="34" t="s">
        <v>112</v>
      </c>
      <c r="D119" s="69"/>
      <c r="E119" s="11" t="s">
        <v>1125</v>
      </c>
      <c r="F119" s="25" t="str">
        <f>IFERROR(IF($AO119,INDEX(cpe!$C$2:$C$307,MATCH($AP119,cpe!$F$2:$F$307,0)),INDEX(cpe!$C$2:$C$307,MATCH($AP119,cpe!$D$2:$D$307,0))),"#N/D")</f>
        <v>#N/D</v>
      </c>
      <c r="G119" s="25" t="str">
        <f>IFERROR(IF($AO119,INDEX(cpe!$B$2:$B$307,MATCH($AP119,cpe!$F$2:$F$307,0)),INDEX(cpe!$B$2:$B$307,MATCH($AP119,cpe!$D$2:$D$307,0))),"#N/D")</f>
        <v>#N/D</v>
      </c>
      <c r="H119" s="26" t="str">
        <f>IF($AO119,"#N/D",IFERROR(INDEX(Olimpiadas!$B$2:$B$61,MATCH($AM119,Olimpiadas!$C$2:$C$61,0)),"#N/D"))</f>
        <v>#N/D</v>
      </c>
      <c r="I119" s="26" t="str">
        <f>IF($AO119,"#N/D",IFERROR(INDEX(Olimpiadas!$A$2:$A$61,MATCH($AM119,Olimpiadas!$C$2:$C$61,0)),"#N/D"))</f>
        <v>#N/D</v>
      </c>
      <c r="J119" s="26" t="str">
        <f>IF($AO119,"#N/D",IFERROR(INDEX(Minculturas!$A$2:$A$48,MATCH($AM119,Minculturas!$C$2:$C$48,0)),"#N/D"))</f>
        <v>#N/D</v>
      </c>
      <c r="K119" s="26" t="str">
        <f>IF($AO119,"#N/D",IFERROR(INDEX(Minculturas!$B$2:$B$48,MATCH($AM119,Minculturas!$C$2:$C$48,0)),"#N/D"))</f>
        <v>#N/D</v>
      </c>
      <c r="L119" s="27">
        <v>3</v>
      </c>
      <c r="M119" s="28">
        <v>0</v>
      </c>
      <c r="N119" s="28">
        <v>0</v>
      </c>
      <c r="O119" s="28">
        <v>0</v>
      </c>
      <c r="P119" s="28">
        <v>0</v>
      </c>
      <c r="Q119" s="28">
        <v>2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1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7">
        <f>SUM(Tabla43[[#This Row],[Edificación colapsada]:[Robo]])</f>
        <v>3</v>
      </c>
      <c r="AF119" s="28"/>
      <c r="AG119" s="28"/>
      <c r="AH119" s="28">
        <v>6.8</v>
      </c>
      <c r="AI119" s="28"/>
      <c r="AJ119" s="28"/>
      <c r="AK119" s="29" t="s">
        <v>114</v>
      </c>
      <c r="AM119" t="str">
        <f t="shared" si="4"/>
        <v>cajica</v>
      </c>
      <c r="AN119" t="str">
        <f t="shared" si="5"/>
        <v>cundinamarca</v>
      </c>
      <c r="AO119" t="b">
        <f t="shared" si="6"/>
        <v>0</v>
      </c>
      <c r="AP119" t="str">
        <f t="shared" si="7"/>
        <v>cajica</v>
      </c>
    </row>
    <row r="120" spans="1:42" ht="25.5" customHeight="1" x14ac:dyDescent="0.25">
      <c r="A120" s="33" t="s">
        <v>886</v>
      </c>
      <c r="B120" s="11" t="s">
        <v>44</v>
      </c>
      <c r="C120" s="34" t="s">
        <v>112</v>
      </c>
      <c r="D120" s="69"/>
      <c r="E120" s="11" t="s">
        <v>887</v>
      </c>
      <c r="F120" s="25" t="str">
        <f>IFERROR(IF($AO120,INDEX(cpe!$C$2:$C$307,MATCH($AP120,cpe!$F$2:$F$307,0)),INDEX(cpe!$C$2:$C$307,MATCH($AP120,cpe!$D$2:$D$307,0))),"#N/D")</f>
        <v>#N/D</v>
      </c>
      <c r="G120" s="25" t="str">
        <f>IFERROR(IF($AO120,INDEX(cpe!$B$2:$B$307,MATCH($AP120,cpe!$F$2:$F$307,0)),INDEX(cpe!$B$2:$B$307,MATCH($AP120,cpe!$D$2:$D$307,0))),"#N/D")</f>
        <v>#N/D</v>
      </c>
      <c r="H120" s="26" t="str">
        <f>IF($AO120,"#N/D",IFERROR(INDEX(Olimpiadas!$B$2:$B$61,MATCH($AM120,Olimpiadas!$C$2:$C$61,0)),"#N/D"))</f>
        <v>#N/D</v>
      </c>
      <c r="I120" s="26" t="str">
        <f>IF($AO120,"#N/D",IFERROR(INDEX(Olimpiadas!$A$2:$A$61,MATCH($AM120,Olimpiadas!$C$2:$C$61,0)),"#N/D"))</f>
        <v>#N/D</v>
      </c>
      <c r="J120" s="26" t="str">
        <f>IF($AO120,"#N/D",IFERROR(INDEX(Minculturas!$A$2:$A$48,MATCH($AM120,Minculturas!$C$2:$C$48,0)),"#N/D"))</f>
        <v>#N/D</v>
      </c>
      <c r="K120" s="26" t="str">
        <f>IF($AO120,"#N/D",IFERROR(INDEX(Minculturas!$B$2:$B$48,MATCH($AM120,Minculturas!$C$2:$C$48,0)),"#N/D"))</f>
        <v>#N/D</v>
      </c>
      <c r="L120" s="27">
        <v>26</v>
      </c>
      <c r="M120" s="28">
        <v>1</v>
      </c>
      <c r="N120" s="28">
        <v>8</v>
      </c>
      <c r="O120" s="28">
        <v>2</v>
      </c>
      <c r="P120" s="28">
        <v>1</v>
      </c>
      <c r="Q120" s="28">
        <v>1</v>
      </c>
      <c r="R120" s="28">
        <v>1</v>
      </c>
      <c r="S120" s="28">
        <v>4</v>
      </c>
      <c r="T120" s="28">
        <v>2</v>
      </c>
      <c r="U120" s="28">
        <v>0</v>
      </c>
      <c r="V120" s="28">
        <v>1</v>
      </c>
      <c r="W120" s="28">
        <v>1</v>
      </c>
      <c r="X120" s="28">
        <v>0</v>
      </c>
      <c r="Y120" s="28">
        <v>1</v>
      </c>
      <c r="Z120" s="28">
        <v>3</v>
      </c>
      <c r="AA120" s="28">
        <v>0</v>
      </c>
      <c r="AB120" s="28">
        <v>0</v>
      </c>
      <c r="AC120" s="28">
        <v>0</v>
      </c>
      <c r="AD120" s="28">
        <v>0</v>
      </c>
      <c r="AE120" s="27">
        <f>SUM(Tabla43[[#This Row],[Edificación colapsada]:[Robo]])</f>
        <v>26</v>
      </c>
      <c r="AF120" s="28" t="s">
        <v>123</v>
      </c>
      <c r="AG120" s="28" t="s">
        <v>888</v>
      </c>
      <c r="AH120" s="28">
        <v>19.899999999999999</v>
      </c>
      <c r="AI120" s="28"/>
      <c r="AJ120" s="28"/>
      <c r="AK120" s="29" t="s">
        <v>114</v>
      </c>
      <c r="AM120" t="str">
        <f t="shared" si="4"/>
        <v>calarca</v>
      </c>
      <c r="AN120" t="str">
        <f t="shared" si="5"/>
        <v>quindio</v>
      </c>
      <c r="AO120" t="b">
        <f t="shared" si="6"/>
        <v>0</v>
      </c>
      <c r="AP120" t="str">
        <f t="shared" si="7"/>
        <v>calarca</v>
      </c>
    </row>
    <row r="121" spans="1:42" ht="25.5" customHeight="1" x14ac:dyDescent="0.25">
      <c r="A121" s="33" t="s">
        <v>621</v>
      </c>
      <c r="B121" s="11" t="s">
        <v>10</v>
      </c>
      <c r="C121" s="34" t="s">
        <v>112</v>
      </c>
      <c r="D121" s="69"/>
      <c r="E121" s="11" t="s">
        <v>24</v>
      </c>
      <c r="F121" s="25" t="str">
        <f>IFERROR(IF($AO121,INDEX(cpe!$C$2:$C$307,MATCH($AP121,cpe!$F$2:$F$307,0)),INDEX(cpe!$C$2:$C$307,MATCH($AP121,cpe!$D$2:$D$307,0))),"#N/D")</f>
        <v>#N/D</v>
      </c>
      <c r="G121" s="25" t="str">
        <f>IFERROR(IF($AO121,INDEX(cpe!$B$2:$B$307,MATCH($AP121,cpe!$F$2:$F$307,0)),INDEX(cpe!$B$2:$B$307,MATCH($AP121,cpe!$D$2:$D$307,0))),"#N/D")</f>
        <v>#N/D</v>
      </c>
      <c r="H121" s="26" t="str">
        <f>IF($AO121,"#N/D",IFERROR(INDEX(Olimpiadas!$B$2:$B$61,MATCH($AM121,Olimpiadas!$C$2:$C$61,0)),"#N/D"))</f>
        <v>#N/D</v>
      </c>
      <c r="I121" s="26" t="str">
        <f>IF($AO121,"#N/D",IFERROR(INDEX(Olimpiadas!$A$2:$A$61,MATCH($AM121,Olimpiadas!$C$2:$C$61,0)),"#N/D"))</f>
        <v>#N/D</v>
      </c>
      <c r="J121" s="26" t="str">
        <f>IF($AO121,"#N/D",IFERROR(INDEX(Minculturas!$A$2:$A$48,MATCH($AM121,Minculturas!$C$2:$C$48,0)),"#N/D"))</f>
        <v>#N/D</v>
      </c>
      <c r="K121" s="26" t="str">
        <f>IF($AO121,"#N/D",IFERROR(INDEX(Minculturas!$B$2:$B$48,MATCH($AM121,Minculturas!$C$2:$C$48,0)),"#N/D"))</f>
        <v>#N/D</v>
      </c>
      <c r="L121" s="27">
        <v>1</v>
      </c>
      <c r="M121" s="28">
        <v>0</v>
      </c>
      <c r="N121" s="28">
        <v>0</v>
      </c>
      <c r="O121" s="28">
        <v>0</v>
      </c>
      <c r="P121" s="28">
        <v>1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7">
        <f>SUM(Tabla43[[#This Row],[Edificación colapsada]:[Robo]])</f>
        <v>1</v>
      </c>
      <c r="AF121" s="28"/>
      <c r="AG121" s="28"/>
      <c r="AH121" s="28">
        <v>16</v>
      </c>
      <c r="AI121" s="28"/>
      <c r="AJ121" s="28"/>
      <c r="AK121" s="29" t="s">
        <v>114</v>
      </c>
      <c r="AM121" t="str">
        <f t="shared" si="4"/>
        <v>caldas</v>
      </c>
      <c r="AN121" t="str">
        <f t="shared" si="5"/>
        <v>antioquia</v>
      </c>
      <c r="AO121" t="b">
        <f t="shared" si="6"/>
        <v>0</v>
      </c>
      <c r="AP121" t="str">
        <f t="shared" si="7"/>
        <v>caldas</v>
      </c>
    </row>
    <row r="122" spans="1:42" ht="25.5" customHeight="1" x14ac:dyDescent="0.25">
      <c r="A122" s="33" t="s">
        <v>411</v>
      </c>
      <c r="B122" s="11" t="s">
        <v>28</v>
      </c>
      <c r="C122" s="34" t="s">
        <v>112</v>
      </c>
      <c r="D122" s="69"/>
      <c r="E122" s="11" t="s">
        <v>412</v>
      </c>
      <c r="F122" s="25" t="str">
        <f>IFERROR(IF($AO122,INDEX(cpe!$C$2:$C$307,MATCH($AP122,cpe!$F$2:$F$307,0)),INDEX(cpe!$C$2:$C$307,MATCH($AP122,cpe!$D$2:$D$307,0))),"#N/D")</f>
        <v>#N/D</v>
      </c>
      <c r="G122" s="25" t="str">
        <f>IFERROR(IF($AO122,INDEX(cpe!$B$2:$B$307,MATCH($AP122,cpe!$F$2:$F$307,0)),INDEX(cpe!$B$2:$B$307,MATCH($AP122,cpe!$D$2:$D$307,0))),"#N/D")</f>
        <v>#N/D</v>
      </c>
      <c r="H122" s="26" t="str">
        <f>IF($AO122,"#N/D",IFERROR(INDEX(Olimpiadas!$B$2:$B$61,MATCH($AM122,Olimpiadas!$C$2:$C$61,0)),"#N/D"))</f>
        <v>#N/D</v>
      </c>
      <c r="I122" s="26" t="str">
        <f>IF($AO122,"#N/D",IFERROR(INDEX(Olimpiadas!$A$2:$A$61,MATCH($AM122,Olimpiadas!$C$2:$C$61,0)),"#N/D"))</f>
        <v>#N/D</v>
      </c>
      <c r="J122" s="26" t="str">
        <f>IF($AO122,"#N/D",IFERROR(INDEX(Minculturas!$A$2:$A$48,MATCH($AM122,Minculturas!$C$2:$C$48,0)),"#N/D"))</f>
        <v>#N/D</v>
      </c>
      <c r="K122" s="26" t="str">
        <f>IF($AO122,"#N/D",IFERROR(INDEX(Minculturas!$B$2:$B$48,MATCH($AM122,Minculturas!$C$2:$C$48,0)),"#N/D"))</f>
        <v>#N/D</v>
      </c>
      <c r="L122" s="27">
        <v>1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1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7">
        <f>SUM(Tabla43[[#This Row],[Edificación colapsada]:[Robo]])</f>
        <v>1</v>
      </c>
      <c r="AF122" s="28"/>
      <c r="AG122" s="28"/>
      <c r="AH122" s="28">
        <v>56</v>
      </c>
      <c r="AI122" s="28"/>
      <c r="AJ122" s="28"/>
      <c r="AK122" s="29" t="s">
        <v>114</v>
      </c>
      <c r="AM122" t="str">
        <f t="shared" si="4"/>
        <v>caldono</v>
      </c>
      <c r="AN122" t="str">
        <f t="shared" si="5"/>
        <v>cauca</v>
      </c>
      <c r="AO122" t="b">
        <f t="shared" si="6"/>
        <v>0</v>
      </c>
      <c r="AP122" t="str">
        <f t="shared" si="7"/>
        <v>caldono</v>
      </c>
    </row>
    <row r="123" spans="1:42" ht="25.5" customHeight="1" x14ac:dyDescent="0.25">
      <c r="A123" s="33" t="s">
        <v>674</v>
      </c>
      <c r="B123" s="11" t="s">
        <v>28</v>
      </c>
      <c r="C123" s="34" t="s">
        <v>112</v>
      </c>
      <c r="D123" s="69"/>
      <c r="E123" s="11" t="s">
        <v>675</v>
      </c>
      <c r="F123" s="25" t="str">
        <f>IFERROR(IF($AO123,INDEX(cpe!$C$2:$C$307,MATCH($AP123,cpe!$F$2:$F$307,0)),INDEX(cpe!$C$2:$C$307,MATCH($AP123,cpe!$D$2:$D$307,0))),"#N/D")</f>
        <v>#N/D</v>
      </c>
      <c r="G123" s="25" t="str">
        <f>IFERROR(IF($AO123,INDEX(cpe!$B$2:$B$307,MATCH($AP123,cpe!$F$2:$F$307,0)),INDEX(cpe!$B$2:$B$307,MATCH($AP123,cpe!$D$2:$D$307,0))),"#N/D")</f>
        <v>#N/D</v>
      </c>
      <c r="H123" s="26" t="str">
        <f>IF($AO123,"#N/D",IFERROR(INDEX(Olimpiadas!$B$2:$B$61,MATCH($AM123,Olimpiadas!$C$2:$C$61,0)),"#N/D"))</f>
        <v>#N/D</v>
      </c>
      <c r="I123" s="26" t="str">
        <f>IF($AO123,"#N/D",IFERROR(INDEX(Olimpiadas!$A$2:$A$61,MATCH($AM123,Olimpiadas!$C$2:$C$61,0)),"#N/D"))</f>
        <v>#N/D</v>
      </c>
      <c r="J123" s="26" t="str">
        <f>IF($AO123,"#N/D",IFERROR(INDEX(Minculturas!$A$2:$A$48,MATCH($AM123,Minculturas!$C$2:$C$48,0)),"#N/D"))</f>
        <v>#N/D</v>
      </c>
      <c r="K123" s="26" t="str">
        <f>IF($AO123,"#N/D",IFERROR(INDEX(Minculturas!$B$2:$B$48,MATCH($AM123,Minculturas!$C$2:$C$48,0)),"#N/D"))</f>
        <v>#N/D</v>
      </c>
      <c r="L123" s="27">
        <v>1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1</v>
      </c>
      <c r="AA123" s="28">
        <v>0</v>
      </c>
      <c r="AB123" s="28">
        <v>0</v>
      </c>
      <c r="AC123" s="28">
        <v>0</v>
      </c>
      <c r="AD123" s="28">
        <v>0</v>
      </c>
      <c r="AE123" s="27">
        <f>SUM(Tabla43[[#This Row],[Edificación colapsada]:[Robo]])</f>
        <v>1</v>
      </c>
      <c r="AF123" s="28"/>
      <c r="AG123" s="28"/>
      <c r="AH123" s="28">
        <v>37.4</v>
      </c>
      <c r="AI123" s="28"/>
      <c r="AJ123" s="28"/>
      <c r="AK123" s="29" t="s">
        <v>114</v>
      </c>
      <c r="AM123" t="str">
        <f t="shared" si="4"/>
        <v>caloto</v>
      </c>
      <c r="AN123" t="str">
        <f t="shared" si="5"/>
        <v>cauca</v>
      </c>
      <c r="AO123" t="b">
        <f t="shared" si="6"/>
        <v>0</v>
      </c>
      <c r="AP123" t="str">
        <f t="shared" si="7"/>
        <v>caloto</v>
      </c>
    </row>
    <row r="124" spans="1:42" ht="25.5" customHeight="1" x14ac:dyDescent="0.25">
      <c r="A124" s="33" t="s">
        <v>889</v>
      </c>
      <c r="B124" s="11" t="s">
        <v>10</v>
      </c>
      <c r="C124" s="34" t="s">
        <v>112</v>
      </c>
      <c r="D124" s="69"/>
      <c r="E124" s="11" t="s">
        <v>890</v>
      </c>
      <c r="F124" s="25" t="str">
        <f>IFERROR(IF($AO124,INDEX(cpe!$C$2:$C$307,MATCH($AP124,cpe!$F$2:$F$307,0)),INDEX(cpe!$C$2:$C$307,MATCH($AP124,cpe!$D$2:$D$307,0))),"#N/D")</f>
        <v>#N/D</v>
      </c>
      <c r="G124" s="25" t="str">
        <f>IFERROR(IF($AO124,INDEX(cpe!$B$2:$B$307,MATCH($AP124,cpe!$F$2:$F$307,0)),INDEX(cpe!$B$2:$B$307,MATCH($AP124,cpe!$D$2:$D$307,0))),"#N/D")</f>
        <v>#N/D</v>
      </c>
      <c r="H124" s="26" t="str">
        <f>IF($AO124,"#N/D",IFERROR(INDEX(Olimpiadas!$B$2:$B$61,MATCH($AM124,Olimpiadas!$C$2:$C$61,0)),"#N/D"))</f>
        <v>#N/D</v>
      </c>
      <c r="I124" s="26" t="str">
        <f>IF($AO124,"#N/D",IFERROR(INDEX(Olimpiadas!$A$2:$A$61,MATCH($AM124,Olimpiadas!$C$2:$C$61,0)),"#N/D"))</f>
        <v>#N/D</v>
      </c>
      <c r="J124" s="26" t="str">
        <f>IF($AO124,"#N/D",IFERROR(INDEX(Minculturas!$A$2:$A$48,MATCH($AM124,Minculturas!$C$2:$C$48,0)),"#N/D"))</f>
        <v>#N/D</v>
      </c>
      <c r="K124" s="26" t="str">
        <f>IF($AO124,"#N/D",IFERROR(INDEX(Minculturas!$B$2:$B$48,MATCH($AM124,Minculturas!$C$2:$C$48,0)),"#N/D"))</f>
        <v>#N/D</v>
      </c>
      <c r="L124" s="27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7">
        <f>SUM(Tabla43[[#This Row],[Edificación colapsada]:[Robo]])</f>
        <v>0</v>
      </c>
      <c r="AF124" s="28"/>
      <c r="AG124" s="45"/>
      <c r="AH124" s="28">
        <v>59.3</v>
      </c>
      <c r="AI124" s="28"/>
      <c r="AJ124" s="28"/>
      <c r="AK124" s="29" t="s">
        <v>365</v>
      </c>
      <c r="AM124" t="str">
        <f t="shared" si="4"/>
        <v>campamento</v>
      </c>
      <c r="AN124" t="str">
        <f t="shared" si="5"/>
        <v>antioquia</v>
      </c>
      <c r="AO124" t="b">
        <f t="shared" si="6"/>
        <v>0</v>
      </c>
      <c r="AP124" t="str">
        <f t="shared" si="7"/>
        <v>campamento</v>
      </c>
    </row>
    <row r="125" spans="1:42" ht="25.5" customHeight="1" x14ac:dyDescent="0.25">
      <c r="A125" s="33" t="s">
        <v>330</v>
      </c>
      <c r="B125" s="11" t="s">
        <v>37</v>
      </c>
      <c r="C125" s="34" t="s">
        <v>112</v>
      </c>
      <c r="D125" s="69"/>
      <c r="E125" s="11" t="s">
        <v>331</v>
      </c>
      <c r="F125" s="25" t="str">
        <f>IFERROR(IF($AO125,INDEX(cpe!$C$2:$C$307,MATCH($AP125,cpe!$F$2:$F$307,0)),INDEX(cpe!$C$2:$C$307,MATCH($AP125,cpe!$D$2:$D$307,0))),"#N/D")</f>
        <v>#N/D</v>
      </c>
      <c r="G125" s="25" t="str">
        <f>IFERROR(IF($AO125,INDEX(cpe!$B$2:$B$307,MATCH($AP125,cpe!$F$2:$F$307,0)),INDEX(cpe!$B$2:$B$307,MATCH($AP125,cpe!$D$2:$D$307,0))),"#N/D")</f>
        <v>#N/D</v>
      </c>
      <c r="H125" s="26" t="str">
        <f>IF($AO125,"#N/D",IFERROR(INDEX(Olimpiadas!$B$2:$B$61,MATCH($AM125,Olimpiadas!$C$2:$C$61,0)),"#N/D"))</f>
        <v>#N/D</v>
      </c>
      <c r="I125" s="26" t="str">
        <f>IF($AO125,"#N/D",IFERROR(INDEX(Olimpiadas!$A$2:$A$61,MATCH($AM125,Olimpiadas!$C$2:$C$61,0)),"#N/D"))</f>
        <v>#N/D</v>
      </c>
      <c r="J125" s="26" t="str">
        <f>IF($AO125,"#N/D",IFERROR(INDEX(Minculturas!$A$2:$A$48,MATCH($AM125,Minculturas!$C$2:$C$48,0)),"#N/D"))</f>
        <v>#N/D</v>
      </c>
      <c r="K125" s="26" t="str">
        <f>IF($AO125,"#N/D",IFERROR(INDEX(Minculturas!$B$2:$B$48,MATCH($AM125,Minculturas!$C$2:$C$48,0)),"#N/D"))</f>
        <v>#N/D</v>
      </c>
      <c r="L125" s="27">
        <v>3</v>
      </c>
      <c r="M125" s="28">
        <v>0</v>
      </c>
      <c r="N125" s="28">
        <v>1</v>
      </c>
      <c r="O125" s="28">
        <v>0</v>
      </c>
      <c r="P125" s="28">
        <v>0</v>
      </c>
      <c r="Q125" s="28">
        <v>2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7">
        <f>SUM(Tabla43[[#This Row],[Edificación colapsada]:[Robo]])</f>
        <v>3</v>
      </c>
      <c r="AF125" s="28"/>
      <c r="AG125" s="28"/>
      <c r="AH125" s="28">
        <v>31.1</v>
      </c>
      <c r="AI125" s="28"/>
      <c r="AJ125" s="28"/>
      <c r="AK125" s="29" t="s">
        <v>114</v>
      </c>
      <c r="AM125" t="str">
        <f t="shared" si="4"/>
        <v>campoalegre</v>
      </c>
      <c r="AN125" t="str">
        <f t="shared" si="5"/>
        <v>huila</v>
      </c>
      <c r="AO125" t="b">
        <f t="shared" si="6"/>
        <v>0</v>
      </c>
      <c r="AP125" t="str">
        <f t="shared" si="7"/>
        <v>campoalegre</v>
      </c>
    </row>
    <row r="126" spans="1:42" ht="25.5" customHeight="1" x14ac:dyDescent="0.25">
      <c r="A126" s="33" t="s">
        <v>462</v>
      </c>
      <c r="B126" s="11" t="s">
        <v>49</v>
      </c>
      <c r="C126" s="34" t="s">
        <v>112</v>
      </c>
      <c r="D126" s="69"/>
      <c r="E126" s="11" t="s">
        <v>463</v>
      </c>
      <c r="F126" s="25" t="str">
        <f>IFERROR(IF($AO126,INDEX(cpe!$C$2:$C$307,MATCH($AP126,cpe!$F$2:$F$307,0)),INDEX(cpe!$C$2:$C$307,MATCH($AP126,cpe!$D$2:$D$307,0))),"#N/D")</f>
        <v>Institucion Educativa Versalles</v>
      </c>
      <c r="G126" s="25" t="str">
        <f>IFERROR(IF($AO126,INDEX(cpe!$B$2:$B$307,MATCH($AP126,cpe!$F$2:$F$307,0)),INDEX(cpe!$B$2:$B$307,MATCH($AP126,cpe!$D$2:$D$307,0))),"#N/D")</f>
        <v>Candelaria</v>
      </c>
      <c r="H126" s="26" t="str">
        <f>IF($AO126,"#N/D",IFERROR(INDEX(Olimpiadas!$B$2:$B$61,MATCH($AM126,Olimpiadas!$C$2:$C$61,0)),"#N/D"))</f>
        <v>#N/D</v>
      </c>
      <c r="I126" s="26" t="str">
        <f>IF($AO126,"#N/D",IFERROR(INDEX(Olimpiadas!$A$2:$A$61,MATCH($AM126,Olimpiadas!$C$2:$C$61,0)),"#N/D"))</f>
        <v>#N/D</v>
      </c>
      <c r="J126" s="26" t="str">
        <f>IF($AO126,"#N/D",IFERROR(INDEX(Minculturas!$A$2:$A$48,MATCH($AM126,Minculturas!$C$2:$C$48,0)),"#N/D"))</f>
        <v>#N/D</v>
      </c>
      <c r="K126" s="26" t="str">
        <f>IF($AO126,"#N/D",IFERROR(INDEX(Minculturas!$B$2:$B$48,MATCH($AM126,Minculturas!$C$2:$C$48,0)),"#N/D"))</f>
        <v>#N/D</v>
      </c>
      <c r="L126" s="27">
        <v>2</v>
      </c>
      <c r="M126" s="28">
        <v>0</v>
      </c>
      <c r="N126" s="28">
        <v>1</v>
      </c>
      <c r="O126" s="28">
        <v>1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7">
        <f>SUM(Tabla43[[#This Row],[Edificación colapsada]:[Robo]])</f>
        <v>2</v>
      </c>
      <c r="AF126" s="28" t="s">
        <v>464</v>
      </c>
      <c r="AG126" s="28" t="s">
        <v>465</v>
      </c>
      <c r="AH126" s="28">
        <v>15.5</v>
      </c>
      <c r="AI126" s="28"/>
      <c r="AJ126" s="28"/>
      <c r="AK126" s="29" t="s">
        <v>246</v>
      </c>
      <c r="AM126" t="str">
        <f t="shared" si="4"/>
        <v>candelaria</v>
      </c>
      <c r="AN126" t="str">
        <f t="shared" si="5"/>
        <v>valle del cauca</v>
      </c>
      <c r="AO126" t="b">
        <f t="shared" si="6"/>
        <v>0</v>
      </c>
      <c r="AP126" t="str">
        <f t="shared" si="7"/>
        <v>candelaria</v>
      </c>
    </row>
    <row r="127" spans="1:42" ht="25.5" customHeight="1" x14ac:dyDescent="0.25">
      <c r="A127" s="33" t="s">
        <v>622</v>
      </c>
      <c r="B127" s="11" t="s">
        <v>10</v>
      </c>
      <c r="C127" s="34" t="s">
        <v>112</v>
      </c>
      <c r="D127" s="69"/>
      <c r="E127" s="11" t="s">
        <v>623</v>
      </c>
      <c r="F127" s="25" t="str">
        <f>IFERROR(IF($AO127,INDEX(cpe!$C$2:$C$307,MATCH($AP127,cpe!$F$2:$F$307,0)),INDEX(cpe!$C$2:$C$307,MATCH($AP127,cpe!$D$2:$D$307,0))),"#N/D")</f>
        <v>#N/D</v>
      </c>
      <c r="G127" s="25" t="str">
        <f>IFERROR(IF($AO127,INDEX(cpe!$B$2:$B$307,MATCH($AP127,cpe!$F$2:$F$307,0)),INDEX(cpe!$B$2:$B$307,MATCH($AP127,cpe!$D$2:$D$307,0))),"#N/D")</f>
        <v>#N/D</v>
      </c>
      <c r="H127" s="26" t="str">
        <f>IF($AO127,"#N/D",IFERROR(INDEX(Olimpiadas!$B$2:$B$61,MATCH($AM127,Olimpiadas!$C$2:$C$61,0)),"#N/D"))</f>
        <v>#N/D</v>
      </c>
      <c r="I127" s="26" t="str">
        <f>IF($AO127,"#N/D",IFERROR(INDEX(Olimpiadas!$A$2:$A$61,MATCH($AM127,Olimpiadas!$C$2:$C$61,0)),"#N/D"))</f>
        <v>#N/D</v>
      </c>
      <c r="J127" s="26" t="str">
        <f>IF($AO127,"#N/D",IFERROR(INDEX(Minculturas!$A$2:$A$48,MATCH($AM127,Minculturas!$C$2:$C$48,0)),"#N/D"))</f>
        <v>#N/D</v>
      </c>
      <c r="K127" s="26" t="str">
        <f>IF($AO127,"#N/D",IFERROR(INDEX(Minculturas!$B$2:$B$48,MATCH($AM127,Minculturas!$C$2:$C$48,0)),"#N/D"))</f>
        <v>#N/D</v>
      </c>
      <c r="L127" s="27">
        <v>1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1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7">
        <f>SUM(Tabla43[[#This Row],[Edificación colapsada]:[Robo]])</f>
        <v>1</v>
      </c>
      <c r="AF127" s="28"/>
      <c r="AG127" s="28"/>
      <c r="AH127" s="28">
        <v>45.3</v>
      </c>
      <c r="AI127" s="28"/>
      <c r="AJ127" s="28"/>
      <c r="AK127" s="29" t="s">
        <v>114</v>
      </c>
      <c r="AM127" t="str">
        <f t="shared" si="4"/>
        <v>canasgordas</v>
      </c>
      <c r="AN127" t="str">
        <f t="shared" si="5"/>
        <v>antioquia</v>
      </c>
      <c r="AO127" t="b">
        <f t="shared" si="6"/>
        <v>0</v>
      </c>
      <c r="AP127" t="str">
        <f t="shared" si="7"/>
        <v>canasgordas</v>
      </c>
    </row>
    <row r="128" spans="1:42" ht="25.5" customHeight="1" x14ac:dyDescent="0.25">
      <c r="A128" s="33" t="s">
        <v>891</v>
      </c>
      <c r="B128" s="11" t="s">
        <v>10</v>
      </c>
      <c r="C128" s="34" t="s">
        <v>112</v>
      </c>
      <c r="D128" s="69"/>
      <c r="E128" s="11" t="s">
        <v>892</v>
      </c>
      <c r="F128" s="25" t="str">
        <f>IFERROR(IF($AO128,INDEX(cpe!$C$2:$C$307,MATCH($AP128,cpe!$F$2:$F$307,0)),INDEX(cpe!$C$2:$C$307,MATCH($AP128,cpe!$D$2:$D$307,0))),"#N/D")</f>
        <v>#N/D</v>
      </c>
      <c r="G128" s="25" t="str">
        <f>IFERROR(IF($AO128,INDEX(cpe!$B$2:$B$307,MATCH($AP128,cpe!$F$2:$F$307,0)),INDEX(cpe!$B$2:$B$307,MATCH($AP128,cpe!$D$2:$D$307,0))),"#N/D")</f>
        <v>#N/D</v>
      </c>
      <c r="H128" s="26" t="str">
        <f>IF($AO128,"#N/D",IFERROR(INDEX(Olimpiadas!$B$2:$B$61,MATCH($AM128,Olimpiadas!$C$2:$C$61,0)),"#N/D"))</f>
        <v>#N/D</v>
      </c>
      <c r="I128" s="26" t="str">
        <f>IF($AO128,"#N/D",IFERROR(INDEX(Olimpiadas!$A$2:$A$61,MATCH($AM128,Olimpiadas!$C$2:$C$61,0)),"#N/D"))</f>
        <v>#N/D</v>
      </c>
      <c r="J128" s="26" t="str">
        <f>IF($AO128,"#N/D",IFERROR(INDEX(Minculturas!$A$2:$A$48,MATCH($AM128,Minculturas!$C$2:$C$48,0)),"#N/D"))</f>
        <v>#N/D</v>
      </c>
      <c r="K128" s="26" t="str">
        <f>IF($AO128,"#N/D",IFERROR(INDEX(Minculturas!$B$2:$B$48,MATCH($AM128,Minculturas!$C$2:$C$48,0)),"#N/D"))</f>
        <v>#N/D</v>
      </c>
      <c r="L128" s="27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7">
        <f>SUM(Tabla43[[#This Row],[Edificación colapsada]:[Robo]])</f>
        <v>0</v>
      </c>
      <c r="AF128" s="28"/>
      <c r="AG128" s="28"/>
      <c r="AH128" s="28">
        <v>35.9</v>
      </c>
      <c r="AI128" s="28"/>
      <c r="AJ128" s="28"/>
      <c r="AK128" s="29" t="s">
        <v>365</v>
      </c>
      <c r="AM128" t="str">
        <f t="shared" si="4"/>
        <v>caracoli</v>
      </c>
      <c r="AN128" t="str">
        <f t="shared" si="5"/>
        <v>antioquia</v>
      </c>
      <c r="AO128" t="b">
        <f t="shared" si="6"/>
        <v>0</v>
      </c>
      <c r="AP128" t="str">
        <f t="shared" si="7"/>
        <v>caracoli</v>
      </c>
    </row>
    <row r="129" spans="1:42" ht="25.5" customHeight="1" x14ac:dyDescent="0.25">
      <c r="A129" s="33" t="s">
        <v>359</v>
      </c>
      <c r="B129" s="11" t="s">
        <v>10</v>
      </c>
      <c r="C129" s="34" t="s">
        <v>112</v>
      </c>
      <c r="D129" s="69"/>
      <c r="E129" s="11" t="s">
        <v>360</v>
      </c>
      <c r="F129" s="25" t="str">
        <f>IFERROR(IF($AO129,INDEX(cpe!$C$2:$C$307,MATCH($AP129,cpe!$F$2:$F$307,0)),INDEX(cpe!$C$2:$C$307,MATCH($AP129,cpe!$D$2:$D$307,0))),"#N/D")</f>
        <v>#N/D</v>
      </c>
      <c r="G129" s="25" t="str">
        <f>IFERROR(IF($AO129,INDEX(cpe!$B$2:$B$307,MATCH($AP129,cpe!$F$2:$F$307,0)),INDEX(cpe!$B$2:$B$307,MATCH($AP129,cpe!$D$2:$D$307,0))),"#N/D")</f>
        <v>#N/D</v>
      </c>
      <c r="H129" s="26" t="str">
        <f>IF($AO129,"#N/D",IFERROR(INDEX(Olimpiadas!$B$2:$B$61,MATCH($AM129,Olimpiadas!$C$2:$C$61,0)),"#N/D"))</f>
        <v>#N/D</v>
      </c>
      <c r="I129" s="26" t="str">
        <f>IF($AO129,"#N/D",IFERROR(INDEX(Olimpiadas!$A$2:$A$61,MATCH($AM129,Olimpiadas!$C$2:$C$61,0)),"#N/D"))</f>
        <v>#N/D</v>
      </c>
      <c r="J129" s="26" t="str">
        <f>IF($AO129,"#N/D",IFERROR(INDEX(Minculturas!$A$2:$A$48,MATCH($AM129,Minculturas!$C$2:$C$48,0)),"#N/D"))</f>
        <v>#N/D</v>
      </c>
      <c r="K129" s="26" t="str">
        <f>IF($AO129,"#N/D",IFERROR(INDEX(Minculturas!$B$2:$B$48,MATCH($AM129,Minculturas!$C$2:$C$48,0)),"#N/D"))</f>
        <v>#N/D</v>
      </c>
      <c r="L129" s="27">
        <v>3</v>
      </c>
      <c r="M129" s="28">
        <v>0</v>
      </c>
      <c r="N129" s="28">
        <v>1</v>
      </c>
      <c r="O129" s="28">
        <v>0</v>
      </c>
      <c r="P129" s="28">
        <v>0</v>
      </c>
      <c r="Q129" s="28">
        <v>0</v>
      </c>
      <c r="R129" s="28">
        <v>2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7">
        <f>SUM(Tabla43[[#This Row],[Edificación colapsada]:[Robo]])</f>
        <v>3</v>
      </c>
      <c r="AF129" s="28"/>
      <c r="AG129" s="28"/>
      <c r="AH129" s="28">
        <v>30.5</v>
      </c>
      <c r="AI129" s="28"/>
      <c r="AJ129" s="28"/>
      <c r="AK129" s="29" t="s">
        <v>114</v>
      </c>
      <c r="AM129" t="str">
        <f t="shared" si="4"/>
        <v>caramanta</v>
      </c>
      <c r="AN129" t="str">
        <f t="shared" si="5"/>
        <v>antioquia</v>
      </c>
      <c r="AO129" t="b">
        <f t="shared" si="6"/>
        <v>0</v>
      </c>
      <c r="AP129" t="str">
        <f t="shared" si="7"/>
        <v>caramanta</v>
      </c>
    </row>
    <row r="130" spans="1:42" ht="25.5" customHeight="1" x14ac:dyDescent="0.25">
      <c r="A130" s="33" t="s">
        <v>624</v>
      </c>
      <c r="B130" s="11" t="s">
        <v>10</v>
      </c>
      <c r="C130" s="34" t="s">
        <v>112</v>
      </c>
      <c r="D130" s="69"/>
      <c r="E130" s="11" t="s">
        <v>625</v>
      </c>
      <c r="F130" s="25" t="str">
        <f>IFERROR(IF($AO130,INDEX(cpe!$C$2:$C$307,MATCH($AP130,cpe!$F$2:$F$307,0)),INDEX(cpe!$C$2:$C$307,MATCH($AP130,cpe!$D$2:$D$307,0))),"#N/D")</f>
        <v>#N/D</v>
      </c>
      <c r="G130" s="25" t="str">
        <f>IFERROR(IF($AO130,INDEX(cpe!$B$2:$B$307,MATCH($AP130,cpe!$F$2:$F$307,0)),INDEX(cpe!$B$2:$B$307,MATCH($AP130,cpe!$D$2:$D$307,0))),"#N/D")</f>
        <v>#N/D</v>
      </c>
      <c r="H130" s="26" t="str">
        <f>IF($AO130,"#N/D",IFERROR(INDEX(Olimpiadas!$B$2:$B$61,MATCH($AM130,Olimpiadas!$C$2:$C$61,0)),"#N/D"))</f>
        <v>#N/D</v>
      </c>
      <c r="I130" s="26" t="str">
        <f>IF($AO130,"#N/D",IFERROR(INDEX(Olimpiadas!$A$2:$A$61,MATCH($AM130,Olimpiadas!$C$2:$C$61,0)),"#N/D"))</f>
        <v>#N/D</v>
      </c>
      <c r="J130" s="26" t="str">
        <f>IF($AO130,"#N/D",IFERROR(INDEX(Minculturas!$A$2:$A$48,MATCH($AM130,Minculturas!$C$2:$C$48,0)),"#N/D"))</f>
        <v>#N/D</v>
      </c>
      <c r="K130" s="26" t="str">
        <f>IF($AO130,"#N/D",IFERROR(INDEX(Minculturas!$B$2:$B$48,MATCH($AM130,Minculturas!$C$2:$C$48,0)),"#N/D"))</f>
        <v>#N/D</v>
      </c>
      <c r="L130" s="27">
        <v>1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1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7">
        <f>SUM(Tabla43[[#This Row],[Edificación colapsada]:[Robo]])</f>
        <v>1</v>
      </c>
      <c r="AF130" s="28"/>
      <c r="AG130" s="28"/>
      <c r="AH130" s="28">
        <v>34.4</v>
      </c>
      <c r="AI130" s="28"/>
      <c r="AJ130" s="28"/>
      <c r="AK130" s="29" t="s">
        <v>114</v>
      </c>
      <c r="AM130" t="str">
        <f t="shared" ref="AM130:AM193" si="8">TRIM(SUBSTITUTE(SUBSTITUTE(SUBSTITUTE(SUBSTITUTE(SUBSTITUTE(SUBSTITUTE(SUBSTITUTE(SUBSTITUTE(SUBSTITUTE(LOWER(E130),"á","a"),"é","e"),"í","i"),"ó","o"),"ú","u"),"ñ","n"),"-"," "),","," "),"."," "))</f>
        <v>carepa</v>
      </c>
      <c r="AN130" t="str">
        <f t="shared" ref="AN130:AN193" si="9">TRIM(SUBSTITUTE(SUBSTITUTE(SUBSTITUTE(SUBSTITUTE(SUBSTITUTE(SUBSTITUTE(SUBSTITUTE(SUBSTITUTE(SUBSTITUTE(LOWER(B130),"á","a"),"é","e"),"í","i"),"ó","o"),"ú","u"),"ñ","n"),"-"," "),","," "),"."," "))</f>
        <v>antioquia</v>
      </c>
      <c r="AO130" t="b">
        <f t="shared" ref="AO130:AO193" si="10">COUNTIF($AM$2:$AM$433,AM130)&gt;COUNTIFS($AM$2:$AM$433,AM130,$AN$2:$AN$433,AN130)</f>
        <v>0</v>
      </c>
      <c r="AP130" t="str">
        <f t="shared" ref="AP130:AP193" si="11">IF(AO130,AM130&amp;"|"&amp;AN130,AM130)</f>
        <v>carepa</v>
      </c>
    </row>
    <row r="131" spans="1:42" ht="25.5" customHeight="1" x14ac:dyDescent="0.25">
      <c r="A131" s="33" t="s">
        <v>893</v>
      </c>
      <c r="B131" s="11" t="s">
        <v>10</v>
      </c>
      <c r="C131" s="34" t="s">
        <v>112</v>
      </c>
      <c r="D131" s="69"/>
      <c r="E131" s="11" t="s">
        <v>894</v>
      </c>
      <c r="F131" s="25" t="str">
        <f>IFERROR(IF($AO131,INDEX(cpe!$C$2:$C$307,MATCH($AP131,cpe!$F$2:$F$307,0)),INDEX(cpe!$C$2:$C$307,MATCH($AP131,cpe!$D$2:$D$307,0))),"#N/D")</f>
        <v>#N/D</v>
      </c>
      <c r="G131" s="25" t="str">
        <f>IFERROR(IF($AO131,INDEX(cpe!$B$2:$B$307,MATCH($AP131,cpe!$F$2:$F$307,0)),INDEX(cpe!$B$2:$B$307,MATCH($AP131,cpe!$D$2:$D$307,0))),"#N/D")</f>
        <v>#N/D</v>
      </c>
      <c r="H131" s="26" t="str">
        <f>IF($AO131,"#N/D",IFERROR(INDEX(Olimpiadas!$B$2:$B$61,MATCH($AM131,Olimpiadas!$C$2:$C$61,0)),"#N/D"))</f>
        <v>#N/D</v>
      </c>
      <c r="I131" s="26" t="str">
        <f>IF($AO131,"#N/D",IFERROR(INDEX(Olimpiadas!$A$2:$A$61,MATCH($AM131,Olimpiadas!$C$2:$C$61,0)),"#N/D"))</f>
        <v>#N/D</v>
      </c>
      <c r="J131" s="26" t="str">
        <f>IF($AO131,"#N/D",IFERROR(INDEX(Minculturas!$A$2:$A$48,MATCH($AM131,Minculturas!$C$2:$C$48,0)),"#N/D"))</f>
        <v>#N/D</v>
      </c>
      <c r="K131" s="26" t="str">
        <f>IF($AO131,"#N/D",IFERROR(INDEX(Minculturas!$B$2:$B$48,MATCH($AM131,Minculturas!$C$2:$C$48,0)),"#N/D"))</f>
        <v>#N/D</v>
      </c>
      <c r="L131" s="27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7">
        <f>SUM(Tabla43[[#This Row],[Edificación colapsada]:[Robo]])</f>
        <v>0</v>
      </c>
      <c r="AF131" s="28"/>
      <c r="AG131" s="28"/>
      <c r="AH131" s="28">
        <v>20.399999999999999</v>
      </c>
      <c r="AI131" s="28"/>
      <c r="AJ131" s="28"/>
      <c r="AK131" s="29" t="s">
        <v>657</v>
      </c>
      <c r="AM131" t="str">
        <f t="shared" si="8"/>
        <v>carolina del principe</v>
      </c>
      <c r="AN131" t="str">
        <f t="shared" si="9"/>
        <v>antioquia</v>
      </c>
      <c r="AO131" t="b">
        <f t="shared" si="10"/>
        <v>0</v>
      </c>
      <c r="AP131" t="str">
        <f t="shared" si="11"/>
        <v>carolina del principe</v>
      </c>
    </row>
    <row r="132" spans="1:42" ht="25.5" customHeight="1" x14ac:dyDescent="0.25">
      <c r="A132" s="33" t="s">
        <v>1107</v>
      </c>
      <c r="B132" s="11" t="s">
        <v>19</v>
      </c>
      <c r="C132" s="34" t="s">
        <v>112</v>
      </c>
      <c r="D132" s="69"/>
      <c r="E132" s="11" t="s">
        <v>1108</v>
      </c>
      <c r="F132" s="25" t="str">
        <f>IFERROR(IF($AO132,INDEX(cpe!$C$2:$C$307,MATCH($AP132,cpe!$F$2:$F$307,0)),INDEX(cpe!$C$2:$C$307,MATCH($AP132,cpe!$D$2:$D$307,0))),"#N/D")</f>
        <v>#N/D</v>
      </c>
      <c r="G132" s="25" t="str">
        <f>IFERROR(IF($AO132,INDEX(cpe!$B$2:$B$307,MATCH($AP132,cpe!$F$2:$F$307,0)),INDEX(cpe!$B$2:$B$307,MATCH($AP132,cpe!$D$2:$D$307,0))),"#N/D")</f>
        <v>#N/D</v>
      </c>
      <c r="H132" s="26" t="str">
        <f>IF($AO132,"#N/D",IFERROR(INDEX(Olimpiadas!$B$2:$B$61,MATCH($AM132,Olimpiadas!$C$2:$C$61,0)),"#N/D"))</f>
        <v>Cartagena</v>
      </c>
      <c r="I132" s="26" t="str">
        <f>IF($AO132,"#N/D",IFERROR(INDEX(Olimpiadas!$A$2:$A$61,MATCH($AM132,Olimpiadas!$C$2:$C$61,0)),"#N/D"))</f>
        <v>INSTITUCIÓN EDUCATIVA JUAN JOSÉ NIETO</v>
      </c>
      <c r="J132" s="26" t="str">
        <f>IF($AO132,"#N/D",IFERROR(INDEX(Minculturas!$A$2:$A$48,MATCH($AM132,Minculturas!$C$2:$C$48,0)),"#N/D"))</f>
        <v>#N/D</v>
      </c>
      <c r="K132" s="26" t="str">
        <f>IF($AO132,"#N/D",IFERROR(INDEX(Minculturas!$B$2:$B$48,MATCH($AM132,Minculturas!$C$2:$C$48,0)),"#N/D"))</f>
        <v>#N/D</v>
      </c>
      <c r="L132" s="27">
        <v>13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1</v>
      </c>
      <c r="T132" s="28">
        <v>0</v>
      </c>
      <c r="U132" s="28">
        <v>0</v>
      </c>
      <c r="V132" s="28">
        <v>0</v>
      </c>
      <c r="W132" s="28">
        <v>12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7">
        <f>SUM(Tabla43[[#This Row],[Edificación colapsada]:[Robo]])</f>
        <v>13</v>
      </c>
      <c r="AF132" s="28"/>
      <c r="AG132" s="28"/>
      <c r="AH132" s="28">
        <v>19.899999999999999</v>
      </c>
      <c r="AI132" s="28"/>
      <c r="AJ132" s="28"/>
      <c r="AK132" s="29" t="s">
        <v>114</v>
      </c>
      <c r="AM132" t="str">
        <f t="shared" si="8"/>
        <v>cartagena</v>
      </c>
      <c r="AN132" t="str">
        <f t="shared" si="9"/>
        <v>bolivar</v>
      </c>
      <c r="AO132" t="b">
        <f t="shared" si="10"/>
        <v>0</v>
      </c>
      <c r="AP132" t="str">
        <f t="shared" si="11"/>
        <v>cartagena</v>
      </c>
    </row>
    <row r="133" spans="1:42" ht="25.5" customHeight="1" x14ac:dyDescent="0.25">
      <c r="A133" s="33" t="s">
        <v>550</v>
      </c>
      <c r="B133" s="11" t="s">
        <v>48</v>
      </c>
      <c r="C133" s="34" t="s">
        <v>112</v>
      </c>
      <c r="D133" s="69"/>
      <c r="E133" s="11" t="s">
        <v>551</v>
      </c>
      <c r="F133" s="25" t="str">
        <f>IFERROR(IF($AO133,INDEX(cpe!$C$2:$C$307,MATCH($AP133,cpe!$F$2:$F$307,0)),INDEX(cpe!$C$2:$C$307,MATCH($AP133,cpe!$D$2:$D$307,0))),"#N/D")</f>
        <v>#N/D</v>
      </c>
      <c r="G133" s="25" t="str">
        <f>IFERROR(IF($AO133,INDEX(cpe!$B$2:$B$307,MATCH($AP133,cpe!$F$2:$F$307,0)),INDEX(cpe!$B$2:$B$307,MATCH($AP133,cpe!$D$2:$D$307,0))),"#N/D")</f>
        <v>#N/D</v>
      </c>
      <c r="H133" s="26" t="str">
        <f>IF($AO133,"#N/D",IFERROR(INDEX(Olimpiadas!$B$2:$B$61,MATCH($AM133,Olimpiadas!$C$2:$C$61,0)),"#N/D"))</f>
        <v>#N/D</v>
      </c>
      <c r="I133" s="26" t="str">
        <f>IF($AO133,"#N/D",IFERROR(INDEX(Olimpiadas!$A$2:$A$61,MATCH($AM133,Olimpiadas!$C$2:$C$61,0)),"#N/D"))</f>
        <v>#N/D</v>
      </c>
      <c r="J133" s="26" t="str">
        <f>IF($AO133,"#N/D",IFERROR(INDEX(Minculturas!$A$2:$A$48,MATCH($AM133,Minculturas!$C$2:$C$48,0)),"#N/D"))</f>
        <v>#N/D</v>
      </c>
      <c r="K133" s="26" t="str">
        <f>IF($AO133,"#N/D",IFERROR(INDEX(Minculturas!$B$2:$B$48,MATCH($AM133,Minculturas!$C$2:$C$48,0)),"#N/D"))</f>
        <v>#N/D</v>
      </c>
      <c r="L133" s="27">
        <v>1</v>
      </c>
      <c r="M133" s="28">
        <v>0</v>
      </c>
      <c r="N133" s="28">
        <v>1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7">
        <f>SUM(Tabla43[[#This Row],[Edificación colapsada]:[Robo]])</f>
        <v>1</v>
      </c>
      <c r="AF133" s="28"/>
      <c r="AG133" s="28"/>
      <c r="AH133" s="28">
        <v>43.8</v>
      </c>
      <c r="AI133" s="28"/>
      <c r="AJ133" s="28"/>
      <c r="AK133" s="29" t="s">
        <v>114</v>
      </c>
      <c r="AM133" t="str">
        <f t="shared" si="8"/>
        <v>casabianca</v>
      </c>
      <c r="AN133" t="str">
        <f t="shared" si="9"/>
        <v>tolima</v>
      </c>
      <c r="AO133" t="b">
        <f t="shared" si="10"/>
        <v>0</v>
      </c>
      <c r="AP133" t="str">
        <f t="shared" si="11"/>
        <v>casabianca</v>
      </c>
    </row>
    <row r="134" spans="1:42" ht="25.5" customHeight="1" x14ac:dyDescent="0.25">
      <c r="A134" s="33" t="s">
        <v>349</v>
      </c>
      <c r="B134" s="11" t="s">
        <v>10</v>
      </c>
      <c r="C134" s="34" t="s">
        <v>112</v>
      </c>
      <c r="D134" s="69"/>
      <c r="E134" s="11" t="s">
        <v>350</v>
      </c>
      <c r="F134" s="25" t="str">
        <f>IFERROR(IF($AO134,INDEX(cpe!$C$2:$C$307,MATCH($AP134,cpe!$F$2:$F$307,0)),INDEX(cpe!$C$2:$C$307,MATCH($AP134,cpe!$D$2:$D$307,0))),"#N/D")</f>
        <v>#N/D</v>
      </c>
      <c r="G134" s="25" t="str">
        <f>IFERROR(IF($AO134,INDEX(cpe!$B$2:$B$307,MATCH($AP134,cpe!$F$2:$F$307,0)),INDEX(cpe!$B$2:$B$307,MATCH($AP134,cpe!$D$2:$D$307,0))),"#N/D")</f>
        <v>#N/D</v>
      </c>
      <c r="H134" s="26" t="str">
        <f>IF($AO134,"#N/D",IFERROR(INDEX(Olimpiadas!$B$2:$B$61,MATCH($AM134,Olimpiadas!$C$2:$C$61,0)),"#N/D"))</f>
        <v>Caucasia</v>
      </c>
      <c r="I134" s="26" t="str">
        <f>IF($AO134,"#N/D",IFERROR(INDEX(Olimpiadas!$A$2:$A$61,MATCH($AM134,Olimpiadas!$C$2:$C$61,0)),"#N/D"))</f>
        <v>INSTITUCIÓN EDUCATIVA RURAL CACERÍ</v>
      </c>
      <c r="J134" s="26" t="str">
        <f>IF($AO134,"#N/D",IFERROR(INDEX(Minculturas!$A$2:$A$48,MATCH($AM134,Minculturas!$C$2:$C$48,0)),"#N/D"))</f>
        <v>#N/D</v>
      </c>
      <c r="K134" s="26" t="str">
        <f>IF($AO134,"#N/D",IFERROR(INDEX(Minculturas!$B$2:$B$48,MATCH($AM134,Minculturas!$C$2:$C$48,0)),"#N/D"))</f>
        <v>#N/D</v>
      </c>
      <c r="L134" s="27">
        <v>2</v>
      </c>
      <c r="M134" s="28">
        <v>0</v>
      </c>
      <c r="N134" s="28">
        <v>0</v>
      </c>
      <c r="O134" s="28">
        <v>0</v>
      </c>
      <c r="P134" s="28">
        <v>1</v>
      </c>
      <c r="Q134" s="28">
        <v>0</v>
      </c>
      <c r="R134" s="28">
        <v>1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7">
        <f>SUM(Tabla43[[#This Row],[Edificación colapsada]:[Robo]])</f>
        <v>2</v>
      </c>
      <c r="AF134" s="28"/>
      <c r="AG134" s="28"/>
      <c r="AH134" s="28">
        <v>36</v>
      </c>
      <c r="AI134" s="28"/>
      <c r="AJ134" s="28"/>
      <c r="AK134" s="29" t="s">
        <v>114</v>
      </c>
      <c r="AM134" t="str">
        <f t="shared" si="8"/>
        <v>caucasia</v>
      </c>
      <c r="AN134" t="str">
        <f t="shared" si="9"/>
        <v>antioquia</v>
      </c>
      <c r="AO134" t="b">
        <f t="shared" si="10"/>
        <v>0</v>
      </c>
      <c r="AP134" t="str">
        <f t="shared" si="11"/>
        <v>caucasia</v>
      </c>
    </row>
    <row r="135" spans="1:42" ht="25.5" customHeight="1" x14ac:dyDescent="0.25">
      <c r="A135" s="33" t="s">
        <v>225</v>
      </c>
      <c r="B135" s="11" t="s">
        <v>31</v>
      </c>
      <c r="C135" s="34" t="s">
        <v>112</v>
      </c>
      <c r="D135" s="69"/>
      <c r="E135" s="11" t="s">
        <v>226</v>
      </c>
      <c r="F135" s="25" t="str">
        <f>IFERROR(IF($AO135,INDEX(cpe!$C$2:$C$307,MATCH($AP135,cpe!$F$2:$F$307,0)),INDEX(cpe!$C$2:$C$307,MATCH($AP135,cpe!$D$2:$D$307,0))),"#N/D")</f>
        <v>#N/D</v>
      </c>
      <c r="G135" s="25" t="str">
        <f>IFERROR(IF($AO135,INDEX(cpe!$B$2:$B$307,MATCH($AP135,cpe!$F$2:$F$307,0)),INDEX(cpe!$B$2:$B$307,MATCH($AP135,cpe!$D$2:$D$307,0))),"#N/D")</f>
        <v>#N/D</v>
      </c>
      <c r="H135" s="26" t="str">
        <f>IF($AO135,"#N/D",IFERROR(INDEX(Olimpiadas!$B$2:$B$61,MATCH($AM135,Olimpiadas!$C$2:$C$61,0)),"#N/D"))</f>
        <v>#N/D</v>
      </c>
      <c r="I135" s="26" t="str">
        <f>IF($AO135,"#N/D",IFERROR(INDEX(Olimpiadas!$A$2:$A$61,MATCH($AM135,Olimpiadas!$C$2:$C$61,0)),"#N/D"))</f>
        <v>#N/D</v>
      </c>
      <c r="J135" s="26" t="str">
        <f>IF($AO135,"#N/D",IFERROR(INDEX(Minculturas!$A$2:$A$48,MATCH($AM135,Minculturas!$C$2:$C$48,0)),"#N/D"))</f>
        <v>#N/D</v>
      </c>
      <c r="K135" s="26" t="str">
        <f>IF($AO135,"#N/D",IFERROR(INDEX(Minculturas!$B$2:$B$48,MATCH($AM135,Minculturas!$C$2:$C$48,0)),"#N/D"))</f>
        <v>#N/D</v>
      </c>
      <c r="L135" s="27">
        <v>5</v>
      </c>
      <c r="M135" s="28">
        <v>0</v>
      </c>
      <c r="N135" s="28">
        <v>1</v>
      </c>
      <c r="O135" s="28">
        <v>0</v>
      </c>
      <c r="P135" s="28">
        <v>0</v>
      </c>
      <c r="Q135" s="28">
        <v>2</v>
      </c>
      <c r="R135" s="28">
        <v>0</v>
      </c>
      <c r="S135" s="28">
        <v>1</v>
      </c>
      <c r="T135" s="28">
        <v>0</v>
      </c>
      <c r="U135" s="28">
        <v>0</v>
      </c>
      <c r="V135" s="28">
        <v>0</v>
      </c>
      <c r="W135" s="28">
        <v>0</v>
      </c>
      <c r="X135" s="28">
        <v>1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7">
        <f>SUM(Tabla43[[#This Row],[Edificación colapsada]:[Robo]])</f>
        <v>5</v>
      </c>
      <c r="AF135" s="28"/>
      <c r="AG135" s="28"/>
      <c r="AH135" s="28">
        <v>55.9</v>
      </c>
      <c r="AI135" s="28"/>
      <c r="AJ135" s="28"/>
      <c r="AK135" s="29" t="s">
        <v>114</v>
      </c>
      <c r="AM135" t="str">
        <f t="shared" si="8"/>
        <v>certegui</v>
      </c>
      <c r="AN135" t="str">
        <f t="shared" si="9"/>
        <v>choco</v>
      </c>
      <c r="AO135" t="b">
        <f t="shared" si="10"/>
        <v>0</v>
      </c>
      <c r="AP135" t="str">
        <f t="shared" si="11"/>
        <v>certegui</v>
      </c>
    </row>
    <row r="136" spans="1:42" ht="25.5" customHeight="1" x14ac:dyDescent="0.25">
      <c r="A136" s="33" t="s">
        <v>227</v>
      </c>
      <c r="B136" s="11" t="s">
        <v>41</v>
      </c>
      <c r="C136" s="34" t="s">
        <v>112</v>
      </c>
      <c r="D136" s="69"/>
      <c r="E136" s="11" t="s">
        <v>228</v>
      </c>
      <c r="F136" s="25" t="str">
        <f>IFERROR(IF($AO136,INDEX(cpe!$C$2:$C$307,MATCH($AP136,cpe!$F$2:$F$307,0)),INDEX(cpe!$C$2:$C$307,MATCH($AP136,cpe!$D$2:$D$307,0))),"#N/D")</f>
        <v>#N/D</v>
      </c>
      <c r="G136" s="25" t="str">
        <f>IFERROR(IF($AO136,INDEX(cpe!$B$2:$B$307,MATCH($AP136,cpe!$F$2:$F$307,0)),INDEX(cpe!$B$2:$B$307,MATCH($AP136,cpe!$D$2:$D$307,0))),"#N/D")</f>
        <v>#N/D</v>
      </c>
      <c r="H136" s="26" t="str">
        <f>IF($AO136,"#N/D",IFERROR(INDEX(Olimpiadas!$B$2:$B$61,MATCH($AM136,Olimpiadas!$C$2:$C$61,0)),"#N/D"))</f>
        <v>#N/D</v>
      </c>
      <c r="I136" s="26" t="str">
        <f>IF($AO136,"#N/D",IFERROR(INDEX(Olimpiadas!$A$2:$A$61,MATCH($AM136,Olimpiadas!$C$2:$C$61,0)),"#N/D"))</f>
        <v>#N/D</v>
      </c>
      <c r="J136" s="26" t="str">
        <f>IF($AO136,"#N/D",IFERROR(INDEX(Minculturas!$A$2:$A$48,MATCH($AM136,Minculturas!$C$2:$C$48,0)),"#N/D"))</f>
        <v>#N/D</v>
      </c>
      <c r="K136" s="26" t="str">
        <f>IF($AO136,"#N/D",IFERROR(INDEX(Minculturas!$B$2:$B$48,MATCH($AM136,Minculturas!$C$2:$C$48,0)),"#N/D"))</f>
        <v>#N/D</v>
      </c>
      <c r="L136" s="27">
        <v>3</v>
      </c>
      <c r="M136" s="28">
        <v>0</v>
      </c>
      <c r="N136" s="28">
        <v>0</v>
      </c>
      <c r="O136" s="28">
        <v>1</v>
      </c>
      <c r="P136" s="28">
        <v>0</v>
      </c>
      <c r="Q136" s="28">
        <v>0</v>
      </c>
      <c r="R136" s="28">
        <v>1</v>
      </c>
      <c r="S136" s="28">
        <v>0</v>
      </c>
      <c r="T136" s="28">
        <v>0</v>
      </c>
      <c r="U136" s="28">
        <v>1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7">
        <f>SUM(Tabla43[[#This Row],[Edificación colapsada]:[Robo]])</f>
        <v>3</v>
      </c>
      <c r="AF136" s="28"/>
      <c r="AG136" s="28"/>
      <c r="AH136" s="28">
        <v>32.200000000000003</v>
      </c>
      <c r="AI136" s="28"/>
      <c r="AJ136" s="28"/>
      <c r="AK136" s="29" t="s">
        <v>114</v>
      </c>
      <c r="AM136" t="str">
        <f t="shared" si="8"/>
        <v>chachagüi</v>
      </c>
      <c r="AN136" t="str">
        <f t="shared" si="9"/>
        <v>narino</v>
      </c>
      <c r="AO136" t="b">
        <f t="shared" si="10"/>
        <v>0</v>
      </c>
      <c r="AP136" t="str">
        <f t="shared" si="11"/>
        <v>chachagüi</v>
      </c>
    </row>
    <row r="137" spans="1:42" ht="25.5" customHeight="1" x14ac:dyDescent="0.25">
      <c r="A137" s="33" t="s">
        <v>332</v>
      </c>
      <c r="B137" s="11" t="s">
        <v>48</v>
      </c>
      <c r="C137" s="34" t="s">
        <v>112</v>
      </c>
      <c r="D137" s="69"/>
      <c r="E137" s="11" t="s">
        <v>333</v>
      </c>
      <c r="F137" s="25" t="str">
        <f>IFERROR(IF($AO137,INDEX(cpe!$C$2:$C$307,MATCH($AP137,cpe!$F$2:$F$307,0)),INDEX(cpe!$C$2:$C$307,MATCH($AP137,cpe!$D$2:$D$307,0))),"#N/D")</f>
        <v>#N/D</v>
      </c>
      <c r="G137" s="25" t="str">
        <f>IFERROR(IF($AO137,INDEX(cpe!$B$2:$B$307,MATCH($AP137,cpe!$F$2:$F$307,0)),INDEX(cpe!$B$2:$B$307,MATCH($AP137,cpe!$D$2:$D$307,0))),"#N/D")</f>
        <v>#N/D</v>
      </c>
      <c r="H137" s="26" t="str">
        <f>IF($AO137,"#N/D",IFERROR(INDEX(Olimpiadas!$B$2:$B$61,MATCH($AM137,Olimpiadas!$C$2:$C$61,0)),"#N/D"))</f>
        <v>#N/D</v>
      </c>
      <c r="I137" s="26" t="str">
        <f>IF($AO137,"#N/D",IFERROR(INDEX(Olimpiadas!$A$2:$A$61,MATCH($AM137,Olimpiadas!$C$2:$C$61,0)),"#N/D"))</f>
        <v>#N/D</v>
      </c>
      <c r="J137" s="26" t="str">
        <f>IF($AO137,"#N/D",IFERROR(INDEX(Minculturas!$A$2:$A$48,MATCH($AM137,Minculturas!$C$2:$C$48,0)),"#N/D"))</f>
        <v>#N/D</v>
      </c>
      <c r="K137" s="26" t="str">
        <f>IF($AO137,"#N/D",IFERROR(INDEX(Minculturas!$B$2:$B$48,MATCH($AM137,Minculturas!$C$2:$C$48,0)),"#N/D"))</f>
        <v>#N/D</v>
      </c>
      <c r="L137" s="27">
        <v>3</v>
      </c>
      <c r="M137" s="28">
        <v>0</v>
      </c>
      <c r="N137" s="28">
        <v>1</v>
      </c>
      <c r="O137" s="28">
        <v>0</v>
      </c>
      <c r="P137" s="28">
        <v>1</v>
      </c>
      <c r="Q137" s="28">
        <v>0</v>
      </c>
      <c r="R137" s="28">
        <v>1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7">
        <f>SUM(Tabla43[[#This Row],[Edificación colapsada]:[Robo]])</f>
        <v>3</v>
      </c>
      <c r="AF137" s="28"/>
      <c r="AG137" s="28"/>
      <c r="AH137" s="28">
        <v>39.700000000000003</v>
      </c>
      <c r="AI137" s="28"/>
      <c r="AJ137" s="28"/>
      <c r="AK137" s="29" t="s">
        <v>114</v>
      </c>
      <c r="AM137" t="str">
        <f t="shared" si="8"/>
        <v>chaparral</v>
      </c>
      <c r="AN137" t="str">
        <f t="shared" si="9"/>
        <v>tolima</v>
      </c>
      <c r="AO137" t="b">
        <f t="shared" si="10"/>
        <v>0</v>
      </c>
      <c r="AP137" t="str">
        <f t="shared" si="11"/>
        <v>chaparral</v>
      </c>
    </row>
    <row r="138" spans="1:42" ht="25.5" customHeight="1" x14ac:dyDescent="0.25">
      <c r="A138" s="33" t="s">
        <v>413</v>
      </c>
      <c r="B138" s="11" t="s">
        <v>42</v>
      </c>
      <c r="C138" s="34" t="s">
        <v>112</v>
      </c>
      <c r="D138" s="69"/>
      <c r="E138" s="11" t="s">
        <v>414</v>
      </c>
      <c r="F138" s="25" t="str">
        <f>IFERROR(IF($AO138,INDEX(cpe!$C$2:$C$307,MATCH($AP138,cpe!$F$2:$F$307,0)),INDEX(cpe!$C$2:$C$307,MATCH($AP138,cpe!$D$2:$D$307,0))),"#N/D")</f>
        <v>#N/D</v>
      </c>
      <c r="G138" s="25" t="str">
        <f>IFERROR(IF($AO138,INDEX(cpe!$B$2:$B$307,MATCH($AP138,cpe!$F$2:$F$307,0)),INDEX(cpe!$B$2:$B$307,MATCH($AP138,cpe!$D$2:$D$307,0))),"#N/D")</f>
        <v>#N/D</v>
      </c>
      <c r="H138" s="26" t="str">
        <f>IF($AO138,"#N/D",IFERROR(INDEX(Olimpiadas!$B$2:$B$61,MATCH($AM138,Olimpiadas!$C$2:$C$61,0)),"#N/D"))</f>
        <v>#N/D</v>
      </c>
      <c r="I138" s="26" t="str">
        <f>IF($AO138,"#N/D",IFERROR(INDEX(Olimpiadas!$A$2:$A$61,MATCH($AM138,Olimpiadas!$C$2:$C$61,0)),"#N/D"))</f>
        <v>#N/D</v>
      </c>
      <c r="J138" s="26" t="str">
        <f>IF($AO138,"#N/D",IFERROR(INDEX(Minculturas!$A$2:$A$48,MATCH($AM138,Minculturas!$C$2:$C$48,0)),"#N/D"))</f>
        <v>#N/D</v>
      </c>
      <c r="K138" s="26" t="str">
        <f>IF($AO138,"#N/D",IFERROR(INDEX(Minculturas!$B$2:$B$48,MATCH($AM138,Minculturas!$C$2:$C$48,0)),"#N/D"))</f>
        <v>#N/D</v>
      </c>
      <c r="L138" s="27">
        <v>1</v>
      </c>
      <c r="M138" s="28">
        <v>0</v>
      </c>
      <c r="N138" s="28">
        <v>0</v>
      </c>
      <c r="O138" s="28">
        <v>0</v>
      </c>
      <c r="P138" s="28">
        <v>0</v>
      </c>
      <c r="Q138" s="28">
        <v>1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7">
        <f>SUM(Tabla43[[#This Row],[Edificación colapsada]:[Robo]])</f>
        <v>1</v>
      </c>
      <c r="AF138" s="28"/>
      <c r="AG138" s="28"/>
      <c r="AH138" s="28">
        <v>30.3</v>
      </c>
      <c r="AI138" s="28"/>
      <c r="AJ138" s="28"/>
      <c r="AK138" s="29" t="s">
        <v>114</v>
      </c>
      <c r="AM138" t="str">
        <f t="shared" si="8"/>
        <v>chinacota</v>
      </c>
      <c r="AN138" t="str">
        <f t="shared" si="9"/>
        <v>norte de santander</v>
      </c>
      <c r="AO138" t="b">
        <f t="shared" si="10"/>
        <v>0</v>
      </c>
      <c r="AP138" t="str">
        <f t="shared" si="11"/>
        <v>chinacota</v>
      </c>
    </row>
    <row r="139" spans="1:42" ht="25.5" customHeight="1" x14ac:dyDescent="0.25">
      <c r="A139" s="33" t="s">
        <v>582</v>
      </c>
      <c r="B139" s="11" t="s">
        <v>22</v>
      </c>
      <c r="C139" s="34" t="s">
        <v>112</v>
      </c>
      <c r="D139" s="69"/>
      <c r="E139" s="11" t="s">
        <v>583</v>
      </c>
      <c r="F139" s="25" t="str">
        <f>IFERROR(IF($AO139,INDEX(cpe!$C$2:$C$307,MATCH($AP139,cpe!$F$2:$F$307,0)),INDEX(cpe!$C$2:$C$307,MATCH($AP139,cpe!$D$2:$D$307,0))),"#N/D")</f>
        <v>Institucion Educativa Nemesio Rodriguez Escobar</v>
      </c>
      <c r="G139" s="25" t="str">
        <f>IFERROR(IF($AO139,INDEX(cpe!$B$2:$B$307,MATCH($AP139,cpe!$F$2:$F$307,0)),INDEX(cpe!$B$2:$B$307,MATCH($AP139,cpe!$D$2:$D$307,0))),"#N/D")</f>
        <v>Chiquinquirá</v>
      </c>
      <c r="H139" s="26" t="str">
        <f>IF($AO139,"#N/D",IFERROR(INDEX(Olimpiadas!$B$2:$B$61,MATCH($AM139,Olimpiadas!$C$2:$C$61,0)),"#N/D"))</f>
        <v>#N/D</v>
      </c>
      <c r="I139" s="26" t="str">
        <f>IF($AO139,"#N/D",IFERROR(INDEX(Olimpiadas!$A$2:$A$61,MATCH($AM139,Olimpiadas!$C$2:$C$61,0)),"#N/D"))</f>
        <v>#N/D</v>
      </c>
      <c r="J139" s="26" t="str">
        <f>IF($AO139,"#N/D",IFERROR(INDEX(Minculturas!$A$2:$A$48,MATCH($AM139,Minculturas!$C$2:$C$48,0)),"#N/D"))</f>
        <v>#N/D</v>
      </c>
      <c r="K139" s="26" t="str">
        <f>IF($AO139,"#N/D",IFERROR(INDEX(Minculturas!$B$2:$B$48,MATCH($AM139,Minculturas!$C$2:$C$48,0)),"#N/D"))</f>
        <v>#N/D</v>
      </c>
      <c r="L139" s="27">
        <v>1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1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7">
        <f>SUM(Tabla43[[#This Row],[Edificación colapsada]:[Robo]])</f>
        <v>1</v>
      </c>
      <c r="AF139" s="28"/>
      <c r="AG139" s="28"/>
      <c r="AH139" s="28">
        <v>17.3</v>
      </c>
      <c r="AI139" s="28"/>
      <c r="AJ139" s="28"/>
      <c r="AK139" s="29" t="s">
        <v>114</v>
      </c>
      <c r="AM139" t="str">
        <f t="shared" si="8"/>
        <v>chiquinquira</v>
      </c>
      <c r="AN139" t="str">
        <f t="shared" si="9"/>
        <v>boyaca</v>
      </c>
      <c r="AO139" t="b">
        <f t="shared" si="10"/>
        <v>0</v>
      </c>
      <c r="AP139" t="str">
        <f t="shared" si="11"/>
        <v>chiquinquira</v>
      </c>
    </row>
    <row r="140" spans="1:42" ht="25.5" customHeight="1" x14ac:dyDescent="0.25">
      <c r="A140" s="33" t="s">
        <v>1047</v>
      </c>
      <c r="B140" s="11" t="s">
        <v>35</v>
      </c>
      <c r="C140" s="34" t="s">
        <v>112</v>
      </c>
      <c r="D140" s="69"/>
      <c r="E140" s="11" t="s">
        <v>1048</v>
      </c>
      <c r="F140" s="25" t="str">
        <f>IFERROR(IF($AO140,INDEX(cpe!$C$2:$C$307,MATCH($AP140,cpe!$F$2:$F$307,0)),INDEX(cpe!$C$2:$C$307,MATCH($AP140,cpe!$D$2:$D$307,0))),"#N/D")</f>
        <v>#N/D</v>
      </c>
      <c r="G140" s="25" t="str">
        <f>IFERROR(IF($AO140,INDEX(cpe!$B$2:$B$307,MATCH($AP140,cpe!$F$2:$F$307,0)),INDEX(cpe!$B$2:$B$307,MATCH($AP140,cpe!$D$2:$D$307,0))),"#N/D")</f>
        <v>#N/D</v>
      </c>
      <c r="H140" s="26" t="str">
        <f>IF($AO140,"#N/D",IFERROR(INDEX(Olimpiadas!$B$2:$B$61,MATCH($AM140,Olimpiadas!$C$2:$C$61,0)),"#N/D"))</f>
        <v>#N/D</v>
      </c>
      <c r="I140" s="26" t="str">
        <f>IF($AO140,"#N/D",IFERROR(INDEX(Olimpiadas!$A$2:$A$61,MATCH($AM140,Olimpiadas!$C$2:$C$61,0)),"#N/D"))</f>
        <v>#N/D</v>
      </c>
      <c r="J140" s="26" t="str">
        <f>IF($AO140,"#N/D",IFERROR(INDEX(Minculturas!$A$2:$A$48,MATCH($AM140,Minculturas!$C$2:$C$48,0)),"#N/D"))</f>
        <v>#N/D</v>
      </c>
      <c r="K140" s="26" t="str">
        <f>IF($AO140,"#N/D",IFERROR(INDEX(Minculturas!$B$2:$B$48,MATCH($AM140,Minculturas!$C$2:$C$48,0)),"#N/D"))</f>
        <v>#N/D</v>
      </c>
      <c r="L140" s="27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7">
        <f>SUM(Tabla43[[#This Row],[Edificación colapsada]:[Robo]])</f>
        <v>0</v>
      </c>
      <c r="AF140" s="28"/>
      <c r="AG140" s="28"/>
      <c r="AH140" s="28">
        <v>22.5</v>
      </c>
      <c r="AI140" s="28"/>
      <c r="AJ140" s="28"/>
      <c r="AK140" s="29" t="s">
        <v>1049</v>
      </c>
      <c r="AM140" t="str">
        <f t="shared" si="8"/>
        <v>choachi</v>
      </c>
      <c r="AN140" t="str">
        <f t="shared" si="9"/>
        <v>cundinamarca</v>
      </c>
      <c r="AO140" t="b">
        <f t="shared" si="10"/>
        <v>0</v>
      </c>
      <c r="AP140" t="str">
        <f t="shared" si="11"/>
        <v>choachi</v>
      </c>
    </row>
    <row r="141" spans="1:42" ht="25.5" customHeight="1" x14ac:dyDescent="0.25">
      <c r="A141" s="33" t="s">
        <v>895</v>
      </c>
      <c r="B141" s="11" t="s">
        <v>44</v>
      </c>
      <c r="C141" s="34" t="s">
        <v>112</v>
      </c>
      <c r="D141" s="69"/>
      <c r="E141" s="11" t="s">
        <v>896</v>
      </c>
      <c r="F141" s="25" t="str">
        <f>IFERROR(IF($AO141,INDEX(cpe!$C$2:$C$307,MATCH($AP141,cpe!$F$2:$F$307,0)),INDEX(cpe!$C$2:$C$307,MATCH($AP141,cpe!$D$2:$D$307,0))),"#N/D")</f>
        <v>#N/D</v>
      </c>
      <c r="G141" s="25" t="str">
        <f>IFERROR(IF($AO141,INDEX(cpe!$B$2:$B$307,MATCH($AP141,cpe!$F$2:$F$307,0)),INDEX(cpe!$B$2:$B$307,MATCH($AP141,cpe!$D$2:$D$307,0))),"#N/D")</f>
        <v>#N/D</v>
      </c>
      <c r="H141" s="26" t="str">
        <f>IF($AO141,"#N/D",IFERROR(INDEX(Olimpiadas!$B$2:$B$61,MATCH($AM141,Olimpiadas!$C$2:$C$61,0)),"#N/D"))</f>
        <v>#N/D</v>
      </c>
      <c r="I141" s="26" t="str">
        <f>IF($AO141,"#N/D",IFERROR(INDEX(Olimpiadas!$A$2:$A$61,MATCH($AM141,Olimpiadas!$C$2:$C$61,0)),"#N/D"))</f>
        <v>#N/D</v>
      </c>
      <c r="J141" s="26" t="str">
        <f>IF($AO141,"#N/D",IFERROR(INDEX(Minculturas!$A$2:$A$48,MATCH($AM141,Minculturas!$C$2:$C$48,0)),"#N/D"))</f>
        <v>#N/D</v>
      </c>
      <c r="K141" s="26" t="str">
        <f>IF($AO141,"#N/D",IFERROR(INDEX(Minculturas!$B$2:$B$48,MATCH($AM141,Minculturas!$C$2:$C$48,0)),"#N/D"))</f>
        <v>#N/D</v>
      </c>
      <c r="L141" s="27">
        <v>22</v>
      </c>
      <c r="M141" s="28">
        <v>0</v>
      </c>
      <c r="N141" s="28">
        <v>7</v>
      </c>
      <c r="O141" s="28">
        <v>6</v>
      </c>
      <c r="P141" s="28">
        <v>1</v>
      </c>
      <c r="Q141" s="28">
        <v>1</v>
      </c>
      <c r="R141" s="28">
        <v>0</v>
      </c>
      <c r="S141" s="28">
        <v>3</v>
      </c>
      <c r="T141" s="28">
        <v>0</v>
      </c>
      <c r="U141" s="28">
        <v>0</v>
      </c>
      <c r="V141" s="28">
        <v>0</v>
      </c>
      <c r="W141" s="28">
        <v>1</v>
      </c>
      <c r="X141" s="28">
        <v>1</v>
      </c>
      <c r="Y141" s="28">
        <v>0</v>
      </c>
      <c r="Z141" s="28">
        <v>2</v>
      </c>
      <c r="AA141" s="28">
        <v>0</v>
      </c>
      <c r="AB141" s="28">
        <v>0</v>
      </c>
      <c r="AC141" s="28">
        <v>0</v>
      </c>
      <c r="AD141" s="28">
        <v>0</v>
      </c>
      <c r="AE141" s="27">
        <f>SUM(Tabla43[[#This Row],[Edificación colapsada]:[Robo]])</f>
        <v>22</v>
      </c>
      <c r="AF141" s="28"/>
      <c r="AG141" s="28"/>
      <c r="AH141" s="28">
        <v>17.3</v>
      </c>
      <c r="AI141" s="28"/>
      <c r="AJ141" s="28"/>
      <c r="AK141" s="29" t="s">
        <v>114</v>
      </c>
      <c r="AM141" t="str">
        <f t="shared" si="8"/>
        <v>circasia</v>
      </c>
      <c r="AN141" t="str">
        <f t="shared" si="9"/>
        <v>quindio</v>
      </c>
      <c r="AO141" t="b">
        <f t="shared" si="10"/>
        <v>0</v>
      </c>
      <c r="AP141" t="str">
        <f t="shared" si="11"/>
        <v>circasia</v>
      </c>
    </row>
    <row r="142" spans="1:42" ht="25.5" customHeight="1" x14ac:dyDescent="0.25">
      <c r="A142" s="33" t="s">
        <v>1141</v>
      </c>
      <c r="B142" s="11" t="s">
        <v>10</v>
      </c>
      <c r="C142" s="34" t="s">
        <v>112</v>
      </c>
      <c r="D142" s="69"/>
      <c r="E142" s="11" t="s">
        <v>1142</v>
      </c>
      <c r="F142" s="25" t="str">
        <f>IFERROR(IF($AO142,INDEX(cpe!$C$2:$C$307,MATCH($AP142,cpe!$F$2:$F$307,0)),INDEX(cpe!$C$2:$C$307,MATCH($AP142,cpe!$D$2:$D$307,0))),"#N/D")</f>
        <v>#N/D</v>
      </c>
      <c r="G142" s="25" t="str">
        <f>IFERROR(IF($AO142,INDEX(cpe!$B$2:$B$307,MATCH($AP142,cpe!$F$2:$F$307,0)),INDEX(cpe!$B$2:$B$307,MATCH($AP142,cpe!$D$2:$D$307,0))),"#N/D")</f>
        <v>#N/D</v>
      </c>
      <c r="H142" s="26" t="str">
        <f>IF($AO142,"#N/D",IFERROR(INDEX(Olimpiadas!$B$2:$B$61,MATCH($AM142,Olimpiadas!$C$2:$C$61,0)),"#N/D"))</f>
        <v>#N/D</v>
      </c>
      <c r="I142" s="26" t="str">
        <f>IF($AO142,"#N/D",IFERROR(INDEX(Olimpiadas!$A$2:$A$61,MATCH($AM142,Olimpiadas!$C$2:$C$61,0)),"#N/D"))</f>
        <v>#N/D</v>
      </c>
      <c r="J142" s="26" t="str">
        <f>IF($AO142,"#N/D",IFERROR(INDEX(Minculturas!$A$2:$A$48,MATCH($AM142,Minculturas!$C$2:$C$48,0)),"#N/D"))</f>
        <v>#N/D</v>
      </c>
      <c r="K142" s="26" t="str">
        <f>IF($AO142,"#N/D",IFERROR(INDEX(Minculturas!$B$2:$B$48,MATCH($AM142,Minculturas!$C$2:$C$48,0)),"#N/D"))</f>
        <v>#N/D</v>
      </c>
      <c r="L142" s="27">
        <v>2</v>
      </c>
      <c r="M142" s="28">
        <v>0</v>
      </c>
      <c r="N142" s="28">
        <v>0</v>
      </c>
      <c r="O142" s="28">
        <v>0</v>
      </c>
      <c r="P142" s="28">
        <v>1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1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7">
        <f>SUM(Tabla43[[#This Row],[Edificación colapsada]:[Robo]])</f>
        <v>2</v>
      </c>
      <c r="AF142" s="28"/>
      <c r="AG142" s="28"/>
      <c r="AH142" s="28">
        <v>28.8</v>
      </c>
      <c r="AI142" s="28"/>
      <c r="AJ142" s="28"/>
      <c r="AK142" s="29" t="s">
        <v>365</v>
      </c>
      <c r="AM142" t="str">
        <f t="shared" si="8"/>
        <v>cisneros</v>
      </c>
      <c r="AN142" t="str">
        <f t="shared" si="9"/>
        <v>antioquia</v>
      </c>
      <c r="AO142" t="b">
        <f t="shared" si="10"/>
        <v>0</v>
      </c>
      <c r="AP142" t="str">
        <f t="shared" si="11"/>
        <v>cisneros</v>
      </c>
    </row>
    <row r="143" spans="1:42" ht="25.5" customHeight="1" x14ac:dyDescent="0.25">
      <c r="A143" s="33" t="s">
        <v>626</v>
      </c>
      <c r="B143" s="11" t="s">
        <v>10</v>
      </c>
      <c r="C143" s="34" t="s">
        <v>112</v>
      </c>
      <c r="D143" s="69"/>
      <c r="E143" s="11" t="s">
        <v>627</v>
      </c>
      <c r="F143" s="25" t="str">
        <f>IFERROR(IF($AO143,INDEX(cpe!$C$2:$C$307,MATCH($AP143,cpe!$F$2:$F$307,0)),INDEX(cpe!$C$2:$C$307,MATCH($AP143,cpe!$D$2:$D$307,0))),"#N/D")</f>
        <v>#N/D</v>
      </c>
      <c r="G143" s="25" t="str">
        <f>IFERROR(IF($AO143,INDEX(cpe!$B$2:$B$307,MATCH($AP143,cpe!$F$2:$F$307,0)),INDEX(cpe!$B$2:$B$307,MATCH($AP143,cpe!$D$2:$D$307,0))),"#N/D")</f>
        <v>#N/D</v>
      </c>
      <c r="H143" s="26" t="str">
        <f>IF($AO143,"#N/D",IFERROR(INDEX(Olimpiadas!$B$2:$B$61,MATCH($AM143,Olimpiadas!$C$2:$C$61,0)),"#N/D"))</f>
        <v>#N/D</v>
      </c>
      <c r="I143" s="26" t="str">
        <f>IF($AO143,"#N/D",IFERROR(INDEX(Olimpiadas!$A$2:$A$61,MATCH($AM143,Olimpiadas!$C$2:$C$61,0)),"#N/D"))</f>
        <v>#N/D</v>
      </c>
      <c r="J143" s="26" t="str">
        <f>IF($AO143,"#N/D",IFERROR(INDEX(Minculturas!$A$2:$A$48,MATCH($AM143,Minculturas!$C$2:$C$48,0)),"#N/D"))</f>
        <v>#N/D</v>
      </c>
      <c r="K143" s="26" t="str">
        <f>IF($AO143,"#N/D",IFERROR(INDEX(Minculturas!$B$2:$B$48,MATCH($AM143,Minculturas!$C$2:$C$48,0)),"#N/D"))</f>
        <v>#N/D</v>
      </c>
      <c r="L143" s="27">
        <v>2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1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1</v>
      </c>
      <c r="AA143" s="28">
        <v>0</v>
      </c>
      <c r="AB143" s="28">
        <v>0</v>
      </c>
      <c r="AC143" s="28">
        <v>0</v>
      </c>
      <c r="AD143" s="28">
        <v>0</v>
      </c>
      <c r="AE143" s="27">
        <f>SUM(Tabla43[[#This Row],[Edificación colapsada]:[Robo]])</f>
        <v>2</v>
      </c>
      <c r="AF143" s="28"/>
      <c r="AG143" s="28"/>
      <c r="AH143" s="28">
        <v>40.4</v>
      </c>
      <c r="AI143" s="28"/>
      <c r="AJ143" s="28"/>
      <c r="AK143" s="29" t="s">
        <v>114</v>
      </c>
      <c r="AM143" t="str">
        <f t="shared" si="8"/>
        <v>ciudad bolivar</v>
      </c>
      <c r="AN143" t="str">
        <f t="shared" si="9"/>
        <v>antioquia</v>
      </c>
      <c r="AO143" t="b">
        <f t="shared" si="10"/>
        <v>0</v>
      </c>
      <c r="AP143" t="str">
        <f t="shared" si="11"/>
        <v>ciudad bolivar</v>
      </c>
    </row>
    <row r="144" spans="1:42" ht="25.5" customHeight="1" x14ac:dyDescent="0.25">
      <c r="A144" s="33" t="s">
        <v>897</v>
      </c>
      <c r="B144" s="11" t="s">
        <v>10</v>
      </c>
      <c r="C144" s="34" t="s">
        <v>112</v>
      </c>
      <c r="D144" s="69"/>
      <c r="E144" s="11" t="s">
        <v>898</v>
      </c>
      <c r="F144" s="25" t="str">
        <f>IFERROR(IF($AO144,INDEX(cpe!$C$2:$C$307,MATCH($AP144,cpe!$F$2:$F$307,0)),INDEX(cpe!$C$2:$C$307,MATCH($AP144,cpe!$D$2:$D$307,0))),"#N/D")</f>
        <v>#N/D</v>
      </c>
      <c r="G144" s="25" t="str">
        <f>IFERROR(IF($AO144,INDEX(cpe!$B$2:$B$307,MATCH($AP144,cpe!$F$2:$F$307,0)),INDEX(cpe!$B$2:$B$307,MATCH($AP144,cpe!$D$2:$D$307,0))),"#N/D")</f>
        <v>#N/D</v>
      </c>
      <c r="H144" s="26" t="str">
        <f>IF($AO144,"#N/D",IFERROR(INDEX(Olimpiadas!$B$2:$B$61,MATCH($AM144,Olimpiadas!$C$2:$C$61,0)),"#N/D"))</f>
        <v>#N/D</v>
      </c>
      <c r="I144" s="26" t="str">
        <f>IF($AO144,"#N/D",IFERROR(INDEX(Olimpiadas!$A$2:$A$61,MATCH($AM144,Olimpiadas!$C$2:$C$61,0)),"#N/D"))</f>
        <v>#N/D</v>
      </c>
      <c r="J144" s="26" t="str">
        <f>IF($AO144,"#N/D",IFERROR(INDEX(Minculturas!$A$2:$A$48,MATCH($AM144,Minculturas!$C$2:$C$48,0)),"#N/D"))</f>
        <v>#N/D</v>
      </c>
      <c r="K144" s="26" t="str">
        <f>IF($AO144,"#N/D",IFERROR(INDEX(Minculturas!$B$2:$B$48,MATCH($AM144,Minculturas!$C$2:$C$48,0)),"#N/D"))</f>
        <v>#N/D</v>
      </c>
      <c r="L144" s="27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7">
        <f>SUM(Tabla43[[#This Row],[Edificación colapsada]:[Robo]])</f>
        <v>0</v>
      </c>
      <c r="AF144" s="28"/>
      <c r="AG144" s="28"/>
      <c r="AH144" s="28">
        <v>42.9</v>
      </c>
      <c r="AI144" s="28"/>
      <c r="AJ144" s="28"/>
      <c r="AK144" s="29" t="s">
        <v>365</v>
      </c>
      <c r="AM144" t="str">
        <f t="shared" si="8"/>
        <v>cocorna</v>
      </c>
      <c r="AN144" t="str">
        <f t="shared" si="9"/>
        <v>antioquia</v>
      </c>
      <c r="AO144" t="b">
        <f t="shared" si="10"/>
        <v>0</v>
      </c>
      <c r="AP144" t="str">
        <f t="shared" si="11"/>
        <v>cocorna</v>
      </c>
    </row>
    <row r="145" spans="1:42" ht="25.5" customHeight="1" x14ac:dyDescent="0.25">
      <c r="A145" s="33" t="s">
        <v>278</v>
      </c>
      <c r="B145" s="11" t="s">
        <v>48</v>
      </c>
      <c r="C145" s="34" t="s">
        <v>112</v>
      </c>
      <c r="D145" s="69"/>
      <c r="E145" s="11" t="s">
        <v>279</v>
      </c>
      <c r="F145" s="25" t="str">
        <f>IFERROR(IF($AO145,INDEX(cpe!$C$2:$C$307,MATCH($AP145,cpe!$F$2:$F$307,0)),INDEX(cpe!$C$2:$C$307,MATCH($AP145,cpe!$D$2:$D$307,0))),"#N/D")</f>
        <v>Institucion Educativa Tulio Enrique Tascon Chambimbal</v>
      </c>
      <c r="G145" s="25" t="str">
        <f>IFERROR(IF($AO145,INDEX(cpe!$B$2:$B$307,MATCH($AP145,cpe!$F$2:$F$307,0)),INDEX(cpe!$B$2:$B$307,MATCH($AP145,cpe!$D$2:$D$307,0))),"#N/D")</f>
        <v>Coello</v>
      </c>
      <c r="H145" s="26" t="str">
        <f>IF($AO145,"#N/D",IFERROR(INDEX(Olimpiadas!$B$2:$B$61,MATCH($AM145,Olimpiadas!$C$2:$C$61,0)),"#N/D"))</f>
        <v>#N/D</v>
      </c>
      <c r="I145" s="26" t="str">
        <f>IF($AO145,"#N/D",IFERROR(INDEX(Olimpiadas!$A$2:$A$61,MATCH($AM145,Olimpiadas!$C$2:$C$61,0)),"#N/D"))</f>
        <v>#N/D</v>
      </c>
      <c r="J145" s="26" t="str">
        <f>IF($AO145,"#N/D",IFERROR(INDEX(Minculturas!$A$2:$A$48,MATCH($AM145,Minculturas!$C$2:$C$48,0)),"#N/D"))</f>
        <v>#N/D</v>
      </c>
      <c r="K145" s="26" t="str">
        <f>IF($AO145,"#N/D",IFERROR(INDEX(Minculturas!$B$2:$B$48,MATCH($AM145,Minculturas!$C$2:$C$48,0)),"#N/D"))</f>
        <v>#N/D</v>
      </c>
      <c r="L145" s="27">
        <v>2</v>
      </c>
      <c r="M145" s="28">
        <v>0</v>
      </c>
      <c r="N145" s="28">
        <v>1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1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7">
        <f>SUM(Tabla43[[#This Row],[Edificación colapsada]:[Robo]])</f>
        <v>2</v>
      </c>
      <c r="AF145" s="28"/>
      <c r="AG145" s="28"/>
      <c r="AH145" s="28">
        <v>35.799999999999997</v>
      </c>
      <c r="AI145" s="28"/>
      <c r="AJ145" s="28"/>
      <c r="AK145" s="29" t="s">
        <v>114</v>
      </c>
      <c r="AM145" t="str">
        <f t="shared" si="8"/>
        <v>coello</v>
      </c>
      <c r="AN145" t="str">
        <f t="shared" si="9"/>
        <v>tolima</v>
      </c>
      <c r="AO145" t="b">
        <f t="shared" si="10"/>
        <v>0</v>
      </c>
      <c r="AP145" t="str">
        <f t="shared" si="11"/>
        <v>coello</v>
      </c>
    </row>
    <row r="146" spans="1:42" ht="25.5" customHeight="1" x14ac:dyDescent="0.25">
      <c r="A146" s="33" t="s">
        <v>1196</v>
      </c>
      <c r="B146" s="11" t="s">
        <v>35</v>
      </c>
      <c r="C146" s="34" t="s">
        <v>112</v>
      </c>
      <c r="D146" s="69"/>
      <c r="E146" s="11" t="s">
        <v>1197</v>
      </c>
      <c r="F146" s="25" t="str">
        <f>IFERROR(IF($AO146,INDEX(cpe!$C$2:$C$307,MATCH($AP146,cpe!$F$2:$F$307,0)),INDEX(cpe!$C$2:$C$307,MATCH($AP146,cpe!$D$2:$D$307,0))),"#N/D")</f>
        <v>Institucion Educativa Rural Departamental San Nicolas</v>
      </c>
      <c r="G146" s="25" t="str">
        <f>IFERROR(IF($AO146,INDEX(cpe!$B$2:$B$307,MATCH($AP146,cpe!$F$2:$F$307,0)),INDEX(cpe!$B$2:$B$307,MATCH($AP146,cpe!$D$2:$D$307,0))),"#N/D")</f>
        <v>Cogua</v>
      </c>
      <c r="H146" s="26" t="str">
        <f>IF($AO146,"#N/D",IFERROR(INDEX(Olimpiadas!$B$2:$B$61,MATCH($AM146,Olimpiadas!$C$2:$C$61,0)),"#N/D"))</f>
        <v>#N/D</v>
      </c>
      <c r="I146" s="26" t="str">
        <f>IF($AO146,"#N/D",IFERROR(INDEX(Olimpiadas!$A$2:$A$61,MATCH($AM146,Olimpiadas!$C$2:$C$61,0)),"#N/D"))</f>
        <v>#N/D</v>
      </c>
      <c r="J146" s="26" t="str">
        <f>IF($AO146,"#N/D",IFERROR(INDEX(Minculturas!$A$2:$A$48,MATCH($AM146,Minculturas!$C$2:$C$48,0)),"#N/D"))</f>
        <v>#N/D</v>
      </c>
      <c r="K146" s="26" t="str">
        <f>IF($AO146,"#N/D",IFERROR(INDEX(Minculturas!$B$2:$B$48,MATCH($AM146,Minculturas!$C$2:$C$48,0)),"#N/D"))</f>
        <v>#N/D</v>
      </c>
      <c r="L146" s="27">
        <v>1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1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7">
        <f>SUM(Tabla43[[#This Row],[Edificación colapsada]:[Robo]])</f>
        <v>1</v>
      </c>
      <c r="AF146" s="28"/>
      <c r="AG146" s="28"/>
      <c r="AH146" s="28">
        <v>12.6</v>
      </c>
      <c r="AI146" s="28"/>
      <c r="AJ146" s="28"/>
      <c r="AK146" s="29" t="s">
        <v>114</v>
      </c>
      <c r="AM146" t="str">
        <f t="shared" si="8"/>
        <v>cogua</v>
      </c>
      <c r="AN146" t="str">
        <f t="shared" si="9"/>
        <v>cundinamarca</v>
      </c>
      <c r="AO146" t="b">
        <f t="shared" si="10"/>
        <v>0</v>
      </c>
      <c r="AP146" t="str">
        <f t="shared" si="11"/>
        <v>cogua</v>
      </c>
    </row>
    <row r="147" spans="1:42" ht="25.5" customHeight="1" x14ac:dyDescent="0.25">
      <c r="A147" s="33" t="s">
        <v>490</v>
      </c>
      <c r="B147" s="11" t="s">
        <v>37</v>
      </c>
      <c r="C147" s="34" t="s">
        <v>112</v>
      </c>
      <c r="D147" s="69"/>
      <c r="E147" s="11" t="s">
        <v>491</v>
      </c>
      <c r="F147" s="25" t="str">
        <f>IFERROR(IF($AO147,INDEX(cpe!$C$2:$C$307,MATCH($AP147,cpe!$F$2:$F$307,0)),INDEX(cpe!$C$2:$C$307,MATCH($AP147,cpe!$D$2:$D$307,0))),"#N/D")</f>
        <v>Institucion Educativa Anaime</v>
      </c>
      <c r="G147" s="25" t="str">
        <f>IFERROR(IF($AO147,INDEX(cpe!$B$2:$B$307,MATCH($AP147,cpe!$F$2:$F$307,0)),INDEX(cpe!$B$2:$B$307,MATCH($AP147,cpe!$D$2:$D$307,0))),"#N/D")</f>
        <v>Colombia</v>
      </c>
      <c r="H147" s="26" t="str">
        <f>IF($AO147,"#N/D",IFERROR(INDEX(Olimpiadas!$B$2:$B$61,MATCH($AM147,Olimpiadas!$C$2:$C$61,0)),"#N/D"))</f>
        <v>#N/D</v>
      </c>
      <c r="I147" s="26" t="str">
        <f>IF($AO147,"#N/D",IFERROR(INDEX(Olimpiadas!$A$2:$A$61,MATCH($AM147,Olimpiadas!$C$2:$C$61,0)),"#N/D"))</f>
        <v>#N/D</v>
      </c>
      <c r="J147" s="26" t="str">
        <f>IF($AO147,"#N/D",IFERROR(INDEX(Minculturas!$A$2:$A$48,MATCH($AM147,Minculturas!$C$2:$C$48,0)),"#N/D"))</f>
        <v>#N/D</v>
      </c>
      <c r="K147" s="26" t="str">
        <f>IF($AO147,"#N/D",IFERROR(INDEX(Minculturas!$B$2:$B$48,MATCH($AM147,Minculturas!$C$2:$C$48,0)),"#N/D"))</f>
        <v>#N/D</v>
      </c>
      <c r="L147" s="27">
        <v>1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1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7">
        <f>SUM(Tabla43[[#This Row],[Edificación colapsada]:[Robo]])</f>
        <v>1</v>
      </c>
      <c r="AF147" s="28"/>
      <c r="AG147" s="28"/>
      <c r="AH147" s="28">
        <v>61.7</v>
      </c>
      <c r="AI147" s="28"/>
      <c r="AJ147" s="28"/>
      <c r="AK147" s="29" t="s">
        <v>114</v>
      </c>
      <c r="AM147" t="str">
        <f t="shared" si="8"/>
        <v>colombia</v>
      </c>
      <c r="AN147" t="str">
        <f t="shared" si="9"/>
        <v>huila</v>
      </c>
      <c r="AO147" t="b">
        <f t="shared" si="10"/>
        <v>0</v>
      </c>
      <c r="AP147" t="str">
        <f t="shared" si="11"/>
        <v>colombia</v>
      </c>
    </row>
    <row r="148" spans="1:42" ht="25.5" customHeight="1" x14ac:dyDescent="0.25">
      <c r="A148" s="33" t="s">
        <v>899</v>
      </c>
      <c r="B148" s="11" t="s">
        <v>10</v>
      </c>
      <c r="C148" s="34" t="s">
        <v>112</v>
      </c>
      <c r="D148" s="69"/>
      <c r="E148" s="11" t="s">
        <v>900</v>
      </c>
      <c r="F148" s="25" t="str">
        <f>IFERROR(IF($AO148,INDEX(cpe!$C$2:$C$307,MATCH($AP148,cpe!$F$2:$F$307,0)),INDEX(cpe!$C$2:$C$307,MATCH($AP148,cpe!$D$2:$D$307,0))),"#N/D")</f>
        <v>#N/D</v>
      </c>
      <c r="G148" s="25" t="str">
        <f>IFERROR(IF($AO148,INDEX(cpe!$B$2:$B$307,MATCH($AP148,cpe!$F$2:$F$307,0)),INDEX(cpe!$B$2:$B$307,MATCH($AP148,cpe!$D$2:$D$307,0))),"#N/D")</f>
        <v>#N/D</v>
      </c>
      <c r="H148" s="26" t="str">
        <f>IF($AO148,"#N/D",IFERROR(INDEX(Olimpiadas!$B$2:$B$61,MATCH($AM148,Olimpiadas!$C$2:$C$61,0)),"#N/D"))</f>
        <v>#N/D</v>
      </c>
      <c r="I148" s="26" t="str">
        <f>IF($AO148,"#N/D",IFERROR(INDEX(Olimpiadas!$A$2:$A$61,MATCH($AM148,Olimpiadas!$C$2:$C$61,0)),"#N/D"))</f>
        <v>#N/D</v>
      </c>
      <c r="J148" s="26" t="str">
        <f>IF($AO148,"#N/D",IFERROR(INDEX(Minculturas!$A$2:$A$48,MATCH($AM148,Minculturas!$C$2:$C$48,0)),"#N/D"))</f>
        <v>#N/D</v>
      </c>
      <c r="K148" s="26" t="str">
        <f>IF($AO148,"#N/D",IFERROR(INDEX(Minculturas!$B$2:$B$48,MATCH($AM148,Minculturas!$C$2:$C$48,0)),"#N/D"))</f>
        <v>#N/D</v>
      </c>
      <c r="L148" s="27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7">
        <f>SUM(Tabla43[[#This Row],[Edificación colapsada]:[Robo]])</f>
        <v>0</v>
      </c>
      <c r="AF148" s="28"/>
      <c r="AG148" s="28"/>
      <c r="AH148" s="28">
        <v>33</v>
      </c>
      <c r="AI148" s="28"/>
      <c r="AJ148" s="28"/>
      <c r="AK148" s="29" t="s">
        <v>365</v>
      </c>
      <c r="AM148" t="str">
        <f t="shared" si="8"/>
        <v>concepcion</v>
      </c>
      <c r="AN148" t="str">
        <f t="shared" si="9"/>
        <v>antioquia</v>
      </c>
      <c r="AO148" t="b">
        <f t="shared" si="10"/>
        <v>0</v>
      </c>
      <c r="AP148" t="str">
        <f t="shared" si="11"/>
        <v>concepcion</v>
      </c>
    </row>
    <row r="149" spans="1:42" ht="25.5" customHeight="1" x14ac:dyDescent="0.25">
      <c r="A149" s="33" t="s">
        <v>361</v>
      </c>
      <c r="B149" s="11" t="s">
        <v>10</v>
      </c>
      <c r="C149" s="34" t="s">
        <v>112</v>
      </c>
      <c r="D149" s="69"/>
      <c r="E149" s="11" t="s">
        <v>362</v>
      </c>
      <c r="F149" s="25" t="str">
        <f>IFERROR(IF($AO149,INDEX(cpe!$C$2:$C$307,MATCH($AP149,cpe!$F$2:$F$307,0)),INDEX(cpe!$C$2:$C$307,MATCH($AP149,cpe!$D$2:$D$307,0))),"#N/D")</f>
        <v>#N/D</v>
      </c>
      <c r="G149" s="25" t="str">
        <f>IFERROR(IF($AO149,INDEX(cpe!$B$2:$B$307,MATCH($AP149,cpe!$F$2:$F$307,0)),INDEX(cpe!$B$2:$B$307,MATCH($AP149,cpe!$D$2:$D$307,0))),"#N/D")</f>
        <v>#N/D</v>
      </c>
      <c r="H149" s="26" t="str">
        <f>IF($AO149,"#N/D",IFERROR(INDEX(Olimpiadas!$B$2:$B$61,MATCH($AM149,Olimpiadas!$C$2:$C$61,0)),"#N/D"))</f>
        <v>#N/D</v>
      </c>
      <c r="I149" s="26" t="str">
        <f>IF($AO149,"#N/D",IFERROR(INDEX(Olimpiadas!$A$2:$A$61,MATCH($AM149,Olimpiadas!$C$2:$C$61,0)),"#N/D"))</f>
        <v>#N/D</v>
      </c>
      <c r="J149" s="26" t="str">
        <f>IF($AO149,"#N/D",IFERROR(INDEX(Minculturas!$A$2:$A$48,MATCH($AM149,Minculturas!$C$2:$C$48,0)),"#N/D"))</f>
        <v>#N/D</v>
      </c>
      <c r="K149" s="26" t="str">
        <f>IF($AO149,"#N/D",IFERROR(INDEX(Minculturas!$B$2:$B$48,MATCH($AM149,Minculturas!$C$2:$C$48,0)),"#N/D"))</f>
        <v>#N/D</v>
      </c>
      <c r="L149" s="27">
        <v>2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2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7">
        <f>SUM(Tabla43[[#This Row],[Edificación colapsada]:[Robo]])</f>
        <v>2</v>
      </c>
      <c r="AF149" s="28"/>
      <c r="AG149" s="28"/>
      <c r="AH149" s="28">
        <v>48.5</v>
      </c>
      <c r="AI149" s="28"/>
      <c r="AJ149" s="28"/>
      <c r="AK149" s="29" t="s">
        <v>114</v>
      </c>
      <c r="AM149" t="str">
        <f t="shared" si="8"/>
        <v>concordia</v>
      </c>
      <c r="AN149" t="str">
        <f t="shared" si="9"/>
        <v>antioquia</v>
      </c>
      <c r="AO149" t="b">
        <f t="shared" si="10"/>
        <v>0</v>
      </c>
      <c r="AP149" t="str">
        <f t="shared" si="11"/>
        <v>concordia</v>
      </c>
    </row>
    <row r="150" spans="1:42" ht="25.5" customHeight="1" x14ac:dyDescent="0.25">
      <c r="A150" s="33" t="s">
        <v>116</v>
      </c>
      <c r="B150" s="11" t="s">
        <v>31</v>
      </c>
      <c r="C150" s="34" t="s">
        <v>112</v>
      </c>
      <c r="D150" s="69"/>
      <c r="E150" s="11" t="s">
        <v>117</v>
      </c>
      <c r="F150" s="25" t="str">
        <f>IFERROR(IF($AO150,INDEX(cpe!$C$2:$C$307,MATCH($AP150,cpe!$F$2:$F$307,0)),INDEX(cpe!$C$2:$C$307,MATCH($AP150,cpe!$D$2:$D$307,0))),"#N/D")</f>
        <v>#N/D</v>
      </c>
      <c r="G150" s="25" t="str">
        <f>IFERROR(IF($AO150,INDEX(cpe!$B$2:$B$307,MATCH($AP150,cpe!$F$2:$F$307,0)),INDEX(cpe!$B$2:$B$307,MATCH($AP150,cpe!$D$2:$D$307,0))),"#N/D")</f>
        <v>#N/D</v>
      </c>
      <c r="H150" s="26" t="str">
        <f>IF($AO150,"#N/D",IFERROR(INDEX(Olimpiadas!$B$2:$B$61,MATCH($AM150,Olimpiadas!$C$2:$C$61,0)),"#N/D"))</f>
        <v>#N/D</v>
      </c>
      <c r="I150" s="26" t="str">
        <f>IF($AO150,"#N/D",IFERROR(INDEX(Olimpiadas!$A$2:$A$61,MATCH($AM150,Olimpiadas!$C$2:$C$61,0)),"#N/D"))</f>
        <v>#N/D</v>
      </c>
      <c r="J150" s="26" t="str">
        <f>IF($AO150,"#N/D",IFERROR(INDEX(Minculturas!$A$2:$A$48,MATCH($AM150,Minculturas!$C$2:$C$48,0)),"#N/D"))</f>
        <v>#N/D</v>
      </c>
      <c r="K150" s="26" t="str">
        <f>IF($AO150,"#N/D",IFERROR(INDEX(Minculturas!$B$2:$B$48,MATCH($AM150,Minculturas!$C$2:$C$48,0)),"#N/D"))</f>
        <v>#N/D</v>
      </c>
      <c r="L150" s="27">
        <v>5</v>
      </c>
      <c r="M150" s="28">
        <v>0</v>
      </c>
      <c r="N150" s="28">
        <v>2</v>
      </c>
      <c r="O150" s="28">
        <v>0</v>
      </c>
      <c r="P150" s="28">
        <v>0</v>
      </c>
      <c r="Q150" s="28">
        <v>0</v>
      </c>
      <c r="R150" s="28">
        <v>0</v>
      </c>
      <c r="S150" s="28">
        <v>1</v>
      </c>
      <c r="T150" s="28">
        <v>1</v>
      </c>
      <c r="U150" s="28">
        <v>0</v>
      </c>
      <c r="V150" s="28">
        <v>1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7">
        <f>SUM(Tabla43[[#This Row],[Edificación colapsada]:[Robo]])</f>
        <v>5</v>
      </c>
      <c r="AF150" s="28">
        <v>998</v>
      </c>
      <c r="AG150" s="28" t="s">
        <v>118</v>
      </c>
      <c r="AH150" s="28">
        <v>53.2</v>
      </c>
      <c r="AI150" s="28"/>
      <c r="AJ150" s="28"/>
      <c r="AK150" s="29" t="s">
        <v>114</v>
      </c>
      <c r="AM150" t="str">
        <f t="shared" si="8"/>
        <v>condoto</v>
      </c>
      <c r="AN150" t="str">
        <f t="shared" si="9"/>
        <v>choco</v>
      </c>
      <c r="AO150" t="b">
        <f t="shared" si="10"/>
        <v>0</v>
      </c>
      <c r="AP150" t="str">
        <f t="shared" si="11"/>
        <v>condoto</v>
      </c>
    </row>
    <row r="151" spans="1:42" ht="25.5" customHeight="1" x14ac:dyDescent="0.25">
      <c r="A151" s="33" t="s">
        <v>628</v>
      </c>
      <c r="B151" s="11" t="s">
        <v>46</v>
      </c>
      <c r="C151" s="34" t="s">
        <v>112</v>
      </c>
      <c r="D151" s="69"/>
      <c r="E151" s="11" t="s">
        <v>629</v>
      </c>
      <c r="F151" s="25" t="str">
        <f>IFERROR(IF($AO151,INDEX(cpe!$C$2:$C$307,MATCH($AP151,cpe!$F$2:$F$307,0)),INDEX(cpe!$C$2:$C$307,MATCH($AP151,cpe!$D$2:$D$307,0))),"#N/D")</f>
        <v>#N/D</v>
      </c>
      <c r="G151" s="25" t="str">
        <f>IFERROR(IF($AO151,INDEX(cpe!$B$2:$B$307,MATCH($AP151,cpe!$F$2:$F$307,0)),INDEX(cpe!$B$2:$B$307,MATCH($AP151,cpe!$D$2:$D$307,0))),"#N/D")</f>
        <v>#N/D</v>
      </c>
      <c r="H151" s="26" t="str">
        <f>IF($AO151,"#N/D",IFERROR(INDEX(Olimpiadas!$B$2:$B$61,MATCH($AM151,Olimpiadas!$C$2:$C$61,0)),"#N/D"))</f>
        <v>#N/D</v>
      </c>
      <c r="I151" s="26" t="str">
        <f>IF($AO151,"#N/D",IFERROR(INDEX(Olimpiadas!$A$2:$A$61,MATCH($AM151,Olimpiadas!$C$2:$C$61,0)),"#N/D"))</f>
        <v>#N/D</v>
      </c>
      <c r="J151" s="26" t="str">
        <f>IF($AO151,"#N/D",IFERROR(INDEX(Minculturas!$A$2:$A$48,MATCH($AM151,Minculturas!$C$2:$C$48,0)),"#N/D"))</f>
        <v>#N/D</v>
      </c>
      <c r="K151" s="26" t="str">
        <f>IF($AO151,"#N/D",IFERROR(INDEX(Minculturas!$B$2:$B$48,MATCH($AM151,Minculturas!$C$2:$C$48,0)),"#N/D"))</f>
        <v>#N/D</v>
      </c>
      <c r="L151" s="27">
        <v>1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1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7">
        <f>SUM(Tabla43[[#This Row],[Edificación colapsada]:[Robo]])</f>
        <v>1</v>
      </c>
      <c r="AF151" s="28"/>
      <c r="AG151" s="28"/>
      <c r="AH151" s="28">
        <v>32.6</v>
      </c>
      <c r="AI151" s="28"/>
      <c r="AJ151" s="28"/>
      <c r="AK151" s="29" t="s">
        <v>114</v>
      </c>
      <c r="AM151" t="str">
        <f t="shared" si="8"/>
        <v>confines</v>
      </c>
      <c r="AN151" t="str">
        <f t="shared" si="9"/>
        <v>santander</v>
      </c>
      <c r="AO151" t="b">
        <f t="shared" si="10"/>
        <v>0</v>
      </c>
      <c r="AP151" t="str">
        <f t="shared" si="11"/>
        <v>confines</v>
      </c>
    </row>
    <row r="152" spans="1:42" ht="25.5" customHeight="1" x14ac:dyDescent="0.25">
      <c r="A152" s="33" t="s">
        <v>415</v>
      </c>
      <c r="B152" s="11" t="s">
        <v>41</v>
      </c>
      <c r="C152" s="34" t="s">
        <v>112</v>
      </c>
      <c r="D152" s="69"/>
      <c r="E152" s="11" t="s">
        <v>416</v>
      </c>
      <c r="F152" s="25" t="str">
        <f>IFERROR(IF($AO152,INDEX(cpe!$C$2:$C$307,MATCH($AP152,cpe!$F$2:$F$307,0)),INDEX(cpe!$C$2:$C$307,MATCH($AP152,cpe!$D$2:$D$307,0))),"#N/D")</f>
        <v>#N/D</v>
      </c>
      <c r="G152" s="25" t="str">
        <f>IFERROR(IF($AO152,INDEX(cpe!$B$2:$B$307,MATCH($AP152,cpe!$F$2:$F$307,0)),INDEX(cpe!$B$2:$B$307,MATCH($AP152,cpe!$D$2:$D$307,0))),"#N/D")</f>
        <v>#N/D</v>
      </c>
      <c r="H152" s="26" t="str">
        <f>IF($AO152,"#N/D",IFERROR(INDEX(Olimpiadas!$B$2:$B$61,MATCH($AM152,Olimpiadas!$C$2:$C$61,0)),"#N/D"))</f>
        <v>#N/D</v>
      </c>
      <c r="I152" s="26" t="str">
        <f>IF($AO152,"#N/D",IFERROR(INDEX(Olimpiadas!$A$2:$A$61,MATCH($AM152,Olimpiadas!$C$2:$C$61,0)),"#N/D"))</f>
        <v>#N/D</v>
      </c>
      <c r="J152" s="26" t="str">
        <f>IF($AO152,"#N/D",IFERROR(INDEX(Minculturas!$A$2:$A$48,MATCH($AM152,Minculturas!$C$2:$C$48,0)),"#N/D"))</f>
        <v>#N/D</v>
      </c>
      <c r="K152" s="26" t="str">
        <f>IF($AO152,"#N/D",IFERROR(INDEX(Minculturas!$B$2:$B$48,MATCH($AM152,Minculturas!$C$2:$C$48,0)),"#N/D"))</f>
        <v>#N/D</v>
      </c>
      <c r="L152" s="27">
        <v>1</v>
      </c>
      <c r="M152" s="28">
        <v>0</v>
      </c>
      <c r="N152" s="28">
        <v>0</v>
      </c>
      <c r="O152" s="28">
        <v>0</v>
      </c>
      <c r="P152" s="28">
        <v>0</v>
      </c>
      <c r="Q152" s="28">
        <v>1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7">
        <f>SUM(Tabla43[[#This Row],[Edificación colapsada]:[Robo]])</f>
        <v>1</v>
      </c>
      <c r="AF152" s="28"/>
      <c r="AG152" s="28"/>
      <c r="AH152" s="28">
        <v>34.9</v>
      </c>
      <c r="AI152" s="28"/>
      <c r="AJ152" s="28"/>
      <c r="AK152" s="29" t="s">
        <v>114</v>
      </c>
      <c r="AM152" t="str">
        <f t="shared" si="8"/>
        <v>consaca</v>
      </c>
      <c r="AN152" t="str">
        <f t="shared" si="9"/>
        <v>narino</v>
      </c>
      <c r="AO152" t="b">
        <f t="shared" si="10"/>
        <v>0</v>
      </c>
      <c r="AP152" t="str">
        <f t="shared" si="11"/>
        <v>consaca</v>
      </c>
    </row>
    <row r="153" spans="1:42" ht="25.5" customHeight="1" x14ac:dyDescent="0.25">
      <c r="A153" s="33" t="s">
        <v>1143</v>
      </c>
      <c r="B153" s="11" t="s">
        <v>10</v>
      </c>
      <c r="C153" s="34" t="s">
        <v>112</v>
      </c>
      <c r="D153" s="69"/>
      <c r="E153" s="11" t="s">
        <v>1144</v>
      </c>
      <c r="F153" s="25" t="str">
        <f>IFERROR(IF($AO153,INDEX(cpe!$C$2:$C$307,MATCH($AP153,cpe!$F$2:$F$307,0)),INDEX(cpe!$C$2:$C$307,MATCH($AP153,cpe!$D$2:$D$307,0))),"#N/D")</f>
        <v>#N/D</v>
      </c>
      <c r="G153" s="25" t="str">
        <f>IFERROR(IF($AO153,INDEX(cpe!$B$2:$B$307,MATCH($AP153,cpe!$F$2:$F$307,0)),INDEX(cpe!$B$2:$B$307,MATCH($AP153,cpe!$D$2:$D$307,0))),"#N/D")</f>
        <v>#N/D</v>
      </c>
      <c r="H153" s="26" t="str">
        <f>IF($AO153,"#N/D",IFERROR(INDEX(Olimpiadas!$B$2:$B$61,MATCH($AM153,Olimpiadas!$C$2:$C$61,0)),"#N/D"))</f>
        <v>#N/D</v>
      </c>
      <c r="I153" s="26" t="str">
        <f>IF($AO153,"#N/D",IFERROR(INDEX(Olimpiadas!$A$2:$A$61,MATCH($AM153,Olimpiadas!$C$2:$C$61,0)),"#N/D"))</f>
        <v>#N/D</v>
      </c>
      <c r="J153" s="26" t="str">
        <f>IF($AO153,"#N/D",IFERROR(INDEX(Minculturas!$A$2:$A$48,MATCH($AM153,Minculturas!$C$2:$C$48,0)),"#N/D"))</f>
        <v>#N/D</v>
      </c>
      <c r="K153" s="26" t="str">
        <f>IF($AO153,"#N/D",IFERROR(INDEX(Minculturas!$B$2:$B$48,MATCH($AM153,Minculturas!$C$2:$C$48,0)),"#N/D"))</f>
        <v>#N/D</v>
      </c>
      <c r="L153" s="27">
        <v>2</v>
      </c>
      <c r="M153" s="28">
        <v>0</v>
      </c>
      <c r="N153" s="28">
        <v>0</v>
      </c>
      <c r="O153" s="28">
        <v>0</v>
      </c>
      <c r="P153" s="28">
        <v>1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1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7">
        <f>SUM(Tabla43[[#This Row],[Edificación colapsada]:[Robo]])</f>
        <v>2</v>
      </c>
      <c r="AF153" s="28"/>
      <c r="AG153" s="28"/>
      <c r="AH153" s="28">
        <v>11.6</v>
      </c>
      <c r="AI153" s="28"/>
      <c r="AJ153" s="28"/>
      <c r="AK153" s="29" t="s">
        <v>114</v>
      </c>
      <c r="AM153" t="str">
        <f t="shared" si="8"/>
        <v>copacabana</v>
      </c>
      <c r="AN153" t="str">
        <f t="shared" si="9"/>
        <v>antioquia</v>
      </c>
      <c r="AO153" t="b">
        <f t="shared" si="10"/>
        <v>0</v>
      </c>
      <c r="AP153" t="str">
        <f t="shared" si="11"/>
        <v>copacabana</v>
      </c>
    </row>
    <row r="154" spans="1:42" ht="25.5" customHeight="1" x14ac:dyDescent="0.25">
      <c r="A154" s="33" t="s">
        <v>901</v>
      </c>
      <c r="B154" s="11" t="s">
        <v>44</v>
      </c>
      <c r="C154" s="34" t="s">
        <v>112</v>
      </c>
      <c r="D154" s="69"/>
      <c r="E154" s="11" t="s">
        <v>33</v>
      </c>
      <c r="F154" s="25" t="str">
        <f>IFERROR(IF($AO154,INDEX(cpe!$C$2:$C$307,MATCH($AP154,cpe!$F$2:$F$307,0)),INDEX(cpe!$C$2:$C$307,MATCH($AP154,cpe!$D$2:$D$307,0))),"#N/D")</f>
        <v>#N/D</v>
      </c>
      <c r="G154" s="25" t="str">
        <f>IFERROR(IF($AO154,INDEX(cpe!$B$2:$B$307,MATCH($AP154,cpe!$F$2:$F$307,0)),INDEX(cpe!$B$2:$B$307,MATCH($AP154,cpe!$D$2:$D$307,0))),"#N/D")</f>
        <v>#N/D</v>
      </c>
      <c r="H154" s="26" t="str">
        <f>IF($AO154,"#N/D",IFERROR(INDEX(Olimpiadas!$B$2:$B$61,MATCH($AM154,Olimpiadas!$C$2:$C$61,0)),"#N/D"))</f>
        <v>#N/D</v>
      </c>
      <c r="I154" s="26" t="str">
        <f>IF($AO154,"#N/D",IFERROR(INDEX(Olimpiadas!$A$2:$A$61,MATCH($AM154,Olimpiadas!$C$2:$C$61,0)),"#N/D"))</f>
        <v>#N/D</v>
      </c>
      <c r="J154" s="26" t="str">
        <f>IF($AO154,"#N/D",IFERROR(INDEX(Minculturas!$A$2:$A$48,MATCH($AM154,Minculturas!$C$2:$C$48,0)),"#N/D"))</f>
        <v>#N/D</v>
      </c>
      <c r="K154" s="26" t="str">
        <f>IF($AO154,"#N/D",IFERROR(INDEX(Minculturas!$B$2:$B$48,MATCH($AM154,Minculturas!$C$2:$C$48,0)),"#N/D"))</f>
        <v>#N/D</v>
      </c>
      <c r="L154" s="27">
        <v>1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1</v>
      </c>
      <c r="AA154" s="28">
        <v>0</v>
      </c>
      <c r="AB154" s="28">
        <v>0</v>
      </c>
      <c r="AC154" s="28">
        <v>0</v>
      </c>
      <c r="AD154" s="28">
        <v>0</v>
      </c>
      <c r="AE154" s="27">
        <f>SUM(Tabla43[[#This Row],[Edificación colapsada]:[Robo]])</f>
        <v>1</v>
      </c>
      <c r="AF154" s="28" t="s">
        <v>902</v>
      </c>
      <c r="AG154" s="28" t="s">
        <v>903</v>
      </c>
      <c r="AH154" s="28">
        <v>41.8</v>
      </c>
      <c r="AI154" s="28"/>
      <c r="AJ154" s="28"/>
      <c r="AK154" s="29" t="s">
        <v>114</v>
      </c>
      <c r="AM154" t="str">
        <f t="shared" si="8"/>
        <v>cordoba</v>
      </c>
      <c r="AN154" t="str">
        <f t="shared" si="9"/>
        <v>quindio</v>
      </c>
      <c r="AO154" t="b">
        <f t="shared" si="10"/>
        <v>1</v>
      </c>
      <c r="AP154" t="str">
        <f t="shared" si="11"/>
        <v>cordoba|quindio</v>
      </c>
    </row>
    <row r="155" spans="1:42" ht="25.5" customHeight="1" x14ac:dyDescent="0.25">
      <c r="A155" s="33" t="s">
        <v>229</v>
      </c>
      <c r="B155" s="11" t="s">
        <v>41</v>
      </c>
      <c r="C155" s="34" t="s">
        <v>112</v>
      </c>
      <c r="D155" s="69"/>
      <c r="E155" s="11" t="s">
        <v>33</v>
      </c>
      <c r="F155" s="25" t="str">
        <f>IFERROR(IF($AO155,INDEX(cpe!$C$2:$C$307,MATCH($AP155,cpe!$F$2:$F$307,0)),INDEX(cpe!$C$2:$C$307,MATCH($AP155,cpe!$D$2:$D$307,0))),"#N/D")</f>
        <v>#N/D</v>
      </c>
      <c r="G155" s="25" t="str">
        <f>IFERROR(IF($AO155,INDEX(cpe!$B$2:$B$307,MATCH($AP155,cpe!$F$2:$F$307,0)),INDEX(cpe!$B$2:$B$307,MATCH($AP155,cpe!$D$2:$D$307,0))),"#N/D")</f>
        <v>#N/D</v>
      </c>
      <c r="H155" s="26" t="str">
        <f>IF($AO155,"#N/D",IFERROR(INDEX(Olimpiadas!$B$2:$B$61,MATCH($AM155,Olimpiadas!$C$2:$C$61,0)),"#N/D"))</f>
        <v>#N/D</v>
      </c>
      <c r="I155" s="26" t="str">
        <f>IF($AO155,"#N/D",IFERROR(INDEX(Olimpiadas!$A$2:$A$61,MATCH($AM155,Olimpiadas!$C$2:$C$61,0)),"#N/D"))</f>
        <v>#N/D</v>
      </c>
      <c r="J155" s="26" t="str">
        <f>IF($AO155,"#N/D",IFERROR(INDEX(Minculturas!$A$2:$A$48,MATCH($AM155,Minculturas!$C$2:$C$48,0)),"#N/D"))</f>
        <v>#N/D</v>
      </c>
      <c r="K155" s="26" t="str">
        <f>IF($AO155,"#N/D",IFERROR(INDEX(Minculturas!$B$2:$B$48,MATCH($AM155,Minculturas!$C$2:$C$48,0)),"#N/D"))</f>
        <v>#N/D</v>
      </c>
      <c r="L155" s="27">
        <v>4</v>
      </c>
      <c r="M155" s="28">
        <v>0</v>
      </c>
      <c r="N155" s="28">
        <v>2</v>
      </c>
      <c r="O155" s="28">
        <v>0</v>
      </c>
      <c r="P155" s="28">
        <v>0</v>
      </c>
      <c r="Q155" s="28">
        <v>0</v>
      </c>
      <c r="R155" s="28">
        <v>0</v>
      </c>
      <c r="S155" s="28">
        <v>2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7">
        <f>SUM(Tabla43[[#This Row],[Edificación colapsada]:[Robo]])</f>
        <v>4</v>
      </c>
      <c r="AF155" s="28"/>
      <c r="AG155" s="28"/>
      <c r="AH155" s="28">
        <v>30.7</v>
      </c>
      <c r="AI155" s="28"/>
      <c r="AJ155" s="28"/>
      <c r="AK155" s="29" t="s">
        <v>230</v>
      </c>
      <c r="AM155" t="str">
        <f t="shared" si="8"/>
        <v>cordoba</v>
      </c>
      <c r="AN155" t="str">
        <f t="shared" si="9"/>
        <v>narino</v>
      </c>
      <c r="AO155" t="b">
        <f t="shared" si="10"/>
        <v>1</v>
      </c>
      <c r="AP155" t="str">
        <f t="shared" si="11"/>
        <v>cordoba|narino</v>
      </c>
    </row>
    <row r="156" spans="1:42" ht="25.5" customHeight="1" x14ac:dyDescent="0.25">
      <c r="A156" s="33" t="s">
        <v>1149</v>
      </c>
      <c r="B156" s="11" t="s">
        <v>28</v>
      </c>
      <c r="C156" s="34" t="s">
        <v>112</v>
      </c>
      <c r="D156" s="69"/>
      <c r="E156" s="11" t="s">
        <v>1150</v>
      </c>
      <c r="F156" s="25" t="str">
        <f>IFERROR(IF($AO156,INDEX(cpe!$C$2:$C$307,MATCH($AP156,cpe!$F$2:$F$307,0)),INDEX(cpe!$C$2:$C$307,MATCH($AP156,cpe!$D$2:$D$307,0))),"#N/D")</f>
        <v>#N/D</v>
      </c>
      <c r="G156" s="25" t="str">
        <f>IFERROR(IF($AO156,INDEX(cpe!$B$2:$B$307,MATCH($AP156,cpe!$F$2:$F$307,0)),INDEX(cpe!$B$2:$B$307,MATCH($AP156,cpe!$D$2:$D$307,0))),"#N/D")</f>
        <v>#N/D</v>
      </c>
      <c r="H156" s="26" t="str">
        <f>IF($AO156,"#N/D",IFERROR(INDEX(Olimpiadas!$B$2:$B$61,MATCH($AM156,Olimpiadas!$C$2:$C$61,0)),"#N/D"))</f>
        <v>#N/D</v>
      </c>
      <c r="I156" s="26" t="str">
        <f>IF($AO156,"#N/D",IFERROR(INDEX(Olimpiadas!$A$2:$A$61,MATCH($AM156,Olimpiadas!$C$2:$C$61,0)),"#N/D"))</f>
        <v>#N/D</v>
      </c>
      <c r="J156" s="26" t="str">
        <f>IF($AO156,"#N/D",IFERROR(INDEX(Minculturas!$A$2:$A$48,MATCH($AM156,Minculturas!$C$2:$C$48,0)),"#N/D"))</f>
        <v>#N/D</v>
      </c>
      <c r="K156" s="26" t="str">
        <f>IF($AO156,"#N/D",IFERROR(INDEX(Minculturas!$B$2:$B$48,MATCH($AM156,Minculturas!$C$2:$C$48,0)),"#N/D"))</f>
        <v>#N/D</v>
      </c>
      <c r="L156" s="27">
        <v>2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1</v>
      </c>
      <c r="X156" s="28">
        <v>0</v>
      </c>
      <c r="Y156" s="28">
        <v>0</v>
      </c>
      <c r="Z156" s="28">
        <v>1</v>
      </c>
      <c r="AA156" s="28">
        <v>0</v>
      </c>
      <c r="AB156" s="28">
        <v>0</v>
      </c>
      <c r="AC156" s="28">
        <v>0</v>
      </c>
      <c r="AD156" s="28">
        <v>0</v>
      </c>
      <c r="AE156" s="27">
        <f>SUM(Tabla43[[#This Row],[Edificación colapsada]:[Robo]])</f>
        <v>2</v>
      </c>
      <c r="AF156" s="28"/>
      <c r="AG156" s="28"/>
      <c r="AH156" s="28">
        <v>33.700000000000003</v>
      </c>
      <c r="AI156" s="28"/>
      <c r="AJ156" s="28"/>
      <c r="AK156" s="29" t="s">
        <v>114</v>
      </c>
      <c r="AM156" t="str">
        <f t="shared" si="8"/>
        <v>corinto</v>
      </c>
      <c r="AN156" t="str">
        <f t="shared" si="9"/>
        <v>cauca</v>
      </c>
      <c r="AO156" t="b">
        <f t="shared" si="10"/>
        <v>0</v>
      </c>
      <c r="AP156" t="str">
        <f t="shared" si="11"/>
        <v>corinto</v>
      </c>
    </row>
    <row r="157" spans="1:42" ht="25.5" customHeight="1" x14ac:dyDescent="0.25">
      <c r="A157" s="33" t="s">
        <v>630</v>
      </c>
      <c r="B157" s="11" t="s">
        <v>46</v>
      </c>
      <c r="C157" s="34" t="s">
        <v>112</v>
      </c>
      <c r="D157" s="69"/>
      <c r="E157" s="11" t="s">
        <v>631</v>
      </c>
      <c r="F157" s="25" t="str">
        <f>IFERROR(IF($AO157,INDEX(cpe!$C$2:$C$307,MATCH($AP157,cpe!$F$2:$F$307,0)),INDEX(cpe!$C$2:$C$307,MATCH($AP157,cpe!$D$2:$D$307,0))),"#N/D")</f>
        <v>#N/D</v>
      </c>
      <c r="G157" s="25" t="str">
        <f>IFERROR(IF($AO157,INDEX(cpe!$B$2:$B$307,MATCH($AP157,cpe!$F$2:$F$307,0)),INDEX(cpe!$B$2:$B$307,MATCH($AP157,cpe!$D$2:$D$307,0))),"#N/D")</f>
        <v>#N/D</v>
      </c>
      <c r="H157" s="26" t="str">
        <f>IF($AO157,"#N/D",IFERROR(INDEX(Olimpiadas!$B$2:$B$61,MATCH($AM157,Olimpiadas!$C$2:$C$61,0)),"#N/D"))</f>
        <v>#N/D</v>
      </c>
      <c r="I157" s="26" t="str">
        <f>IF($AO157,"#N/D",IFERROR(INDEX(Olimpiadas!$A$2:$A$61,MATCH($AM157,Olimpiadas!$C$2:$C$61,0)),"#N/D"))</f>
        <v>#N/D</v>
      </c>
      <c r="J157" s="26" t="str">
        <f>IF($AO157,"#N/D",IFERROR(INDEX(Minculturas!$A$2:$A$48,MATCH($AM157,Minculturas!$C$2:$C$48,0)),"#N/D"))</f>
        <v>#N/D</v>
      </c>
      <c r="K157" s="26" t="str">
        <f>IF($AO157,"#N/D",IFERROR(INDEX(Minculturas!$B$2:$B$48,MATCH($AM157,Minculturas!$C$2:$C$48,0)),"#N/D"))</f>
        <v>#N/D</v>
      </c>
      <c r="L157" s="27">
        <v>1</v>
      </c>
      <c r="M157" s="28">
        <v>0</v>
      </c>
      <c r="N157" s="28">
        <v>1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7">
        <f>SUM(Tabla43[[#This Row],[Edificación colapsada]:[Robo]])</f>
        <v>1</v>
      </c>
      <c r="AF157" s="28"/>
      <c r="AG157" s="28"/>
      <c r="AH157" s="28">
        <v>53.6</v>
      </c>
      <c r="AI157" s="28"/>
      <c r="AJ157" s="28"/>
      <c r="AK157" s="29" t="s">
        <v>114</v>
      </c>
      <c r="AM157" t="str">
        <f t="shared" si="8"/>
        <v>coromoro</v>
      </c>
      <c r="AN157" t="str">
        <f t="shared" si="9"/>
        <v>santander</v>
      </c>
      <c r="AO157" t="b">
        <f t="shared" si="10"/>
        <v>0</v>
      </c>
      <c r="AP157" t="str">
        <f t="shared" si="11"/>
        <v>coromoro</v>
      </c>
    </row>
    <row r="158" spans="1:42" ht="25.5" customHeight="1" x14ac:dyDescent="0.25">
      <c r="A158" s="33" t="s">
        <v>1050</v>
      </c>
      <c r="B158" s="11" t="s">
        <v>35</v>
      </c>
      <c r="C158" s="34" t="s">
        <v>112</v>
      </c>
      <c r="D158" s="69"/>
      <c r="E158" s="11" t="s">
        <v>1051</v>
      </c>
      <c r="F158" s="25" t="str">
        <f>IFERROR(IF($AO158,INDEX(cpe!$C$2:$C$307,MATCH($AP158,cpe!$F$2:$F$307,0)),INDEX(cpe!$C$2:$C$307,MATCH($AP158,cpe!$D$2:$D$307,0))),"#N/D")</f>
        <v>#N/D</v>
      </c>
      <c r="G158" s="25" t="str">
        <f>IFERROR(IF($AO158,INDEX(cpe!$B$2:$B$307,MATCH($AP158,cpe!$F$2:$F$307,0)),INDEX(cpe!$B$2:$B$307,MATCH($AP158,cpe!$D$2:$D$307,0))),"#N/D")</f>
        <v>#N/D</v>
      </c>
      <c r="H158" s="26" t="str">
        <f>IF($AO158,"#N/D",IFERROR(INDEX(Olimpiadas!$B$2:$B$61,MATCH($AM158,Olimpiadas!$C$2:$C$61,0)),"#N/D"))</f>
        <v>#N/D</v>
      </c>
      <c r="I158" s="26" t="str">
        <f>IF($AO158,"#N/D",IFERROR(INDEX(Olimpiadas!$A$2:$A$61,MATCH($AM158,Olimpiadas!$C$2:$C$61,0)),"#N/D"))</f>
        <v>#N/D</v>
      </c>
      <c r="J158" s="26" t="str">
        <f>IF($AO158,"#N/D",IFERROR(INDEX(Minculturas!$A$2:$A$48,MATCH($AM158,Minculturas!$C$2:$C$48,0)),"#N/D"))</f>
        <v>#N/D</v>
      </c>
      <c r="K158" s="26" t="str">
        <f>IF($AO158,"#N/D",IFERROR(INDEX(Minculturas!$B$2:$B$48,MATCH($AM158,Minculturas!$C$2:$C$48,0)),"#N/D"))</f>
        <v>#N/D</v>
      </c>
      <c r="L158" s="27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7">
        <f>SUM(Tabla43[[#This Row],[Edificación colapsada]:[Robo]])</f>
        <v>0</v>
      </c>
      <c r="AF158" s="28"/>
      <c r="AG158" s="28"/>
      <c r="AH158" s="28">
        <v>9</v>
      </c>
      <c r="AI158" s="28"/>
      <c r="AJ158" s="28"/>
      <c r="AK158" s="29" t="s">
        <v>246</v>
      </c>
      <c r="AM158" t="str">
        <f t="shared" si="8"/>
        <v>cota</v>
      </c>
      <c r="AN158" t="str">
        <f t="shared" si="9"/>
        <v>cundinamarca</v>
      </c>
      <c r="AO158" t="b">
        <f t="shared" si="10"/>
        <v>0</v>
      </c>
      <c r="AP158" t="str">
        <f t="shared" si="11"/>
        <v>cota</v>
      </c>
    </row>
    <row r="159" spans="1:42" ht="25.5" customHeight="1" x14ac:dyDescent="0.25">
      <c r="A159" s="33" t="s">
        <v>417</v>
      </c>
      <c r="B159" s="11" t="s">
        <v>47</v>
      </c>
      <c r="C159" s="34" t="s">
        <v>112</v>
      </c>
      <c r="D159" s="69"/>
      <c r="E159" s="11" t="s">
        <v>418</v>
      </c>
      <c r="F159" s="25" t="str">
        <f>IFERROR(IF($AO159,INDEX(cpe!$C$2:$C$307,MATCH($AP159,cpe!$F$2:$F$307,0)),INDEX(cpe!$C$2:$C$307,MATCH($AP159,cpe!$D$2:$D$307,0))),"#N/D")</f>
        <v>#N/D</v>
      </c>
      <c r="G159" s="25" t="str">
        <f>IFERROR(IF($AO159,INDEX(cpe!$B$2:$B$307,MATCH($AP159,cpe!$F$2:$F$307,0)),INDEX(cpe!$B$2:$B$307,MATCH($AP159,cpe!$D$2:$D$307,0))),"#N/D")</f>
        <v>#N/D</v>
      </c>
      <c r="H159" s="26" t="str">
        <f>IF($AO159,"#N/D",IFERROR(INDEX(Olimpiadas!$B$2:$B$61,MATCH($AM159,Olimpiadas!$C$2:$C$61,0)),"#N/D"))</f>
        <v>#N/D</v>
      </c>
      <c r="I159" s="26" t="str">
        <f>IF($AO159,"#N/D",IFERROR(INDEX(Olimpiadas!$A$2:$A$61,MATCH($AM159,Olimpiadas!$C$2:$C$61,0)),"#N/D"))</f>
        <v>#N/D</v>
      </c>
      <c r="J159" s="26" t="str">
        <f>IF($AO159,"#N/D",IFERROR(INDEX(Minculturas!$A$2:$A$48,MATCH($AM159,Minculturas!$C$2:$C$48,0)),"#N/D"))</f>
        <v>#N/D</v>
      </c>
      <c r="K159" s="26" t="str">
        <f>IF($AO159,"#N/D",IFERROR(INDEX(Minculturas!$B$2:$B$48,MATCH($AM159,Minculturas!$C$2:$C$48,0)),"#N/D"))</f>
        <v>#N/D</v>
      </c>
      <c r="L159" s="27">
        <v>1</v>
      </c>
      <c r="M159" s="28">
        <v>0</v>
      </c>
      <c r="N159" s="28">
        <v>0</v>
      </c>
      <c r="O159" s="28">
        <v>1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7">
        <f>SUM(Tabla43[[#This Row],[Edificación colapsada]:[Robo]])</f>
        <v>1</v>
      </c>
      <c r="AF159" s="28"/>
      <c r="AG159" s="28"/>
      <c r="AH159" s="28">
        <v>45</v>
      </c>
      <c r="AI159" s="28"/>
      <c r="AJ159" s="28"/>
      <c r="AK159" s="29" t="s">
        <v>246</v>
      </c>
      <c r="AM159" t="str">
        <f t="shared" si="8"/>
        <v>covenas</v>
      </c>
      <c r="AN159" t="str">
        <f t="shared" si="9"/>
        <v>sucre</v>
      </c>
      <c r="AO159" t="b">
        <f t="shared" si="10"/>
        <v>0</v>
      </c>
      <c r="AP159" t="str">
        <f t="shared" si="11"/>
        <v>covenas</v>
      </c>
    </row>
    <row r="160" spans="1:42" ht="25.5" customHeight="1" x14ac:dyDescent="0.25">
      <c r="A160" s="33" t="s">
        <v>419</v>
      </c>
      <c r="B160" s="11" t="s">
        <v>41</v>
      </c>
      <c r="C160" s="34" t="s">
        <v>112</v>
      </c>
      <c r="D160" s="69"/>
      <c r="E160" s="11" t="s">
        <v>420</v>
      </c>
      <c r="F160" s="25" t="str">
        <f>IFERROR(IF($AO160,INDEX(cpe!$C$2:$C$307,MATCH($AP160,cpe!$F$2:$F$307,0)),INDEX(cpe!$C$2:$C$307,MATCH($AP160,cpe!$D$2:$D$307,0))),"#N/D")</f>
        <v>#N/D</v>
      </c>
      <c r="G160" s="25" t="str">
        <f>IFERROR(IF($AO160,INDEX(cpe!$B$2:$B$307,MATCH($AP160,cpe!$F$2:$F$307,0)),INDEX(cpe!$B$2:$B$307,MATCH($AP160,cpe!$D$2:$D$307,0))),"#N/D")</f>
        <v>#N/D</v>
      </c>
      <c r="H160" s="26" t="str">
        <f>IF($AO160,"#N/D",IFERROR(INDEX(Olimpiadas!$B$2:$B$61,MATCH($AM160,Olimpiadas!$C$2:$C$61,0)),"#N/D"))</f>
        <v>#N/D</v>
      </c>
      <c r="I160" s="26" t="str">
        <f>IF($AO160,"#N/D",IFERROR(INDEX(Olimpiadas!$A$2:$A$61,MATCH($AM160,Olimpiadas!$C$2:$C$61,0)),"#N/D"))</f>
        <v>#N/D</v>
      </c>
      <c r="J160" s="26" t="str">
        <f>IF($AO160,"#N/D",IFERROR(INDEX(Minculturas!$A$2:$A$48,MATCH($AM160,Minculturas!$C$2:$C$48,0)),"#N/D"))</f>
        <v>#N/D</v>
      </c>
      <c r="K160" s="26" t="str">
        <f>IF($AO160,"#N/D",IFERROR(INDEX(Minculturas!$B$2:$B$48,MATCH($AM160,Minculturas!$C$2:$C$48,0)),"#N/D"))</f>
        <v>#N/D</v>
      </c>
      <c r="L160" s="27">
        <v>1</v>
      </c>
      <c r="M160" s="28">
        <v>0</v>
      </c>
      <c r="N160" s="28">
        <v>0</v>
      </c>
      <c r="O160" s="28">
        <v>1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7">
        <f>SUM(Tabla43[[#This Row],[Edificación colapsada]:[Robo]])</f>
        <v>1</v>
      </c>
      <c r="AF160" s="28"/>
      <c r="AG160" s="28"/>
      <c r="AH160" s="28">
        <v>51.4</v>
      </c>
      <c r="AI160" s="28"/>
      <c r="AJ160" s="28"/>
      <c r="AK160" s="29" t="s">
        <v>114</v>
      </c>
      <c r="AM160" t="str">
        <f t="shared" si="8"/>
        <v>cuaspud</v>
      </c>
      <c r="AN160" t="str">
        <f t="shared" si="9"/>
        <v>narino</v>
      </c>
      <c r="AO160" t="b">
        <f t="shared" si="10"/>
        <v>0</v>
      </c>
      <c r="AP160" t="str">
        <f t="shared" si="11"/>
        <v>cuaspud</v>
      </c>
    </row>
    <row r="161" spans="1:42" ht="25.5" customHeight="1" x14ac:dyDescent="0.25">
      <c r="A161" s="33" t="s">
        <v>1052</v>
      </c>
      <c r="B161" s="11" t="s">
        <v>35</v>
      </c>
      <c r="C161" s="34" t="s">
        <v>112</v>
      </c>
      <c r="D161" s="69"/>
      <c r="E161" s="11" t="s">
        <v>1053</v>
      </c>
      <c r="F161" s="25" t="str">
        <f>IFERROR(IF($AO161,INDEX(cpe!$C$2:$C$307,MATCH($AP161,cpe!$F$2:$F$307,0)),INDEX(cpe!$C$2:$C$307,MATCH($AP161,cpe!$D$2:$D$307,0))),"#N/D")</f>
        <v>#N/D</v>
      </c>
      <c r="G161" s="25" t="str">
        <f>IFERROR(IF($AO161,INDEX(cpe!$B$2:$B$307,MATCH($AP161,cpe!$F$2:$F$307,0)),INDEX(cpe!$B$2:$B$307,MATCH($AP161,cpe!$D$2:$D$307,0))),"#N/D")</f>
        <v>#N/D</v>
      </c>
      <c r="H161" s="26" t="str">
        <f>IF($AO161,"#N/D",IFERROR(INDEX(Olimpiadas!$B$2:$B$61,MATCH($AM161,Olimpiadas!$C$2:$C$61,0)),"#N/D"))</f>
        <v>#N/D</v>
      </c>
      <c r="I161" s="26" t="str">
        <f>IF($AO161,"#N/D",IFERROR(INDEX(Olimpiadas!$A$2:$A$61,MATCH($AM161,Olimpiadas!$C$2:$C$61,0)),"#N/D"))</f>
        <v>#N/D</v>
      </c>
      <c r="J161" s="26" t="str">
        <f>IF($AO161,"#N/D",IFERROR(INDEX(Minculturas!$A$2:$A$48,MATCH($AM161,Minculturas!$C$2:$C$48,0)),"#N/D"))</f>
        <v>#N/D</v>
      </c>
      <c r="K161" s="26" t="str">
        <f>IF($AO161,"#N/D",IFERROR(INDEX(Minculturas!$B$2:$B$48,MATCH($AM161,Minculturas!$C$2:$C$48,0)),"#N/D"))</f>
        <v>#N/D</v>
      </c>
      <c r="L161" s="27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7">
        <f>SUM(Tabla43[[#This Row],[Edificación colapsada]:[Robo]])</f>
        <v>0</v>
      </c>
      <c r="AF161" s="28"/>
      <c r="AG161" s="28"/>
      <c r="AH161" s="28">
        <v>25</v>
      </c>
      <c r="AI161" s="28"/>
      <c r="AJ161" s="28"/>
      <c r="AK161" s="29" t="s">
        <v>246</v>
      </c>
      <c r="AM161" t="str">
        <f t="shared" si="8"/>
        <v>cucunuba</v>
      </c>
      <c r="AN161" t="str">
        <f t="shared" si="9"/>
        <v>cundinamarca</v>
      </c>
      <c r="AO161" t="b">
        <f t="shared" si="10"/>
        <v>0</v>
      </c>
      <c r="AP161" t="str">
        <f t="shared" si="11"/>
        <v>cucunuba</v>
      </c>
    </row>
    <row r="162" spans="1:42" ht="25.5" customHeight="1" x14ac:dyDescent="0.25">
      <c r="A162" s="33" t="s">
        <v>577</v>
      </c>
      <c r="B162" s="11" t="s">
        <v>42</v>
      </c>
      <c r="C162" s="34" t="s">
        <v>112</v>
      </c>
      <c r="D162" s="69"/>
      <c r="E162" s="11" t="s">
        <v>578</v>
      </c>
      <c r="F162" s="25" t="str">
        <f>IFERROR(IF($AO162,INDEX(cpe!$C$2:$C$307,MATCH($AP162,cpe!$F$2:$F$307,0)),INDEX(cpe!$C$2:$C$307,MATCH($AP162,cpe!$D$2:$D$307,0))),"#N/D")</f>
        <v>Institucion Educativa Bohorquez</v>
      </c>
      <c r="G162" s="25" t="str">
        <f>IFERROR(IF($AO162,INDEX(cpe!$B$2:$B$307,MATCH($AP162,cpe!$F$2:$F$307,0)),INDEX(cpe!$B$2:$B$307,MATCH($AP162,cpe!$D$2:$D$307,0))),"#N/D")</f>
        <v>Cúcuta</v>
      </c>
      <c r="H162" s="26" t="str">
        <f>IF($AO162,"#N/D",IFERROR(INDEX(Olimpiadas!$B$2:$B$61,MATCH($AM162,Olimpiadas!$C$2:$C$61,0)),"#N/D"))</f>
        <v>Cúcuta</v>
      </c>
      <c r="I162" s="26" t="str">
        <f>IF($AO162,"#N/D",IFERROR(INDEX(Olimpiadas!$A$2:$A$61,MATCH($AM162,Olimpiadas!$C$2:$C$61,0)),"#N/D"))</f>
        <v>INSTITUCIÓN EDUCATIVA CLAUDIA MARÍA PRADA</v>
      </c>
      <c r="J162" s="26" t="str">
        <f>IF($AO162,"#N/D",IFERROR(INDEX(Minculturas!$A$2:$A$48,MATCH($AM162,Minculturas!$C$2:$C$48,0)),"#N/D"))</f>
        <v>#N/D</v>
      </c>
      <c r="K162" s="26" t="str">
        <f>IF($AO162,"#N/D",IFERROR(INDEX(Minculturas!$B$2:$B$48,MATCH($AM162,Minculturas!$C$2:$C$48,0)),"#N/D"))</f>
        <v>#N/D</v>
      </c>
      <c r="L162" s="27">
        <v>7</v>
      </c>
      <c r="M162" s="28">
        <v>0</v>
      </c>
      <c r="N162" s="28">
        <v>1</v>
      </c>
      <c r="O162" s="28">
        <v>3</v>
      </c>
      <c r="P162" s="28">
        <v>0</v>
      </c>
      <c r="Q162" s="28">
        <v>1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2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7">
        <f>SUM(Tabla43[[#This Row],[Edificación colapsada]:[Robo]])</f>
        <v>7</v>
      </c>
      <c r="AF162" s="28"/>
      <c r="AG162" s="28"/>
      <c r="AH162" s="28">
        <v>25.7</v>
      </c>
      <c r="AI162" s="28"/>
      <c r="AJ162" s="28"/>
      <c r="AK162" s="29" t="s">
        <v>114</v>
      </c>
      <c r="AM162" t="str">
        <f t="shared" si="8"/>
        <v>cucuta</v>
      </c>
      <c r="AN162" t="str">
        <f t="shared" si="9"/>
        <v>norte de santander</v>
      </c>
      <c r="AO162" t="b">
        <f t="shared" si="10"/>
        <v>0</v>
      </c>
      <c r="AP162" t="str">
        <f t="shared" si="11"/>
        <v>cucuta</v>
      </c>
    </row>
    <row r="163" spans="1:42" ht="25.5" customHeight="1" x14ac:dyDescent="0.25">
      <c r="A163" s="33" t="s">
        <v>816</v>
      </c>
      <c r="B163" s="11" t="s">
        <v>48</v>
      </c>
      <c r="C163" s="34" t="s">
        <v>112</v>
      </c>
      <c r="D163" s="69"/>
      <c r="E163" s="11" t="s">
        <v>817</v>
      </c>
      <c r="F163" s="25" t="str">
        <f>IFERROR(IF($AO163,INDEX(cpe!$C$2:$C$307,MATCH($AP163,cpe!$F$2:$F$307,0)),INDEX(cpe!$C$2:$C$307,MATCH($AP163,cpe!$D$2:$D$307,0))),"#N/D")</f>
        <v>#N/D</v>
      </c>
      <c r="G163" s="25" t="str">
        <f>IFERROR(IF($AO163,INDEX(cpe!$B$2:$B$307,MATCH($AP163,cpe!$F$2:$F$307,0)),INDEX(cpe!$B$2:$B$307,MATCH($AP163,cpe!$D$2:$D$307,0))),"#N/D")</f>
        <v>#N/D</v>
      </c>
      <c r="H163" s="26" t="str">
        <f>IF($AO163,"#N/D",IFERROR(INDEX(Olimpiadas!$B$2:$B$61,MATCH($AM163,Olimpiadas!$C$2:$C$61,0)),"#N/D"))</f>
        <v>#N/D</v>
      </c>
      <c r="I163" s="26" t="str">
        <f>IF($AO163,"#N/D",IFERROR(INDEX(Olimpiadas!$A$2:$A$61,MATCH($AM163,Olimpiadas!$C$2:$C$61,0)),"#N/D"))</f>
        <v>#N/D</v>
      </c>
      <c r="J163" s="26" t="str">
        <f>IF($AO163,"#N/D",IFERROR(INDEX(Minculturas!$A$2:$A$48,MATCH($AM163,Minculturas!$C$2:$C$48,0)),"#N/D"))</f>
        <v>#N/D</v>
      </c>
      <c r="K163" s="26" t="str">
        <f>IF($AO163,"#N/D",IFERROR(INDEX(Minculturas!$B$2:$B$48,MATCH($AM163,Minculturas!$C$2:$C$48,0)),"#N/D"))</f>
        <v>#N/D</v>
      </c>
      <c r="L163" s="27">
        <v>1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1</v>
      </c>
      <c r="AA163" s="28">
        <v>0</v>
      </c>
      <c r="AB163" s="28">
        <v>0</v>
      </c>
      <c r="AC163" s="28">
        <v>0</v>
      </c>
      <c r="AD163" s="28">
        <v>0</v>
      </c>
      <c r="AE163" s="27">
        <f>SUM(Tabla43[[#This Row],[Edificación colapsada]:[Robo]])</f>
        <v>1</v>
      </c>
      <c r="AF163" s="28"/>
      <c r="AG163" s="28"/>
      <c r="AH163" s="28">
        <v>40.799999999999997</v>
      </c>
      <c r="AI163" s="28"/>
      <c r="AJ163" s="28"/>
      <c r="AK163" s="29" t="s">
        <v>114</v>
      </c>
      <c r="AM163" t="str">
        <f t="shared" si="8"/>
        <v>cunday</v>
      </c>
      <c r="AN163" t="str">
        <f t="shared" si="9"/>
        <v>tolima</v>
      </c>
      <c r="AO163" t="b">
        <f t="shared" si="10"/>
        <v>0</v>
      </c>
      <c r="AP163" t="str">
        <f t="shared" si="11"/>
        <v>cunday</v>
      </c>
    </row>
    <row r="164" spans="1:42" ht="25.5" customHeight="1" x14ac:dyDescent="0.25">
      <c r="A164" s="33" t="s">
        <v>632</v>
      </c>
      <c r="B164" s="11" t="s">
        <v>10</v>
      </c>
      <c r="C164" s="34" t="s">
        <v>112</v>
      </c>
      <c r="D164" s="69"/>
      <c r="E164" s="11" t="s">
        <v>633</v>
      </c>
      <c r="F164" s="25" t="str">
        <f>IFERROR(IF($AO164,INDEX(cpe!$C$2:$C$307,MATCH($AP164,cpe!$F$2:$F$307,0)),INDEX(cpe!$C$2:$C$307,MATCH($AP164,cpe!$D$2:$D$307,0))),"#N/D")</f>
        <v>#N/D</v>
      </c>
      <c r="G164" s="25" t="str">
        <f>IFERROR(IF($AO164,INDEX(cpe!$B$2:$B$307,MATCH($AP164,cpe!$F$2:$F$307,0)),INDEX(cpe!$B$2:$B$307,MATCH($AP164,cpe!$D$2:$D$307,0))),"#N/D")</f>
        <v>#N/D</v>
      </c>
      <c r="H164" s="26" t="str">
        <f>IF($AO164,"#N/D",IFERROR(INDEX(Olimpiadas!$B$2:$B$61,MATCH($AM164,Olimpiadas!$C$2:$C$61,0)),"#N/D"))</f>
        <v>#N/D</v>
      </c>
      <c r="I164" s="26" t="str">
        <f>IF($AO164,"#N/D",IFERROR(INDEX(Olimpiadas!$A$2:$A$61,MATCH($AM164,Olimpiadas!$C$2:$C$61,0)),"#N/D"))</f>
        <v>#N/D</v>
      </c>
      <c r="J164" s="26" t="str">
        <f>IF($AO164,"#N/D",IFERROR(INDEX(Minculturas!$A$2:$A$48,MATCH($AM164,Minculturas!$C$2:$C$48,0)),"#N/D"))</f>
        <v>#N/D</v>
      </c>
      <c r="K164" s="26" t="str">
        <f>IF($AO164,"#N/D",IFERROR(INDEX(Minculturas!$B$2:$B$48,MATCH($AM164,Minculturas!$C$2:$C$48,0)),"#N/D"))</f>
        <v>#N/D</v>
      </c>
      <c r="L164" s="27">
        <v>1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1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7">
        <f>SUM(Tabla43[[#This Row],[Edificación colapsada]:[Robo]])</f>
        <v>1</v>
      </c>
      <c r="AF164" s="28"/>
      <c r="AG164" s="28"/>
      <c r="AH164" s="28">
        <v>60.5</v>
      </c>
      <c r="AI164" s="28"/>
      <c r="AJ164" s="28"/>
      <c r="AK164" s="29" t="s">
        <v>114</v>
      </c>
      <c r="AM164" t="str">
        <f t="shared" si="8"/>
        <v>dabeiba</v>
      </c>
      <c r="AN164" t="str">
        <f t="shared" si="9"/>
        <v>antioquia</v>
      </c>
      <c r="AO164" t="b">
        <f t="shared" si="10"/>
        <v>0</v>
      </c>
      <c r="AP164" t="str">
        <f t="shared" si="11"/>
        <v>dabeiba</v>
      </c>
    </row>
    <row r="165" spans="1:42" ht="25.5" customHeight="1" x14ac:dyDescent="0.25">
      <c r="A165" s="33" t="s">
        <v>320</v>
      </c>
      <c r="B165" s="11" t="s">
        <v>49</v>
      </c>
      <c r="C165" s="34" t="s">
        <v>112</v>
      </c>
      <c r="D165" s="69"/>
      <c r="E165" s="11" t="s">
        <v>321</v>
      </c>
      <c r="F165" s="25" t="str">
        <f>IFERROR(IF($AO165,INDEX(cpe!$C$2:$C$307,MATCH($AP165,cpe!$F$2:$F$307,0)),INDEX(cpe!$C$2:$C$307,MATCH($AP165,cpe!$D$2:$D$307,0))),"#N/D")</f>
        <v>#N/D</v>
      </c>
      <c r="G165" s="25" t="str">
        <f>IFERROR(IF($AO165,INDEX(cpe!$B$2:$B$307,MATCH($AP165,cpe!$F$2:$F$307,0)),INDEX(cpe!$B$2:$B$307,MATCH($AP165,cpe!$D$2:$D$307,0))),"#N/D")</f>
        <v>#N/D</v>
      </c>
      <c r="H165" s="26" t="str">
        <f>IF($AO165,"#N/D",IFERROR(INDEX(Olimpiadas!$B$2:$B$61,MATCH($AM165,Olimpiadas!$C$2:$C$61,0)),"#N/D"))</f>
        <v>#N/D</v>
      </c>
      <c r="I165" s="26" t="str">
        <f>IF($AO165,"#N/D",IFERROR(INDEX(Olimpiadas!$A$2:$A$61,MATCH($AM165,Olimpiadas!$C$2:$C$61,0)),"#N/D"))</f>
        <v>#N/D</v>
      </c>
      <c r="J165" s="26" t="str">
        <f>IF($AO165,"#N/D",IFERROR(INDEX(Minculturas!$A$2:$A$48,MATCH($AM165,Minculturas!$C$2:$C$48,0)),"#N/D"))</f>
        <v>#N/D</v>
      </c>
      <c r="K165" s="26" t="str">
        <f>IF($AO165,"#N/D",IFERROR(INDEX(Minculturas!$B$2:$B$48,MATCH($AM165,Minculturas!$C$2:$C$48,0)),"#N/D"))</f>
        <v>#N/D</v>
      </c>
      <c r="L165" s="27">
        <v>12</v>
      </c>
      <c r="M165" s="28">
        <v>0</v>
      </c>
      <c r="N165" s="28">
        <v>1</v>
      </c>
      <c r="O165" s="28">
        <v>1</v>
      </c>
      <c r="P165" s="28">
        <v>1</v>
      </c>
      <c r="Q165" s="28">
        <v>1</v>
      </c>
      <c r="R165" s="28">
        <v>1</v>
      </c>
      <c r="S165" s="28">
        <v>0</v>
      </c>
      <c r="T165" s="28">
        <v>6</v>
      </c>
      <c r="U165" s="28">
        <v>1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7">
        <f>SUM(Tabla43[[#This Row],[Edificación colapsada]:[Robo]])</f>
        <v>12</v>
      </c>
      <c r="AF165" s="28"/>
      <c r="AG165" s="28"/>
      <c r="AH165" s="28">
        <v>28.4</v>
      </c>
      <c r="AI165" s="28"/>
      <c r="AJ165" s="28"/>
      <c r="AK165" s="29" t="s">
        <v>114</v>
      </c>
      <c r="AM165" t="str">
        <f t="shared" si="8"/>
        <v>dagua</v>
      </c>
      <c r="AN165" t="str">
        <f t="shared" si="9"/>
        <v>valle del cauca</v>
      </c>
      <c r="AO165" t="b">
        <f t="shared" si="10"/>
        <v>0</v>
      </c>
      <c r="AP165" t="str">
        <f t="shared" si="11"/>
        <v>dagua</v>
      </c>
    </row>
    <row r="166" spans="1:42" ht="25.5" customHeight="1" x14ac:dyDescent="0.25">
      <c r="A166" s="33" t="s">
        <v>280</v>
      </c>
      <c r="B166" s="11" t="s">
        <v>48</v>
      </c>
      <c r="C166" s="34" t="s">
        <v>112</v>
      </c>
      <c r="D166" s="69"/>
      <c r="E166" s="11" t="s">
        <v>281</v>
      </c>
      <c r="F166" s="25" t="str">
        <f>IFERROR(IF($AO166,INDEX(cpe!$C$2:$C$307,MATCH($AP166,cpe!$F$2:$F$307,0)),INDEX(cpe!$C$2:$C$307,MATCH($AP166,cpe!$D$2:$D$307,0))),"#N/D")</f>
        <v>Intitución Educativa Maria Auxiliadora</v>
      </c>
      <c r="G166" s="25" t="str">
        <f>IFERROR(IF($AO166,INDEX(cpe!$B$2:$B$307,MATCH($AP166,cpe!$F$2:$F$307,0)),INDEX(cpe!$B$2:$B$307,MATCH($AP166,cpe!$D$2:$D$307,0))),"#N/D")</f>
        <v>Dolores</v>
      </c>
      <c r="H166" s="26" t="str">
        <f>IF($AO166,"#N/D",IFERROR(INDEX(Olimpiadas!$B$2:$B$61,MATCH($AM166,Olimpiadas!$C$2:$C$61,0)),"#N/D"))</f>
        <v>#N/D</v>
      </c>
      <c r="I166" s="26" t="str">
        <f>IF($AO166,"#N/D",IFERROR(INDEX(Olimpiadas!$A$2:$A$61,MATCH($AM166,Olimpiadas!$C$2:$C$61,0)),"#N/D"))</f>
        <v>#N/D</v>
      </c>
      <c r="J166" s="26" t="str">
        <f>IF($AO166,"#N/D",IFERROR(INDEX(Minculturas!$A$2:$A$48,MATCH($AM166,Minculturas!$C$2:$C$48,0)),"#N/D"))</f>
        <v>#N/D</v>
      </c>
      <c r="K166" s="26" t="str">
        <f>IF($AO166,"#N/D",IFERROR(INDEX(Minculturas!$B$2:$B$48,MATCH($AM166,Minculturas!$C$2:$C$48,0)),"#N/D"))</f>
        <v>#N/D</v>
      </c>
      <c r="L166" s="27">
        <v>3</v>
      </c>
      <c r="M166" s="28">
        <v>0</v>
      </c>
      <c r="N166" s="28">
        <v>1</v>
      </c>
      <c r="O166" s="28">
        <v>0</v>
      </c>
      <c r="P166" s="28">
        <v>0</v>
      </c>
      <c r="Q166" s="28">
        <v>0</v>
      </c>
      <c r="R166" s="28">
        <v>1</v>
      </c>
      <c r="S166" s="28">
        <v>1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7">
        <f>SUM(Tabla43[[#This Row],[Edificación colapsada]:[Robo]])</f>
        <v>3</v>
      </c>
      <c r="AF166" s="28"/>
      <c r="AG166" s="28"/>
      <c r="AH166" s="28">
        <v>32.799999999999997</v>
      </c>
      <c r="AI166" s="28"/>
      <c r="AJ166" s="28"/>
      <c r="AK166" s="29" t="s">
        <v>114</v>
      </c>
      <c r="AM166" t="str">
        <f t="shared" si="8"/>
        <v>dolores</v>
      </c>
      <c r="AN166" t="str">
        <f t="shared" si="9"/>
        <v>tolima</v>
      </c>
      <c r="AO166" t="b">
        <f t="shared" si="10"/>
        <v>0</v>
      </c>
      <c r="AP166" t="str">
        <f t="shared" si="11"/>
        <v>dolores</v>
      </c>
    </row>
    <row r="167" spans="1:42" ht="25.5" customHeight="1" x14ac:dyDescent="0.25">
      <c r="A167" s="33" t="s">
        <v>904</v>
      </c>
      <c r="B167" s="11" t="s">
        <v>10</v>
      </c>
      <c r="C167" s="34" t="s">
        <v>112</v>
      </c>
      <c r="D167" s="69"/>
      <c r="E167" s="11" t="s">
        <v>905</v>
      </c>
      <c r="F167" s="25" t="str">
        <f>IFERROR(IF($AO167,INDEX(cpe!$C$2:$C$307,MATCH($AP167,cpe!$F$2:$F$307,0)),INDEX(cpe!$C$2:$C$307,MATCH($AP167,cpe!$D$2:$D$307,0))),"#N/D")</f>
        <v>#N/D</v>
      </c>
      <c r="G167" s="25" t="str">
        <f>IFERROR(IF($AO167,INDEX(cpe!$B$2:$B$307,MATCH($AP167,cpe!$F$2:$F$307,0)),INDEX(cpe!$B$2:$B$307,MATCH($AP167,cpe!$D$2:$D$307,0))),"#N/D")</f>
        <v>#N/D</v>
      </c>
      <c r="H167" s="26" t="str">
        <f>IF($AO167,"#N/D",IFERROR(INDEX(Olimpiadas!$B$2:$B$61,MATCH($AM167,Olimpiadas!$C$2:$C$61,0)),"#N/D"))</f>
        <v>#N/D</v>
      </c>
      <c r="I167" s="26" t="str">
        <f>IF($AO167,"#N/D",IFERROR(INDEX(Olimpiadas!$A$2:$A$61,MATCH($AM167,Olimpiadas!$C$2:$C$61,0)),"#N/D"))</f>
        <v>#N/D</v>
      </c>
      <c r="J167" s="26" t="str">
        <f>IF($AO167,"#N/D",IFERROR(INDEX(Minculturas!$A$2:$A$48,MATCH($AM167,Minculturas!$C$2:$C$48,0)),"#N/D"))</f>
        <v>#N/D</v>
      </c>
      <c r="K167" s="26" t="str">
        <f>IF($AO167,"#N/D",IFERROR(INDEX(Minculturas!$B$2:$B$48,MATCH($AM167,Minculturas!$C$2:$C$48,0)),"#N/D"))</f>
        <v>#N/D</v>
      </c>
      <c r="L167" s="27">
        <v>1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1</v>
      </c>
      <c r="AA167" s="28">
        <v>0</v>
      </c>
      <c r="AB167" s="28">
        <v>0</v>
      </c>
      <c r="AC167" s="28">
        <v>0</v>
      </c>
      <c r="AD167" s="28">
        <v>0</v>
      </c>
      <c r="AE167" s="27">
        <f>SUM(Tabla43[[#This Row],[Edificación colapsada]:[Robo]])</f>
        <v>1</v>
      </c>
      <c r="AF167" s="28"/>
      <c r="AG167" s="28"/>
      <c r="AH167" s="28">
        <v>19.7</v>
      </c>
      <c r="AI167" s="28"/>
      <c r="AJ167" s="28"/>
      <c r="AK167" s="29" t="s">
        <v>114</v>
      </c>
      <c r="AM167" t="str">
        <f t="shared" si="8"/>
        <v>donmatias</v>
      </c>
      <c r="AN167" t="str">
        <f t="shared" si="9"/>
        <v>antioquia</v>
      </c>
      <c r="AO167" t="b">
        <f t="shared" si="10"/>
        <v>0</v>
      </c>
      <c r="AP167" t="str">
        <f t="shared" si="11"/>
        <v>donmatias</v>
      </c>
    </row>
    <row r="168" spans="1:42" ht="25.5" customHeight="1" x14ac:dyDescent="0.25">
      <c r="A168" s="33" t="s">
        <v>906</v>
      </c>
      <c r="B168" s="11" t="s">
        <v>10</v>
      </c>
      <c r="C168" s="34" t="s">
        <v>112</v>
      </c>
      <c r="D168" s="69"/>
      <c r="E168" s="11" t="s">
        <v>907</v>
      </c>
      <c r="F168" s="25" t="str">
        <f>IFERROR(IF($AO168,INDEX(cpe!$C$2:$C$307,MATCH($AP168,cpe!$F$2:$F$307,0)),INDEX(cpe!$C$2:$C$307,MATCH($AP168,cpe!$D$2:$D$307,0))),"#N/D")</f>
        <v>#N/D</v>
      </c>
      <c r="G168" s="25" t="str">
        <f>IFERROR(IF($AO168,INDEX(cpe!$B$2:$B$307,MATCH($AP168,cpe!$F$2:$F$307,0)),INDEX(cpe!$B$2:$B$307,MATCH($AP168,cpe!$D$2:$D$307,0))),"#N/D")</f>
        <v>#N/D</v>
      </c>
      <c r="H168" s="26" t="str">
        <f>IF($AO168,"#N/D",IFERROR(INDEX(Olimpiadas!$B$2:$B$61,MATCH($AM168,Olimpiadas!$C$2:$C$61,0)),"#N/D"))</f>
        <v>#N/D</v>
      </c>
      <c r="I168" s="26" t="str">
        <f>IF($AO168,"#N/D",IFERROR(INDEX(Olimpiadas!$A$2:$A$61,MATCH($AM168,Olimpiadas!$C$2:$C$61,0)),"#N/D"))</f>
        <v>#N/D</v>
      </c>
      <c r="J168" s="26" t="str">
        <f>IF($AO168,"#N/D",IFERROR(INDEX(Minculturas!$A$2:$A$48,MATCH($AM168,Minculturas!$C$2:$C$48,0)),"#N/D"))</f>
        <v>#N/D</v>
      </c>
      <c r="K168" s="26" t="str">
        <f>IF($AO168,"#N/D",IFERROR(INDEX(Minculturas!$B$2:$B$48,MATCH($AM168,Minculturas!$C$2:$C$48,0)),"#N/D"))</f>
        <v>#N/D</v>
      </c>
      <c r="L168" s="27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7">
        <f>SUM(Tabla43[[#This Row],[Edificación colapsada]:[Robo]])</f>
        <v>0</v>
      </c>
      <c r="AF168" s="28"/>
      <c r="AG168" s="28"/>
      <c r="AH168" s="28">
        <v>39.1</v>
      </c>
      <c r="AI168" s="28"/>
      <c r="AJ168" s="28"/>
      <c r="AK168" s="29" t="s">
        <v>365</v>
      </c>
      <c r="AM168" t="str">
        <f t="shared" si="8"/>
        <v>ebejico</v>
      </c>
      <c r="AN168" t="str">
        <f t="shared" si="9"/>
        <v>antioquia</v>
      </c>
      <c r="AO168" t="b">
        <f t="shared" si="10"/>
        <v>0</v>
      </c>
      <c r="AP168" t="str">
        <f t="shared" si="11"/>
        <v>ebejico</v>
      </c>
    </row>
    <row r="169" spans="1:42" ht="25.5" customHeight="1" x14ac:dyDescent="0.25">
      <c r="A169" s="33" t="s">
        <v>908</v>
      </c>
      <c r="B169" s="11" t="s">
        <v>10</v>
      </c>
      <c r="C169" s="34" t="s">
        <v>112</v>
      </c>
      <c r="D169" s="69"/>
      <c r="E169" s="11" t="s">
        <v>909</v>
      </c>
      <c r="F169" s="25" t="str">
        <f>IFERROR(IF($AO169,INDEX(cpe!$C$2:$C$307,MATCH($AP169,cpe!$F$2:$F$307,0)),INDEX(cpe!$C$2:$C$307,MATCH($AP169,cpe!$D$2:$D$307,0))),"#N/D")</f>
        <v>#N/D</v>
      </c>
      <c r="G169" s="25" t="str">
        <f>IFERROR(IF($AO169,INDEX(cpe!$B$2:$B$307,MATCH($AP169,cpe!$F$2:$F$307,0)),INDEX(cpe!$B$2:$B$307,MATCH($AP169,cpe!$D$2:$D$307,0))),"#N/D")</f>
        <v>#N/D</v>
      </c>
      <c r="H169" s="26" t="str">
        <f>IF($AO169,"#N/D",IFERROR(INDEX(Olimpiadas!$B$2:$B$61,MATCH($AM169,Olimpiadas!$C$2:$C$61,0)),"#N/D"))</f>
        <v>#N/D</v>
      </c>
      <c r="I169" s="26" t="str">
        <f>IF($AO169,"#N/D",IFERROR(INDEX(Olimpiadas!$A$2:$A$61,MATCH($AM169,Olimpiadas!$C$2:$C$61,0)),"#N/D"))</f>
        <v>#N/D</v>
      </c>
      <c r="J169" s="26" t="str">
        <f>IF($AO169,"#N/D",IFERROR(INDEX(Minculturas!$A$2:$A$48,MATCH($AM169,Minculturas!$C$2:$C$48,0)),"#N/D"))</f>
        <v>#N/D</v>
      </c>
      <c r="K169" s="26" t="str">
        <f>IF($AO169,"#N/D",IFERROR(INDEX(Minculturas!$B$2:$B$48,MATCH($AM169,Minculturas!$C$2:$C$48,0)),"#N/D"))</f>
        <v>#N/D</v>
      </c>
      <c r="L169" s="27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7">
        <f>SUM(Tabla43[[#This Row],[Edificación colapsada]:[Robo]])</f>
        <v>0</v>
      </c>
      <c r="AF169" s="28"/>
      <c r="AG169" s="28"/>
      <c r="AH169" s="28">
        <v>53.7</v>
      </c>
      <c r="AI169" s="28"/>
      <c r="AJ169" s="28"/>
      <c r="AK169" s="29" t="s">
        <v>657</v>
      </c>
      <c r="AM169" t="str">
        <f t="shared" si="8"/>
        <v>el bagre</v>
      </c>
      <c r="AN169" t="str">
        <f t="shared" si="9"/>
        <v>antioquia</v>
      </c>
      <c r="AO169" t="b">
        <f t="shared" si="10"/>
        <v>0</v>
      </c>
      <c r="AP169" t="str">
        <f t="shared" si="11"/>
        <v>el bagre</v>
      </c>
    </row>
    <row r="170" spans="1:42" ht="25.5" customHeight="1" x14ac:dyDescent="0.25">
      <c r="A170" s="33" t="s">
        <v>231</v>
      </c>
      <c r="B170" s="11" t="s">
        <v>31</v>
      </c>
      <c r="C170" s="34" t="s">
        <v>112</v>
      </c>
      <c r="D170" s="69"/>
      <c r="E170" s="11" t="s">
        <v>232</v>
      </c>
      <c r="F170" s="25" t="str">
        <f>IFERROR(IF($AO170,INDEX(cpe!$C$2:$C$307,MATCH($AP170,cpe!$F$2:$F$307,0)),INDEX(cpe!$C$2:$C$307,MATCH($AP170,cpe!$D$2:$D$307,0))),"#N/D")</f>
        <v>#N/D</v>
      </c>
      <c r="G170" s="25" t="str">
        <f>IFERROR(IF($AO170,INDEX(cpe!$B$2:$B$307,MATCH($AP170,cpe!$F$2:$F$307,0)),INDEX(cpe!$B$2:$B$307,MATCH($AP170,cpe!$D$2:$D$307,0))),"#N/D")</f>
        <v>#N/D</v>
      </c>
      <c r="H170" s="26" t="str">
        <f>IF($AO170,"#N/D",IFERROR(INDEX(Olimpiadas!$B$2:$B$61,MATCH($AM170,Olimpiadas!$C$2:$C$61,0)),"#N/D"))</f>
        <v>#N/D</v>
      </c>
      <c r="I170" s="26" t="str">
        <f>IF($AO170,"#N/D",IFERROR(INDEX(Olimpiadas!$A$2:$A$61,MATCH($AM170,Olimpiadas!$C$2:$C$61,0)),"#N/D"))</f>
        <v>#N/D</v>
      </c>
      <c r="J170" s="26" t="str">
        <f>IF($AO170,"#N/D",IFERROR(INDEX(Minculturas!$A$2:$A$48,MATCH($AM170,Minculturas!$C$2:$C$48,0)),"#N/D"))</f>
        <v>#N/D</v>
      </c>
      <c r="K170" s="26" t="str">
        <f>IF($AO170,"#N/D",IFERROR(INDEX(Minculturas!$B$2:$B$48,MATCH($AM170,Minculturas!$C$2:$C$48,0)),"#N/D"))</f>
        <v>#N/D</v>
      </c>
      <c r="L170" s="27">
        <v>3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2</v>
      </c>
      <c r="W170" s="28">
        <v>0</v>
      </c>
      <c r="X170" s="28">
        <v>0</v>
      </c>
      <c r="Y170" s="28">
        <v>0</v>
      </c>
      <c r="Z170" s="28">
        <v>1</v>
      </c>
      <c r="AA170" s="28">
        <v>0</v>
      </c>
      <c r="AB170" s="28">
        <v>0</v>
      </c>
      <c r="AC170" s="28">
        <v>0</v>
      </c>
      <c r="AD170" s="28">
        <v>0</v>
      </c>
      <c r="AE170" s="27">
        <f>SUM(Tabla43[[#This Row],[Edificación colapsada]:[Robo]])</f>
        <v>3</v>
      </c>
      <c r="AF170" s="28" t="s">
        <v>233</v>
      </c>
      <c r="AG170" s="28" t="s">
        <v>234</v>
      </c>
      <c r="AH170" s="28">
        <v>60.2</v>
      </c>
      <c r="AI170" s="28"/>
      <c r="AJ170" s="28"/>
      <c r="AK170" s="29" t="s">
        <v>235</v>
      </c>
      <c r="AM170" t="str">
        <f t="shared" si="8"/>
        <v>el canton del san pablo</v>
      </c>
      <c r="AN170" t="str">
        <f t="shared" si="9"/>
        <v>choco</v>
      </c>
      <c r="AO170" t="b">
        <f t="shared" si="10"/>
        <v>0</v>
      </c>
      <c r="AP170" t="str">
        <f t="shared" si="11"/>
        <v>el canton del san pablo</v>
      </c>
    </row>
    <row r="171" spans="1:42" ht="25.5" customHeight="1" x14ac:dyDescent="0.25">
      <c r="A171" s="33" t="s">
        <v>120</v>
      </c>
      <c r="B171" s="11" t="s">
        <v>31</v>
      </c>
      <c r="C171" s="34" t="s">
        <v>112</v>
      </c>
      <c r="D171" s="69"/>
      <c r="E171" s="11" t="s">
        <v>121</v>
      </c>
      <c r="F171" s="25" t="str">
        <f>IFERROR(IF($AO171,INDEX(cpe!$C$2:$C$307,MATCH($AP171,cpe!$F$2:$F$307,0)),INDEX(cpe!$C$2:$C$307,MATCH($AP171,cpe!$D$2:$D$307,0))),"#N/D")</f>
        <v>#N/D</v>
      </c>
      <c r="G171" s="25" t="str">
        <f>IFERROR(IF($AO171,INDEX(cpe!$B$2:$B$307,MATCH($AP171,cpe!$F$2:$F$307,0)),INDEX(cpe!$B$2:$B$307,MATCH($AP171,cpe!$D$2:$D$307,0))),"#N/D")</f>
        <v>#N/D</v>
      </c>
      <c r="H171" s="26" t="str">
        <f>IF($AO171,"#N/D",IFERROR(INDEX(Olimpiadas!$B$2:$B$61,MATCH($AM171,Olimpiadas!$C$2:$C$61,0)),"#N/D"))</f>
        <v>#N/D</v>
      </c>
      <c r="I171" s="26" t="str">
        <f>IF($AO171,"#N/D",IFERROR(INDEX(Olimpiadas!$A$2:$A$61,MATCH($AM171,Olimpiadas!$C$2:$C$61,0)),"#N/D"))</f>
        <v>#N/D</v>
      </c>
      <c r="J171" s="26" t="str">
        <f>IF($AO171,"#N/D",IFERROR(INDEX(Minculturas!$A$2:$A$48,MATCH($AM171,Minculturas!$C$2:$C$48,0)),"#N/D"))</f>
        <v>#N/D</v>
      </c>
      <c r="K171" s="26" t="str">
        <f>IF($AO171,"#N/D",IFERROR(INDEX(Minculturas!$B$2:$B$48,MATCH($AM171,Minculturas!$C$2:$C$48,0)),"#N/D"))</f>
        <v>#N/D</v>
      </c>
      <c r="L171" s="27">
        <v>5</v>
      </c>
      <c r="M171" s="28">
        <v>0</v>
      </c>
      <c r="N171" s="28">
        <v>0</v>
      </c>
      <c r="O171" s="28">
        <v>0</v>
      </c>
      <c r="P171" s="28">
        <v>1</v>
      </c>
      <c r="Q171" s="28">
        <v>0</v>
      </c>
      <c r="R171" s="28">
        <v>0</v>
      </c>
      <c r="S171" s="28">
        <v>2</v>
      </c>
      <c r="T171" s="28">
        <v>1</v>
      </c>
      <c r="U171" s="28">
        <v>0</v>
      </c>
      <c r="V171" s="28">
        <v>1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7">
        <f>SUM(Tabla43[[#This Row],[Edificación colapsada]:[Robo]])</f>
        <v>5</v>
      </c>
      <c r="AF171" s="28" t="s">
        <v>122</v>
      </c>
      <c r="AG171" s="28" t="s">
        <v>123</v>
      </c>
      <c r="AH171" s="28">
        <v>54</v>
      </c>
      <c r="AI171" s="28"/>
      <c r="AJ171" s="28"/>
      <c r="AK171" s="29" t="s">
        <v>114</v>
      </c>
      <c r="AM171" t="str">
        <f t="shared" si="8"/>
        <v>el carmen de atrato</v>
      </c>
      <c r="AN171" t="str">
        <f t="shared" si="9"/>
        <v>choco</v>
      </c>
      <c r="AO171" t="b">
        <f t="shared" si="10"/>
        <v>0</v>
      </c>
      <c r="AP171" t="str">
        <f t="shared" si="11"/>
        <v>el carmen de atrato</v>
      </c>
    </row>
    <row r="172" spans="1:42" ht="25.5" customHeight="1" x14ac:dyDescent="0.25">
      <c r="A172" s="33" t="s">
        <v>266</v>
      </c>
      <c r="B172" s="11" t="s">
        <v>49</v>
      </c>
      <c r="C172" s="34" t="s">
        <v>112</v>
      </c>
      <c r="D172" s="69"/>
      <c r="E172" s="11" t="s">
        <v>267</v>
      </c>
      <c r="F172" s="25" t="str">
        <f>IFERROR(IF($AO172,INDEX(cpe!$C$2:$C$307,MATCH($AP172,cpe!$F$2:$F$307,0)),INDEX(cpe!$C$2:$C$307,MATCH($AP172,cpe!$D$2:$D$307,0))),"#N/D")</f>
        <v>I.E. Marco Fidel Suarez</v>
      </c>
      <c r="G172" s="25" t="str">
        <f>IFERROR(IF($AO172,INDEX(cpe!$B$2:$B$307,MATCH($AP172,cpe!$F$2:$F$307,0)),INDEX(cpe!$B$2:$B$307,MATCH($AP172,cpe!$D$2:$D$307,0))),"#N/D")</f>
        <v>El Cerrito</v>
      </c>
      <c r="H172" s="26" t="str">
        <f>IF($AO172,"#N/D",IFERROR(INDEX(Olimpiadas!$B$2:$B$61,MATCH($AM172,Olimpiadas!$C$2:$C$61,0)),"#N/D"))</f>
        <v>#N/D</v>
      </c>
      <c r="I172" s="26" t="str">
        <f>IF($AO172,"#N/D",IFERROR(INDEX(Olimpiadas!$A$2:$A$61,MATCH($AM172,Olimpiadas!$C$2:$C$61,0)),"#N/D"))</f>
        <v>#N/D</v>
      </c>
      <c r="J172" s="26" t="str">
        <f>IF($AO172,"#N/D",IFERROR(INDEX(Minculturas!$A$2:$A$48,MATCH($AM172,Minculturas!$C$2:$C$48,0)),"#N/D"))</f>
        <v>#N/D</v>
      </c>
      <c r="K172" s="26" t="str">
        <f>IF($AO172,"#N/D",IFERROR(INDEX(Minculturas!$B$2:$B$48,MATCH($AM172,Minculturas!$C$2:$C$48,0)),"#N/D"))</f>
        <v>#N/D</v>
      </c>
      <c r="L172" s="27">
        <v>6</v>
      </c>
      <c r="M172" s="28">
        <v>0</v>
      </c>
      <c r="N172" s="28">
        <v>2</v>
      </c>
      <c r="O172" s="28">
        <v>0</v>
      </c>
      <c r="P172" s="28">
        <v>1</v>
      </c>
      <c r="Q172" s="28">
        <v>0</v>
      </c>
      <c r="R172" s="28">
        <v>2</v>
      </c>
      <c r="S172" s="28">
        <v>1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7">
        <f>SUM(Tabla43[[#This Row],[Edificación colapsada]:[Robo]])</f>
        <v>6</v>
      </c>
      <c r="AF172" s="28"/>
      <c r="AG172" s="28"/>
      <c r="AH172" s="28">
        <v>15.2</v>
      </c>
      <c r="AI172" s="28"/>
      <c r="AJ172" s="28"/>
      <c r="AK172" s="29" t="s">
        <v>114</v>
      </c>
      <c r="AM172" t="str">
        <f t="shared" si="8"/>
        <v>el cerrito</v>
      </c>
      <c r="AN172" t="str">
        <f t="shared" si="9"/>
        <v>valle del cauca</v>
      </c>
      <c r="AO172" t="b">
        <f t="shared" si="10"/>
        <v>0</v>
      </c>
      <c r="AP172" t="str">
        <f t="shared" si="11"/>
        <v>el cerrito</v>
      </c>
    </row>
    <row r="173" spans="1:42" ht="25.5" customHeight="1" x14ac:dyDescent="0.25">
      <c r="A173" s="33" t="s">
        <v>466</v>
      </c>
      <c r="B173" s="11" t="s">
        <v>49</v>
      </c>
      <c r="C173" s="34" t="s">
        <v>112</v>
      </c>
      <c r="D173" s="69"/>
      <c r="E173" s="11" t="s">
        <v>467</v>
      </c>
      <c r="F173" s="25" t="str">
        <f>IFERROR(IF($AO173,INDEX(cpe!$C$2:$C$307,MATCH($AP173,cpe!$F$2:$F$307,0)),INDEX(cpe!$C$2:$C$307,MATCH($AP173,cpe!$D$2:$D$307,0))),"#N/D")</f>
        <v>Institucion Educativa Pedregal</v>
      </c>
      <c r="G173" s="25" t="str">
        <f>IFERROR(IF($AO173,INDEX(cpe!$B$2:$B$307,MATCH($AP173,cpe!$F$2:$F$307,0)),INDEX(cpe!$B$2:$B$307,MATCH($AP173,cpe!$D$2:$D$307,0))),"#N/D")</f>
        <v>El Dovio</v>
      </c>
      <c r="H173" s="26" t="str">
        <f>IF($AO173,"#N/D",IFERROR(INDEX(Olimpiadas!$B$2:$B$61,MATCH($AM173,Olimpiadas!$C$2:$C$61,0)),"#N/D"))</f>
        <v>#N/D</v>
      </c>
      <c r="I173" s="26" t="str">
        <f>IF($AO173,"#N/D",IFERROR(INDEX(Olimpiadas!$A$2:$A$61,MATCH($AM173,Olimpiadas!$C$2:$C$61,0)),"#N/D"))</f>
        <v>#N/D</v>
      </c>
      <c r="J173" s="26" t="str">
        <f>IF($AO173,"#N/D",IFERROR(INDEX(Minculturas!$A$2:$A$48,MATCH($AM173,Minculturas!$C$2:$C$48,0)),"#N/D"))</f>
        <v>#N/D</v>
      </c>
      <c r="K173" s="26" t="str">
        <f>IF($AO173,"#N/D",IFERROR(INDEX(Minculturas!$B$2:$B$48,MATCH($AM173,Minculturas!$C$2:$C$48,0)),"#N/D"))</f>
        <v>#N/D</v>
      </c>
      <c r="L173" s="27">
        <v>3</v>
      </c>
      <c r="M173" s="28">
        <v>0</v>
      </c>
      <c r="N173" s="28">
        <v>0</v>
      </c>
      <c r="O173" s="28">
        <v>1</v>
      </c>
      <c r="P173" s="28">
        <v>0</v>
      </c>
      <c r="Q173" s="28">
        <v>0</v>
      </c>
      <c r="R173" s="28">
        <v>0</v>
      </c>
      <c r="S173" s="28">
        <v>1</v>
      </c>
      <c r="T173" s="28">
        <v>0</v>
      </c>
      <c r="U173" s="28">
        <v>1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7">
        <f>SUM(Tabla43[[#This Row],[Edificación colapsada]:[Robo]])</f>
        <v>3</v>
      </c>
      <c r="AF173" s="28" t="s">
        <v>468</v>
      </c>
      <c r="AG173" s="28" t="s">
        <v>469</v>
      </c>
      <c r="AH173" s="28">
        <v>37.200000000000003</v>
      </c>
      <c r="AI173" s="28"/>
      <c r="AJ173" s="28"/>
      <c r="AK173" s="29" t="s">
        <v>246</v>
      </c>
      <c r="AM173" t="str">
        <f t="shared" si="8"/>
        <v>el dovio</v>
      </c>
      <c r="AN173" t="str">
        <f t="shared" si="9"/>
        <v>valle del cauca</v>
      </c>
      <c r="AO173" t="b">
        <f t="shared" si="10"/>
        <v>0</v>
      </c>
      <c r="AP173" t="str">
        <f t="shared" si="11"/>
        <v>el dovio</v>
      </c>
    </row>
    <row r="174" spans="1:42" ht="25.5" customHeight="1" x14ac:dyDescent="0.25">
      <c r="A174" s="33" t="s">
        <v>124</v>
      </c>
      <c r="B174" s="11" t="s">
        <v>31</v>
      </c>
      <c r="C174" s="34" t="s">
        <v>112</v>
      </c>
      <c r="D174" s="69"/>
      <c r="E174" s="11" t="s">
        <v>125</v>
      </c>
      <c r="F174" s="25" t="str">
        <f>IFERROR(IF($AO174,INDEX(cpe!$C$2:$C$307,MATCH($AP174,cpe!$F$2:$F$307,0)),INDEX(cpe!$C$2:$C$307,MATCH($AP174,cpe!$D$2:$D$307,0))),"#N/D")</f>
        <v>#N/D</v>
      </c>
      <c r="G174" s="25" t="str">
        <f>IFERROR(IF($AO174,INDEX(cpe!$B$2:$B$307,MATCH($AP174,cpe!$F$2:$F$307,0)),INDEX(cpe!$B$2:$B$307,MATCH($AP174,cpe!$D$2:$D$307,0))),"#N/D")</f>
        <v>#N/D</v>
      </c>
      <c r="H174" s="26" t="str">
        <f>IF($AO174,"#N/D",IFERROR(INDEX(Olimpiadas!$B$2:$B$61,MATCH($AM174,Olimpiadas!$C$2:$C$61,0)),"#N/D"))</f>
        <v>#N/D</v>
      </c>
      <c r="I174" s="26" t="str">
        <f>IF($AO174,"#N/D",IFERROR(INDEX(Olimpiadas!$A$2:$A$61,MATCH($AM174,Olimpiadas!$C$2:$C$61,0)),"#N/D"))</f>
        <v>#N/D</v>
      </c>
      <c r="J174" s="26" t="str">
        <f>IF($AO174,"#N/D",IFERROR(INDEX(Minculturas!$A$2:$A$48,MATCH($AM174,Minculturas!$C$2:$C$48,0)),"#N/D"))</f>
        <v>#N/D</v>
      </c>
      <c r="K174" s="26" t="str">
        <f>IF($AO174,"#N/D",IFERROR(INDEX(Minculturas!$B$2:$B$48,MATCH($AM174,Minculturas!$C$2:$C$48,0)),"#N/D"))</f>
        <v>#N/D</v>
      </c>
      <c r="L174" s="27">
        <v>8</v>
      </c>
      <c r="M174" s="28">
        <v>0</v>
      </c>
      <c r="N174" s="28">
        <v>0</v>
      </c>
      <c r="O174" s="28">
        <v>4</v>
      </c>
      <c r="P174" s="28">
        <v>1</v>
      </c>
      <c r="Q174" s="28">
        <v>0</v>
      </c>
      <c r="R174" s="28">
        <v>0</v>
      </c>
      <c r="S174" s="28">
        <v>1</v>
      </c>
      <c r="T174" s="28">
        <v>0</v>
      </c>
      <c r="U174" s="28">
        <v>0</v>
      </c>
      <c r="V174" s="28">
        <v>0</v>
      </c>
      <c r="W174" s="28">
        <v>0</v>
      </c>
      <c r="X174" s="28">
        <v>2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7">
        <f>SUM(Tabla43[[#This Row],[Edificación colapsada]:[Robo]])</f>
        <v>8</v>
      </c>
      <c r="AF174" s="28" t="s">
        <v>126</v>
      </c>
      <c r="AG174" s="28" t="s">
        <v>127</v>
      </c>
      <c r="AH174" s="28">
        <v>83.1</v>
      </c>
      <c r="AI174" s="28"/>
      <c r="AJ174" s="28"/>
      <c r="AK174" s="29" t="s">
        <v>114</v>
      </c>
      <c r="AM174" t="str">
        <f t="shared" si="8"/>
        <v>el litoral del san juan</v>
      </c>
      <c r="AN174" t="str">
        <f t="shared" si="9"/>
        <v>choco</v>
      </c>
      <c r="AO174" t="b">
        <f t="shared" si="10"/>
        <v>0</v>
      </c>
      <c r="AP174" t="str">
        <f t="shared" si="11"/>
        <v>el litoral del san juan</v>
      </c>
    </row>
    <row r="175" spans="1:42" ht="25.5" customHeight="1" x14ac:dyDescent="0.25">
      <c r="A175" s="33" t="s">
        <v>421</v>
      </c>
      <c r="B175" s="11" t="s">
        <v>41</v>
      </c>
      <c r="C175" s="34" t="s">
        <v>112</v>
      </c>
      <c r="D175" s="69"/>
      <c r="E175" s="11" t="s">
        <v>422</v>
      </c>
      <c r="F175" s="25" t="str">
        <f>IFERROR(IF($AO175,INDEX(cpe!$C$2:$C$307,MATCH($AP175,cpe!$F$2:$F$307,0)),INDEX(cpe!$C$2:$C$307,MATCH($AP175,cpe!$D$2:$D$307,0))),"#N/D")</f>
        <v>#N/D</v>
      </c>
      <c r="G175" s="25" t="str">
        <f>IFERROR(IF($AO175,INDEX(cpe!$B$2:$B$307,MATCH($AP175,cpe!$F$2:$F$307,0)),INDEX(cpe!$B$2:$B$307,MATCH($AP175,cpe!$D$2:$D$307,0))),"#N/D")</f>
        <v>#N/D</v>
      </c>
      <c r="H175" s="26" t="str">
        <f>IF($AO175,"#N/D",IFERROR(INDEX(Olimpiadas!$B$2:$B$61,MATCH($AM175,Olimpiadas!$C$2:$C$61,0)),"#N/D"))</f>
        <v>#N/D</v>
      </c>
      <c r="I175" s="26" t="str">
        <f>IF($AO175,"#N/D",IFERROR(INDEX(Olimpiadas!$A$2:$A$61,MATCH($AM175,Olimpiadas!$C$2:$C$61,0)),"#N/D"))</f>
        <v>#N/D</v>
      </c>
      <c r="J175" s="26" t="str">
        <f>IF($AO175,"#N/D",IFERROR(INDEX(Minculturas!$A$2:$A$48,MATCH($AM175,Minculturas!$C$2:$C$48,0)),"#N/D"))</f>
        <v>#N/D</v>
      </c>
      <c r="K175" s="26" t="str">
        <f>IF($AO175,"#N/D",IFERROR(INDEX(Minculturas!$B$2:$B$48,MATCH($AM175,Minculturas!$C$2:$C$48,0)),"#N/D"))</f>
        <v>#N/D</v>
      </c>
      <c r="L175" s="27">
        <v>2</v>
      </c>
      <c r="M175" s="28">
        <v>0</v>
      </c>
      <c r="N175" s="28">
        <v>0</v>
      </c>
      <c r="O175" s="28">
        <v>0</v>
      </c>
      <c r="P175" s="28">
        <v>0</v>
      </c>
      <c r="Q175" s="28">
        <v>1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1</v>
      </c>
      <c r="AA175" s="28">
        <v>0</v>
      </c>
      <c r="AB175" s="28">
        <v>0</v>
      </c>
      <c r="AC175" s="28">
        <v>0</v>
      </c>
      <c r="AD175" s="28">
        <v>0</v>
      </c>
      <c r="AE175" s="27">
        <f>SUM(Tabla43[[#This Row],[Edificación colapsada]:[Robo]])</f>
        <v>2</v>
      </c>
      <c r="AF175" s="28"/>
      <c r="AG175" s="28"/>
      <c r="AH175" s="28">
        <v>43</v>
      </c>
      <c r="AI175" s="28"/>
      <c r="AJ175" s="28"/>
      <c r="AK175" s="29" t="s">
        <v>114</v>
      </c>
      <c r="AM175" t="str">
        <f t="shared" si="8"/>
        <v>el penol</v>
      </c>
      <c r="AN175" t="str">
        <f t="shared" si="9"/>
        <v>narino</v>
      </c>
      <c r="AO175" t="b">
        <f t="shared" si="10"/>
        <v>1</v>
      </c>
      <c r="AP175" t="str">
        <f t="shared" si="11"/>
        <v>el penol|narino</v>
      </c>
    </row>
    <row r="176" spans="1:42" ht="25.5" customHeight="1" x14ac:dyDescent="0.25">
      <c r="A176" s="33" t="s">
        <v>910</v>
      </c>
      <c r="B176" s="11" t="s">
        <v>10</v>
      </c>
      <c r="C176" s="34" t="s">
        <v>112</v>
      </c>
      <c r="D176" s="69"/>
      <c r="E176" s="11" t="s">
        <v>422</v>
      </c>
      <c r="F176" s="25" t="str">
        <f>IFERROR(IF($AO176,INDEX(cpe!$C$2:$C$307,MATCH($AP176,cpe!$F$2:$F$307,0)),INDEX(cpe!$C$2:$C$307,MATCH($AP176,cpe!$D$2:$D$307,0))),"#N/D")</f>
        <v>#N/D</v>
      </c>
      <c r="G176" s="25" t="str">
        <f>IFERROR(IF($AO176,INDEX(cpe!$B$2:$B$307,MATCH($AP176,cpe!$F$2:$F$307,0)),INDEX(cpe!$B$2:$B$307,MATCH($AP176,cpe!$D$2:$D$307,0))),"#N/D")</f>
        <v>#N/D</v>
      </c>
      <c r="H176" s="26" t="str">
        <f>IF($AO176,"#N/D",IFERROR(INDEX(Olimpiadas!$B$2:$B$61,MATCH($AM176,Olimpiadas!$C$2:$C$61,0)),"#N/D"))</f>
        <v>#N/D</v>
      </c>
      <c r="I176" s="26" t="str">
        <f>IF($AO176,"#N/D",IFERROR(INDEX(Olimpiadas!$A$2:$A$61,MATCH($AM176,Olimpiadas!$C$2:$C$61,0)),"#N/D"))</f>
        <v>#N/D</v>
      </c>
      <c r="J176" s="26" t="str">
        <f>IF($AO176,"#N/D",IFERROR(INDEX(Minculturas!$A$2:$A$48,MATCH($AM176,Minculturas!$C$2:$C$48,0)),"#N/D"))</f>
        <v>#N/D</v>
      </c>
      <c r="K176" s="26" t="str">
        <f>IF($AO176,"#N/D",IFERROR(INDEX(Minculturas!$B$2:$B$48,MATCH($AM176,Minculturas!$C$2:$C$48,0)),"#N/D"))</f>
        <v>#N/D</v>
      </c>
      <c r="L176" s="27">
        <v>1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1</v>
      </c>
      <c r="AA176" s="28">
        <v>0</v>
      </c>
      <c r="AB176" s="28">
        <v>0</v>
      </c>
      <c r="AC176" s="28">
        <v>0</v>
      </c>
      <c r="AD176" s="28">
        <v>0</v>
      </c>
      <c r="AE176" s="27">
        <f>SUM(Tabla43[[#This Row],[Edificación colapsada]:[Robo]])</f>
        <v>1</v>
      </c>
      <c r="AF176" s="28"/>
      <c r="AG176" s="28"/>
      <c r="AH176" s="28">
        <v>20</v>
      </c>
      <c r="AI176" s="28"/>
      <c r="AJ176" s="28"/>
      <c r="AK176" s="29" t="s">
        <v>114</v>
      </c>
      <c r="AM176" t="str">
        <f t="shared" si="8"/>
        <v>el penol</v>
      </c>
      <c r="AN176" t="str">
        <f t="shared" si="9"/>
        <v>antioquia</v>
      </c>
      <c r="AO176" t="b">
        <f t="shared" si="10"/>
        <v>1</v>
      </c>
      <c r="AP176" t="str">
        <f t="shared" si="11"/>
        <v>el penol|antioquia</v>
      </c>
    </row>
    <row r="177" spans="1:42" ht="25.5" customHeight="1" x14ac:dyDescent="0.25">
      <c r="A177" s="33" t="s">
        <v>334</v>
      </c>
      <c r="B177" s="11" t="s">
        <v>37</v>
      </c>
      <c r="C177" s="34" t="s">
        <v>112</v>
      </c>
      <c r="D177" s="69"/>
      <c r="E177" s="11" t="s">
        <v>335</v>
      </c>
      <c r="F177" s="25" t="str">
        <f>IFERROR(IF($AO177,INDEX(cpe!$C$2:$C$307,MATCH($AP177,cpe!$F$2:$F$307,0)),INDEX(cpe!$C$2:$C$307,MATCH($AP177,cpe!$D$2:$D$307,0))),"#N/D")</f>
        <v>#N/D</v>
      </c>
      <c r="G177" s="25" t="str">
        <f>IFERROR(IF($AO177,INDEX(cpe!$B$2:$B$307,MATCH($AP177,cpe!$F$2:$F$307,0)),INDEX(cpe!$B$2:$B$307,MATCH($AP177,cpe!$D$2:$D$307,0))),"#N/D")</f>
        <v>#N/D</v>
      </c>
      <c r="H177" s="26" t="str">
        <f>IF($AO177,"#N/D",IFERROR(INDEX(Olimpiadas!$B$2:$B$61,MATCH($AM177,Olimpiadas!$C$2:$C$61,0)),"#N/D"))</f>
        <v>#N/D</v>
      </c>
      <c r="I177" s="26" t="str">
        <f>IF($AO177,"#N/D",IFERROR(INDEX(Olimpiadas!$A$2:$A$61,MATCH($AM177,Olimpiadas!$C$2:$C$61,0)),"#N/D"))</f>
        <v>#N/D</v>
      </c>
      <c r="J177" s="26" t="str">
        <f>IF($AO177,"#N/D",IFERROR(INDEX(Minculturas!$A$2:$A$48,MATCH($AM177,Minculturas!$C$2:$C$48,0)),"#N/D"))</f>
        <v>#N/D</v>
      </c>
      <c r="K177" s="26" t="str">
        <f>IF($AO177,"#N/D",IFERROR(INDEX(Minculturas!$B$2:$B$48,MATCH($AM177,Minculturas!$C$2:$C$48,0)),"#N/D"))</f>
        <v>#N/D</v>
      </c>
      <c r="L177" s="27">
        <v>2</v>
      </c>
      <c r="M177" s="28">
        <v>0</v>
      </c>
      <c r="N177" s="28">
        <v>0</v>
      </c>
      <c r="O177" s="28">
        <v>1</v>
      </c>
      <c r="P177" s="28">
        <v>0</v>
      </c>
      <c r="Q177" s="28">
        <v>1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7">
        <f>SUM(Tabla43[[#This Row],[Edificación colapsada]:[Robo]])</f>
        <v>2</v>
      </c>
      <c r="AF177" s="28"/>
      <c r="AG177" s="28"/>
      <c r="AH177" s="28">
        <v>43.9</v>
      </c>
      <c r="AI177" s="28"/>
      <c r="AJ177" s="28"/>
      <c r="AK177" s="29" t="s">
        <v>114</v>
      </c>
      <c r="AM177" t="str">
        <f t="shared" si="8"/>
        <v>el pital</v>
      </c>
      <c r="AN177" t="str">
        <f t="shared" si="9"/>
        <v>huila</v>
      </c>
      <c r="AO177" t="b">
        <f t="shared" si="10"/>
        <v>0</v>
      </c>
      <c r="AP177" t="str">
        <f t="shared" si="11"/>
        <v>el pital</v>
      </c>
    </row>
    <row r="178" spans="1:42" ht="25.5" customHeight="1" x14ac:dyDescent="0.25">
      <c r="A178" s="33" t="s">
        <v>363</v>
      </c>
      <c r="B178" s="11" t="s">
        <v>10</v>
      </c>
      <c r="C178" s="34" t="s">
        <v>112</v>
      </c>
      <c r="D178" s="69"/>
      <c r="E178" s="11" t="s">
        <v>364</v>
      </c>
      <c r="F178" s="25" t="str">
        <f>IFERROR(IF($AO178,INDEX(cpe!$C$2:$C$307,MATCH($AP178,cpe!$F$2:$F$307,0)),INDEX(cpe!$C$2:$C$307,MATCH($AP178,cpe!$D$2:$D$307,0))),"#N/D")</f>
        <v>#N/D</v>
      </c>
      <c r="G178" s="25" t="str">
        <f>IFERROR(IF($AO178,INDEX(cpe!$B$2:$B$307,MATCH($AP178,cpe!$F$2:$F$307,0)),INDEX(cpe!$B$2:$B$307,MATCH($AP178,cpe!$D$2:$D$307,0))),"#N/D")</f>
        <v>#N/D</v>
      </c>
      <c r="H178" s="26" t="str">
        <f>IF($AO178,"#N/D",IFERROR(INDEX(Olimpiadas!$B$2:$B$61,MATCH($AM178,Olimpiadas!$C$2:$C$61,0)),"#N/D"))</f>
        <v>#N/D</v>
      </c>
      <c r="I178" s="26" t="str">
        <f>IF($AO178,"#N/D",IFERROR(INDEX(Olimpiadas!$A$2:$A$61,MATCH($AM178,Olimpiadas!$C$2:$C$61,0)),"#N/D"))</f>
        <v>#N/D</v>
      </c>
      <c r="J178" s="26" t="str">
        <f>IF($AO178,"#N/D",IFERROR(INDEX(Minculturas!$A$2:$A$48,MATCH($AM178,Minculturas!$C$2:$C$48,0)),"#N/D"))</f>
        <v>#N/D</v>
      </c>
      <c r="K178" s="26" t="str">
        <f>IF($AO178,"#N/D",IFERROR(INDEX(Minculturas!$B$2:$B$48,MATCH($AM178,Minculturas!$C$2:$C$48,0)),"#N/D"))</f>
        <v>#N/D</v>
      </c>
      <c r="L178" s="27">
        <v>2</v>
      </c>
      <c r="M178" s="28">
        <v>0</v>
      </c>
      <c r="N178" s="28">
        <v>1</v>
      </c>
      <c r="O178" s="28">
        <v>0</v>
      </c>
      <c r="P178" s="28">
        <v>0</v>
      </c>
      <c r="Q178" s="28">
        <v>0</v>
      </c>
      <c r="R178" s="28">
        <v>1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7">
        <f>SUM(Tabla43[[#This Row],[Edificación colapsada]:[Robo]])</f>
        <v>2</v>
      </c>
      <c r="AF178" s="28"/>
      <c r="AG178" s="28"/>
      <c r="AH178" s="28">
        <v>11.7</v>
      </c>
      <c r="AI178" s="28"/>
      <c r="AJ178" s="28"/>
      <c r="AK178" s="29" t="s">
        <v>365</v>
      </c>
      <c r="AM178" t="str">
        <f t="shared" si="8"/>
        <v>el retiro</v>
      </c>
      <c r="AN178" t="str">
        <f t="shared" si="9"/>
        <v>antioquia</v>
      </c>
      <c r="AO178" t="b">
        <f t="shared" si="10"/>
        <v>0</v>
      </c>
      <c r="AP178" t="str">
        <f t="shared" si="11"/>
        <v>el retiro</v>
      </c>
    </row>
    <row r="179" spans="1:42" ht="25.5" customHeight="1" x14ac:dyDescent="0.25">
      <c r="A179" s="33" t="s">
        <v>911</v>
      </c>
      <c r="B179" s="11" t="s">
        <v>10</v>
      </c>
      <c r="C179" s="34" t="s">
        <v>112</v>
      </c>
      <c r="D179" s="69"/>
      <c r="E179" s="11" t="s">
        <v>912</v>
      </c>
      <c r="F179" s="25" t="str">
        <f>IFERROR(IF($AO179,INDEX(cpe!$C$2:$C$307,MATCH($AP179,cpe!$F$2:$F$307,0)),INDEX(cpe!$C$2:$C$307,MATCH($AP179,cpe!$D$2:$D$307,0))),"#N/D")</f>
        <v>#N/D</v>
      </c>
      <c r="G179" s="25" t="str">
        <f>IFERROR(IF($AO179,INDEX(cpe!$B$2:$B$307,MATCH($AP179,cpe!$F$2:$F$307,0)),INDEX(cpe!$B$2:$B$307,MATCH($AP179,cpe!$D$2:$D$307,0))),"#N/D")</f>
        <v>#N/D</v>
      </c>
      <c r="H179" s="26" t="str">
        <f>IF($AO179,"#N/D",IFERROR(INDEX(Olimpiadas!$B$2:$B$61,MATCH($AM179,Olimpiadas!$C$2:$C$61,0)),"#N/D"))</f>
        <v>#N/D</v>
      </c>
      <c r="I179" s="26" t="str">
        <f>IF($AO179,"#N/D",IFERROR(INDEX(Olimpiadas!$A$2:$A$61,MATCH($AM179,Olimpiadas!$C$2:$C$61,0)),"#N/D"))</f>
        <v>#N/D</v>
      </c>
      <c r="J179" s="26" t="str">
        <f>IF($AO179,"#N/D",IFERROR(INDEX(Minculturas!$A$2:$A$48,MATCH($AM179,Minculturas!$C$2:$C$48,0)),"#N/D"))</f>
        <v>#N/D</v>
      </c>
      <c r="K179" s="26" t="str">
        <f>IF($AO179,"#N/D",IFERROR(INDEX(Minculturas!$B$2:$B$48,MATCH($AM179,Minculturas!$C$2:$C$48,0)),"#N/D"))</f>
        <v>#N/D</v>
      </c>
      <c r="L179" s="27">
        <v>1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1</v>
      </c>
      <c r="AA179" s="28">
        <v>0</v>
      </c>
      <c r="AB179" s="28">
        <v>0</v>
      </c>
      <c r="AC179" s="28">
        <v>0</v>
      </c>
      <c r="AD179" s="28">
        <v>0</v>
      </c>
      <c r="AE179" s="27">
        <f>SUM(Tabla43[[#This Row],[Edificación colapsada]:[Robo]])</f>
        <v>1</v>
      </c>
      <c r="AF179" s="28"/>
      <c r="AG179" s="28"/>
      <c r="AH179" s="28">
        <v>22</v>
      </c>
      <c r="AI179" s="28"/>
      <c r="AJ179" s="28"/>
      <c r="AK179" s="29" t="s">
        <v>114</v>
      </c>
      <c r="AM179" t="str">
        <f t="shared" si="8"/>
        <v>el santuario</v>
      </c>
      <c r="AN179" t="str">
        <f t="shared" si="9"/>
        <v>antioquia</v>
      </c>
      <c r="AO179" t="b">
        <f t="shared" si="10"/>
        <v>0</v>
      </c>
      <c r="AP179" t="str">
        <f t="shared" si="11"/>
        <v>el santuario</v>
      </c>
    </row>
    <row r="180" spans="1:42" ht="25.5" customHeight="1" x14ac:dyDescent="0.25">
      <c r="A180" s="33" t="s">
        <v>236</v>
      </c>
      <c r="B180" s="11" t="s">
        <v>28</v>
      </c>
      <c r="C180" s="34" t="s">
        <v>112</v>
      </c>
      <c r="D180" s="69"/>
      <c r="E180" s="11" t="s">
        <v>237</v>
      </c>
      <c r="F180" s="25" t="str">
        <f>IFERROR(IF($AO180,INDEX(cpe!$C$2:$C$307,MATCH($AP180,cpe!$F$2:$F$307,0)),INDEX(cpe!$C$2:$C$307,MATCH($AP180,cpe!$D$2:$D$307,0))),"#N/D")</f>
        <v>#N/D</v>
      </c>
      <c r="G180" s="25" t="str">
        <f>IFERROR(IF($AO180,INDEX(cpe!$B$2:$B$307,MATCH($AP180,cpe!$F$2:$F$307,0)),INDEX(cpe!$B$2:$B$307,MATCH($AP180,cpe!$D$2:$D$307,0))),"#N/D")</f>
        <v>#N/D</v>
      </c>
      <c r="H180" s="26" t="str">
        <f>IF($AO180,"#N/D",IFERROR(INDEX(Olimpiadas!$B$2:$B$61,MATCH($AM180,Olimpiadas!$C$2:$C$61,0)),"#N/D"))</f>
        <v>#N/D</v>
      </c>
      <c r="I180" s="26" t="str">
        <f>IF($AO180,"#N/D",IFERROR(INDEX(Olimpiadas!$A$2:$A$61,MATCH($AM180,Olimpiadas!$C$2:$C$61,0)),"#N/D"))</f>
        <v>#N/D</v>
      </c>
      <c r="J180" s="26" t="str">
        <f>IF($AO180,"#N/D",IFERROR(INDEX(Minculturas!$A$2:$A$48,MATCH($AM180,Minculturas!$C$2:$C$48,0)),"#N/D"))</f>
        <v>#N/D</v>
      </c>
      <c r="K180" s="26" t="str">
        <f>IF($AO180,"#N/D",IFERROR(INDEX(Minculturas!$B$2:$B$48,MATCH($AM180,Minculturas!$C$2:$C$48,0)),"#N/D"))</f>
        <v>#N/D</v>
      </c>
      <c r="L180" s="27">
        <v>2</v>
      </c>
      <c r="M180" s="28">
        <v>0</v>
      </c>
      <c r="N180" s="28">
        <v>0</v>
      </c>
      <c r="O180" s="28">
        <v>0</v>
      </c>
      <c r="P180" s="28">
        <v>1</v>
      </c>
      <c r="Q180" s="28">
        <v>0</v>
      </c>
      <c r="R180" s="28">
        <v>1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7">
        <f>SUM(Tabla43[[#This Row],[Edificación colapsada]:[Robo]])</f>
        <v>2</v>
      </c>
      <c r="AF180" s="28"/>
      <c r="AG180" s="28"/>
      <c r="AH180" s="28">
        <v>46</v>
      </c>
      <c r="AI180" s="28"/>
      <c r="AJ180" s="28"/>
      <c r="AK180" s="29" t="s">
        <v>114</v>
      </c>
      <c r="AM180" t="str">
        <f t="shared" si="8"/>
        <v>el tambo</v>
      </c>
      <c r="AN180" t="str">
        <f t="shared" si="9"/>
        <v>cauca</v>
      </c>
      <c r="AO180" t="b">
        <f t="shared" si="10"/>
        <v>0</v>
      </c>
      <c r="AP180" t="str">
        <f t="shared" si="11"/>
        <v>el tambo</v>
      </c>
    </row>
    <row r="181" spans="1:42" ht="25.5" customHeight="1" x14ac:dyDescent="0.25">
      <c r="A181" s="33" t="s">
        <v>595</v>
      </c>
      <c r="B181" s="11" t="s">
        <v>42</v>
      </c>
      <c r="C181" s="34" t="s">
        <v>112</v>
      </c>
      <c r="D181" s="69"/>
      <c r="E181" s="11" t="s">
        <v>596</v>
      </c>
      <c r="F181" s="25" t="str">
        <f>IFERROR(IF($AO181,INDEX(cpe!$C$2:$C$307,MATCH($AP181,cpe!$F$2:$F$307,0)),INDEX(cpe!$C$2:$C$307,MATCH($AP181,cpe!$D$2:$D$307,0))),"#N/D")</f>
        <v>Institucion Educativa el Pescador</v>
      </c>
      <c r="G181" s="25" t="str">
        <f>IFERROR(IF($AO181,INDEX(cpe!$B$2:$B$307,MATCH($AP181,cpe!$F$2:$F$307,0)),INDEX(cpe!$B$2:$B$307,MATCH($AP181,cpe!$D$2:$D$307,0))),"#N/D")</f>
        <v>El Tarra</v>
      </c>
      <c r="H181" s="26" t="str">
        <f>IF($AO181,"#N/D",IFERROR(INDEX(Olimpiadas!$B$2:$B$61,MATCH($AM181,Olimpiadas!$C$2:$C$61,0)),"#N/D"))</f>
        <v>#N/D</v>
      </c>
      <c r="I181" s="26" t="str">
        <f>IF($AO181,"#N/D",IFERROR(INDEX(Olimpiadas!$A$2:$A$61,MATCH($AM181,Olimpiadas!$C$2:$C$61,0)),"#N/D"))</f>
        <v>#N/D</v>
      </c>
      <c r="J181" s="26" t="str">
        <f>IF($AO181,"#N/D",IFERROR(INDEX(Minculturas!$A$2:$A$48,MATCH($AM181,Minculturas!$C$2:$C$48,0)),"#N/D"))</f>
        <v>#N/D</v>
      </c>
      <c r="K181" s="26" t="str">
        <f>IF($AO181,"#N/D",IFERROR(INDEX(Minculturas!$B$2:$B$48,MATCH($AM181,Minculturas!$C$2:$C$48,0)),"#N/D"))</f>
        <v>#N/D</v>
      </c>
      <c r="L181" s="27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7">
        <f>SUM(Tabla43[[#This Row],[Edificación colapsada]:[Robo]])</f>
        <v>0</v>
      </c>
      <c r="AF181" s="28" t="s">
        <v>175</v>
      </c>
      <c r="AG181" s="28" t="s">
        <v>234</v>
      </c>
      <c r="AH181" s="28">
        <v>71.2</v>
      </c>
      <c r="AI181" s="28"/>
      <c r="AJ181" s="28"/>
      <c r="AK181" s="29" t="s">
        <v>246</v>
      </c>
      <c r="AM181" t="str">
        <f t="shared" si="8"/>
        <v>el tarra</v>
      </c>
      <c r="AN181" t="str">
        <f t="shared" si="9"/>
        <v>norte de santander</v>
      </c>
      <c r="AO181" t="b">
        <f t="shared" si="10"/>
        <v>0</v>
      </c>
      <c r="AP181" t="str">
        <f t="shared" si="11"/>
        <v>el tarra</v>
      </c>
    </row>
    <row r="182" spans="1:42" ht="25.5" customHeight="1" x14ac:dyDescent="0.25">
      <c r="A182" s="33" t="s">
        <v>336</v>
      </c>
      <c r="B182" s="11" t="s">
        <v>37</v>
      </c>
      <c r="C182" s="34" t="s">
        <v>112</v>
      </c>
      <c r="D182" s="69"/>
      <c r="E182" s="11" t="s">
        <v>337</v>
      </c>
      <c r="F182" s="25" t="str">
        <f>IFERROR(IF($AO182,INDEX(cpe!$C$2:$C$307,MATCH($AP182,cpe!$F$2:$F$307,0)),INDEX(cpe!$C$2:$C$307,MATCH($AP182,cpe!$D$2:$D$307,0))),"#N/D")</f>
        <v>#N/D</v>
      </c>
      <c r="G182" s="25" t="str">
        <f>IFERROR(IF($AO182,INDEX(cpe!$B$2:$B$307,MATCH($AP182,cpe!$F$2:$F$307,0)),INDEX(cpe!$B$2:$B$307,MATCH($AP182,cpe!$D$2:$D$307,0))),"#N/D")</f>
        <v>#N/D</v>
      </c>
      <c r="H182" s="26" t="str">
        <f>IF($AO182,"#N/D",IFERROR(INDEX(Olimpiadas!$B$2:$B$61,MATCH($AM182,Olimpiadas!$C$2:$C$61,0)),"#N/D"))</f>
        <v>#N/D</v>
      </c>
      <c r="I182" s="26" t="str">
        <f>IF($AO182,"#N/D",IFERROR(INDEX(Olimpiadas!$A$2:$A$61,MATCH($AM182,Olimpiadas!$C$2:$C$61,0)),"#N/D"))</f>
        <v>#N/D</v>
      </c>
      <c r="J182" s="26" t="str">
        <f>IF($AO182,"#N/D",IFERROR(INDEX(Minculturas!$A$2:$A$48,MATCH($AM182,Minculturas!$C$2:$C$48,0)),"#N/D"))</f>
        <v>#N/D</v>
      </c>
      <c r="K182" s="26" t="str">
        <f>IF($AO182,"#N/D",IFERROR(INDEX(Minculturas!$B$2:$B$48,MATCH($AM182,Minculturas!$C$2:$C$48,0)),"#N/D"))</f>
        <v>#N/D</v>
      </c>
      <c r="L182" s="27">
        <v>4</v>
      </c>
      <c r="M182" s="28">
        <v>0</v>
      </c>
      <c r="N182" s="28">
        <v>0</v>
      </c>
      <c r="O182" s="28">
        <v>0</v>
      </c>
      <c r="P182" s="28">
        <v>0</v>
      </c>
      <c r="Q182" s="28">
        <v>3</v>
      </c>
      <c r="R182" s="28">
        <v>1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7">
        <f>SUM(Tabla43[[#This Row],[Edificación colapsada]:[Robo]])</f>
        <v>4</v>
      </c>
      <c r="AF182" s="28" t="s">
        <v>338</v>
      </c>
      <c r="AG182" s="28" t="s">
        <v>338</v>
      </c>
      <c r="AH182" s="28">
        <v>32.299999999999997</v>
      </c>
      <c r="AI182" s="28"/>
      <c r="AJ182" s="28"/>
      <c r="AK182" s="29" t="s">
        <v>114</v>
      </c>
      <c r="AM182" t="str">
        <f t="shared" si="8"/>
        <v>elias</v>
      </c>
      <c r="AN182" t="str">
        <f t="shared" si="9"/>
        <v>huila</v>
      </c>
      <c r="AO182" t="b">
        <f t="shared" si="10"/>
        <v>0</v>
      </c>
      <c r="AP182" t="str">
        <f t="shared" si="11"/>
        <v>elias</v>
      </c>
    </row>
    <row r="183" spans="1:42" ht="25.5" customHeight="1" x14ac:dyDescent="0.25">
      <c r="A183" s="33" t="s">
        <v>913</v>
      </c>
      <c r="B183" s="11" t="s">
        <v>10</v>
      </c>
      <c r="C183" s="34" t="s">
        <v>112</v>
      </c>
      <c r="D183" s="69"/>
      <c r="E183" s="11" t="s">
        <v>914</v>
      </c>
      <c r="F183" s="25" t="str">
        <f>IFERROR(IF($AO183,INDEX(cpe!$C$2:$C$307,MATCH($AP183,cpe!$F$2:$F$307,0)),INDEX(cpe!$C$2:$C$307,MATCH($AP183,cpe!$D$2:$D$307,0))),"#N/D")</f>
        <v>#N/D</v>
      </c>
      <c r="G183" s="25" t="str">
        <f>IFERROR(IF($AO183,INDEX(cpe!$B$2:$B$307,MATCH($AP183,cpe!$F$2:$F$307,0)),INDEX(cpe!$B$2:$B$307,MATCH($AP183,cpe!$D$2:$D$307,0))),"#N/D")</f>
        <v>#N/D</v>
      </c>
      <c r="H183" s="26" t="str">
        <f>IF($AO183,"#N/D",IFERROR(INDEX(Olimpiadas!$B$2:$B$61,MATCH($AM183,Olimpiadas!$C$2:$C$61,0)),"#N/D"))</f>
        <v>#N/D</v>
      </c>
      <c r="I183" s="26" t="str">
        <f>IF($AO183,"#N/D",IFERROR(INDEX(Olimpiadas!$A$2:$A$61,MATCH($AM183,Olimpiadas!$C$2:$C$61,0)),"#N/D"))</f>
        <v>#N/D</v>
      </c>
      <c r="J183" s="26" t="str">
        <f>IF($AO183,"#N/D",IFERROR(INDEX(Minculturas!$A$2:$A$48,MATCH($AM183,Minculturas!$C$2:$C$48,0)),"#N/D"))</f>
        <v>#N/D</v>
      </c>
      <c r="K183" s="26" t="str">
        <f>IF($AO183,"#N/D",IFERROR(INDEX(Minculturas!$B$2:$B$48,MATCH($AM183,Minculturas!$C$2:$C$48,0)),"#N/D"))</f>
        <v>#N/D</v>
      </c>
      <c r="L183" s="27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7">
        <f>SUM(Tabla43[[#This Row],[Edificación colapsada]:[Robo]])</f>
        <v>0</v>
      </c>
      <c r="AF183" s="28"/>
      <c r="AG183" s="28"/>
      <c r="AH183" s="28">
        <v>23.1</v>
      </c>
      <c r="AI183" s="28"/>
      <c r="AJ183" s="28"/>
      <c r="AK183" s="29" t="s">
        <v>657</v>
      </c>
      <c r="AM183" t="str">
        <f t="shared" si="8"/>
        <v>entrerrios</v>
      </c>
      <c r="AN183" t="str">
        <f t="shared" si="9"/>
        <v>antioquia</v>
      </c>
      <c r="AO183" t="b">
        <f t="shared" si="10"/>
        <v>0</v>
      </c>
      <c r="AP183" t="str">
        <f t="shared" si="11"/>
        <v>entrerrios</v>
      </c>
    </row>
    <row r="184" spans="1:42" ht="25.5" customHeight="1" x14ac:dyDescent="0.25">
      <c r="A184" s="33" t="s">
        <v>584</v>
      </c>
      <c r="B184" s="11" t="s">
        <v>10</v>
      </c>
      <c r="C184" s="34" t="s">
        <v>112</v>
      </c>
      <c r="D184" s="69"/>
      <c r="E184" s="11" t="s">
        <v>585</v>
      </c>
      <c r="F184" s="25" t="str">
        <f>IFERROR(IF($AO184,INDEX(cpe!$C$2:$C$307,MATCH($AP184,cpe!$F$2:$F$307,0)),INDEX(cpe!$C$2:$C$307,MATCH($AP184,cpe!$D$2:$D$307,0))),"#N/D")</f>
        <v>#N/D</v>
      </c>
      <c r="G184" s="25" t="str">
        <f>IFERROR(IF($AO184,INDEX(cpe!$B$2:$B$307,MATCH($AP184,cpe!$F$2:$F$307,0)),INDEX(cpe!$B$2:$B$307,MATCH($AP184,cpe!$D$2:$D$307,0))),"#N/D")</f>
        <v>#N/D</v>
      </c>
      <c r="H184" s="26" t="str">
        <f>IF($AO184,"#N/D",IFERROR(INDEX(Olimpiadas!$B$2:$B$61,MATCH($AM184,Olimpiadas!$C$2:$C$61,0)),"#N/D"))</f>
        <v>Envigado</v>
      </c>
      <c r="I184" s="26" t="str">
        <f>IF($AO184,"#N/D",IFERROR(INDEX(Olimpiadas!$A$2:$A$61,MATCH($AM184,Olimpiadas!$C$2:$C$61,0)),"#N/D"))</f>
        <v>INSTITUCIÓN EDUCATIVA COMERCIAL DE ENVIGADO</v>
      </c>
      <c r="J184" s="26" t="str">
        <f>IF($AO184,"#N/D",IFERROR(INDEX(Minculturas!$A$2:$A$48,MATCH($AM184,Minculturas!$C$2:$C$48,0)),"#N/D"))</f>
        <v>#N/D</v>
      </c>
      <c r="K184" s="26" t="str">
        <f>IF($AO184,"#N/D",IFERROR(INDEX(Minculturas!$B$2:$B$48,MATCH($AM184,Minculturas!$C$2:$C$48,0)),"#N/D"))</f>
        <v>#N/D</v>
      </c>
      <c r="L184" s="27">
        <v>1</v>
      </c>
      <c r="M184" s="28">
        <v>0</v>
      </c>
      <c r="N184" s="28">
        <v>1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7">
        <f>SUM(Tabla43[[#This Row],[Edificación colapsada]:[Robo]])</f>
        <v>1</v>
      </c>
      <c r="AF184" s="28"/>
      <c r="AG184" s="28"/>
      <c r="AH184" s="28">
        <v>4.9000000000000004</v>
      </c>
      <c r="AI184" s="28"/>
      <c r="AJ184" s="28"/>
      <c r="AK184" s="29" t="s">
        <v>114</v>
      </c>
      <c r="AM184" t="str">
        <f t="shared" si="8"/>
        <v>envigado</v>
      </c>
      <c r="AN184" t="str">
        <f t="shared" si="9"/>
        <v>antioquia</v>
      </c>
      <c r="AO184" t="b">
        <f t="shared" si="10"/>
        <v>0</v>
      </c>
      <c r="AP184" t="str">
        <f t="shared" si="11"/>
        <v>envigado</v>
      </c>
    </row>
    <row r="185" spans="1:42" ht="25.5" customHeight="1" x14ac:dyDescent="0.25">
      <c r="A185" s="33" t="s">
        <v>339</v>
      </c>
      <c r="B185" s="11" t="s">
        <v>48</v>
      </c>
      <c r="C185" s="34" t="s">
        <v>112</v>
      </c>
      <c r="D185" s="69"/>
      <c r="E185" s="11" t="s">
        <v>340</v>
      </c>
      <c r="F185" s="25" t="str">
        <f>IFERROR(IF($AO185,INDEX(cpe!$C$2:$C$307,MATCH($AP185,cpe!$F$2:$F$307,0)),INDEX(cpe!$C$2:$C$307,MATCH($AP185,cpe!$D$2:$D$307,0))),"#N/D")</f>
        <v>#N/D</v>
      </c>
      <c r="G185" s="25" t="str">
        <f>IFERROR(IF($AO185,INDEX(cpe!$B$2:$B$307,MATCH($AP185,cpe!$F$2:$F$307,0)),INDEX(cpe!$B$2:$B$307,MATCH($AP185,cpe!$D$2:$D$307,0))),"#N/D")</f>
        <v>#N/D</v>
      </c>
      <c r="H185" s="26" t="str">
        <f>IF($AO185,"#N/D",IFERROR(INDEX(Olimpiadas!$B$2:$B$61,MATCH($AM185,Olimpiadas!$C$2:$C$61,0)),"#N/D"))</f>
        <v>#N/D</v>
      </c>
      <c r="I185" s="26" t="str">
        <f>IF($AO185,"#N/D",IFERROR(INDEX(Olimpiadas!$A$2:$A$61,MATCH($AM185,Olimpiadas!$C$2:$C$61,0)),"#N/D"))</f>
        <v>#N/D</v>
      </c>
      <c r="J185" s="26" t="str">
        <f>IF($AO185,"#N/D",IFERROR(INDEX(Minculturas!$A$2:$A$48,MATCH($AM185,Minculturas!$C$2:$C$48,0)),"#N/D"))</f>
        <v>#N/D</v>
      </c>
      <c r="K185" s="26" t="str">
        <f>IF($AO185,"#N/D",IFERROR(INDEX(Minculturas!$B$2:$B$48,MATCH($AM185,Minculturas!$C$2:$C$48,0)),"#N/D"))</f>
        <v>#N/D</v>
      </c>
      <c r="L185" s="27">
        <v>2</v>
      </c>
      <c r="M185" s="28">
        <v>0</v>
      </c>
      <c r="N185" s="28">
        <v>1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1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7">
        <f>SUM(Tabla43[[#This Row],[Edificación colapsada]:[Robo]])</f>
        <v>2</v>
      </c>
      <c r="AF185" s="28"/>
      <c r="AG185" s="28"/>
      <c r="AH185" s="28">
        <v>19.2</v>
      </c>
      <c r="AI185" s="28"/>
      <c r="AJ185" s="28"/>
      <c r="AK185" s="29" t="s">
        <v>114</v>
      </c>
      <c r="AM185" t="str">
        <f t="shared" si="8"/>
        <v>espinal</v>
      </c>
      <c r="AN185" t="str">
        <f t="shared" si="9"/>
        <v>tolima</v>
      </c>
      <c r="AO185" t="b">
        <f t="shared" si="10"/>
        <v>0</v>
      </c>
      <c r="AP185" t="str">
        <f t="shared" si="11"/>
        <v>espinal</v>
      </c>
    </row>
    <row r="186" spans="1:42" ht="25.5" customHeight="1" x14ac:dyDescent="0.25">
      <c r="A186" s="33" t="s">
        <v>552</v>
      </c>
      <c r="B186" s="11" t="s">
        <v>48</v>
      </c>
      <c r="C186" s="34" t="s">
        <v>112</v>
      </c>
      <c r="D186" s="69"/>
      <c r="E186" s="11" t="s">
        <v>553</v>
      </c>
      <c r="F186" s="25" t="str">
        <f>IFERROR(IF($AO186,INDEX(cpe!$C$2:$C$307,MATCH($AP186,cpe!$F$2:$F$307,0)),INDEX(cpe!$C$2:$C$307,MATCH($AP186,cpe!$D$2:$D$307,0))),"#N/D")</f>
        <v>#N/D</v>
      </c>
      <c r="G186" s="25" t="str">
        <f>IFERROR(IF($AO186,INDEX(cpe!$B$2:$B$307,MATCH($AP186,cpe!$F$2:$F$307,0)),INDEX(cpe!$B$2:$B$307,MATCH($AP186,cpe!$D$2:$D$307,0))),"#N/D")</f>
        <v>#N/D</v>
      </c>
      <c r="H186" s="26" t="str">
        <f>IF($AO186,"#N/D",IFERROR(INDEX(Olimpiadas!$B$2:$B$61,MATCH($AM186,Olimpiadas!$C$2:$C$61,0)),"#N/D"))</f>
        <v>#N/D</v>
      </c>
      <c r="I186" s="26" t="str">
        <f>IF($AO186,"#N/D",IFERROR(INDEX(Olimpiadas!$A$2:$A$61,MATCH($AM186,Olimpiadas!$C$2:$C$61,0)),"#N/D"))</f>
        <v>#N/D</v>
      </c>
      <c r="J186" s="26" t="str">
        <f>IF($AO186,"#N/D",IFERROR(INDEX(Minculturas!$A$2:$A$48,MATCH($AM186,Minculturas!$C$2:$C$48,0)),"#N/D"))</f>
        <v>#N/D</v>
      </c>
      <c r="K186" s="26" t="str">
        <f>IF($AO186,"#N/D",IFERROR(INDEX(Minculturas!$B$2:$B$48,MATCH($AM186,Minculturas!$C$2:$C$48,0)),"#N/D"))</f>
        <v>#N/D</v>
      </c>
      <c r="L186" s="27">
        <v>1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1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7">
        <f>SUM(Tabla43[[#This Row],[Edificación colapsada]:[Robo]])</f>
        <v>1</v>
      </c>
      <c r="AF186" s="28"/>
      <c r="AG186" s="28"/>
      <c r="AH186" s="28">
        <v>39.299999999999997</v>
      </c>
      <c r="AI186" s="28"/>
      <c r="AJ186" s="28"/>
      <c r="AK186" s="29" t="s">
        <v>114</v>
      </c>
      <c r="AM186" t="str">
        <f t="shared" si="8"/>
        <v>falan</v>
      </c>
      <c r="AN186" t="str">
        <f t="shared" si="9"/>
        <v>tolima</v>
      </c>
      <c r="AO186" t="b">
        <f t="shared" si="10"/>
        <v>0</v>
      </c>
      <c r="AP186" t="str">
        <f t="shared" si="11"/>
        <v>falan</v>
      </c>
    </row>
    <row r="187" spans="1:42" ht="25.5" customHeight="1" x14ac:dyDescent="0.25">
      <c r="A187" s="33" t="s">
        <v>366</v>
      </c>
      <c r="B187" s="11" t="s">
        <v>24</v>
      </c>
      <c r="C187" s="34" t="s">
        <v>112</v>
      </c>
      <c r="D187" s="69"/>
      <c r="E187" s="11" t="s">
        <v>367</v>
      </c>
      <c r="F187" s="25" t="str">
        <f>IFERROR(IF($AO187,INDEX(cpe!$C$2:$C$307,MATCH($AP187,cpe!$F$2:$F$307,0)),INDEX(cpe!$C$2:$C$307,MATCH($AP187,cpe!$D$2:$D$307,0))),"#N/D")</f>
        <v>#N/D</v>
      </c>
      <c r="G187" s="25" t="str">
        <f>IFERROR(IF($AO187,INDEX(cpe!$B$2:$B$307,MATCH($AP187,cpe!$F$2:$F$307,0)),INDEX(cpe!$B$2:$B$307,MATCH($AP187,cpe!$D$2:$D$307,0))),"#N/D")</f>
        <v>#N/D</v>
      </c>
      <c r="H187" s="26" t="str">
        <f>IF($AO187,"#N/D",IFERROR(INDEX(Olimpiadas!$B$2:$B$61,MATCH($AM187,Olimpiadas!$C$2:$C$61,0)),"#N/D"))</f>
        <v>#N/D</v>
      </c>
      <c r="I187" s="26" t="str">
        <f>IF($AO187,"#N/D",IFERROR(INDEX(Olimpiadas!$A$2:$A$61,MATCH($AM187,Olimpiadas!$C$2:$C$61,0)),"#N/D"))</f>
        <v>#N/D</v>
      </c>
      <c r="J187" s="26" t="str">
        <f>IF($AO187,"#N/D",IFERROR(INDEX(Minculturas!$A$2:$A$48,MATCH($AM187,Minculturas!$C$2:$C$48,0)),"#N/D"))</f>
        <v>#N/D</v>
      </c>
      <c r="K187" s="26" t="str">
        <f>IF($AO187,"#N/D",IFERROR(INDEX(Minculturas!$B$2:$B$48,MATCH($AM187,Minculturas!$C$2:$C$48,0)),"#N/D"))</f>
        <v>#N/D</v>
      </c>
      <c r="L187" s="27">
        <v>3</v>
      </c>
      <c r="M187" s="28">
        <v>0</v>
      </c>
      <c r="N187" s="28">
        <v>1</v>
      </c>
      <c r="O187" s="28">
        <v>0</v>
      </c>
      <c r="P187" s="28">
        <v>1</v>
      </c>
      <c r="Q187" s="28">
        <v>1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7">
        <f>SUM(Tabla43[[#This Row],[Edificación colapsada]:[Robo]])</f>
        <v>3</v>
      </c>
      <c r="AF187" s="38" t="s">
        <v>368</v>
      </c>
      <c r="AG187" s="38" t="s">
        <v>369</v>
      </c>
      <c r="AH187" s="28">
        <v>36.200000000000003</v>
      </c>
      <c r="AI187" s="28"/>
      <c r="AJ187" s="28"/>
      <c r="AK187" s="29" t="s">
        <v>114</v>
      </c>
      <c r="AM187" t="str">
        <f t="shared" si="8"/>
        <v>filadelfia</v>
      </c>
      <c r="AN187" t="str">
        <f t="shared" si="9"/>
        <v>caldas</v>
      </c>
      <c r="AO187" t="b">
        <f t="shared" si="10"/>
        <v>0</v>
      </c>
      <c r="AP187" t="str">
        <f t="shared" si="11"/>
        <v>filadelfia</v>
      </c>
    </row>
    <row r="188" spans="1:42" ht="25.5" customHeight="1" x14ac:dyDescent="0.25">
      <c r="A188" s="33" t="s">
        <v>153</v>
      </c>
      <c r="B188" s="11" t="s">
        <v>44</v>
      </c>
      <c r="C188" s="34" t="s">
        <v>112</v>
      </c>
      <c r="D188" s="69"/>
      <c r="E188" s="11" t="s">
        <v>154</v>
      </c>
      <c r="F188" s="25" t="str">
        <f>IFERROR(IF($AO188,INDEX(cpe!$C$2:$C$307,MATCH($AP188,cpe!$F$2:$F$307,0)),INDEX(cpe!$C$2:$C$307,MATCH($AP188,cpe!$D$2:$D$307,0))),"#N/D")</f>
        <v>Inst Educ Tapias</v>
      </c>
      <c r="G188" s="25" t="str">
        <f>IFERROR(IF($AO188,INDEX(cpe!$B$2:$B$307,MATCH($AP188,cpe!$F$2:$F$307,0)),INDEX(cpe!$B$2:$B$307,MATCH($AP188,cpe!$D$2:$D$307,0))),"#N/D")</f>
        <v>Filandia</v>
      </c>
      <c r="H188" s="26" t="str">
        <f>IF($AO188,"#N/D",IFERROR(INDEX(Olimpiadas!$B$2:$B$61,MATCH($AM188,Olimpiadas!$C$2:$C$61,0)),"#N/D"))</f>
        <v>#N/D</v>
      </c>
      <c r="I188" s="26" t="str">
        <f>IF($AO188,"#N/D",IFERROR(INDEX(Olimpiadas!$A$2:$A$61,MATCH($AM188,Olimpiadas!$C$2:$C$61,0)),"#N/D"))</f>
        <v>#N/D</v>
      </c>
      <c r="J188" s="26" t="str">
        <f>IF($AO188,"#N/D",IFERROR(INDEX(Minculturas!$A$2:$A$48,MATCH($AM188,Minculturas!$C$2:$C$48,0)),"#N/D"))</f>
        <v>#N/D</v>
      </c>
      <c r="K188" s="26" t="str">
        <f>IF($AO188,"#N/D",IFERROR(INDEX(Minculturas!$B$2:$B$48,MATCH($AM188,Minculturas!$C$2:$C$48,0)),"#N/D"))</f>
        <v>#N/D</v>
      </c>
      <c r="L188" s="27">
        <v>8</v>
      </c>
      <c r="M188" s="28">
        <v>0</v>
      </c>
      <c r="N188" s="28">
        <v>1</v>
      </c>
      <c r="O188" s="28">
        <v>0</v>
      </c>
      <c r="P188" s="28">
        <v>0</v>
      </c>
      <c r="Q188" s="28">
        <v>0</v>
      </c>
      <c r="R188" s="28">
        <v>2</v>
      </c>
      <c r="S188" s="28">
        <v>3</v>
      </c>
      <c r="T188" s="28">
        <v>2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7">
        <f>SUM(Tabla43[[#This Row],[Edificación colapsada]:[Robo]])</f>
        <v>8</v>
      </c>
      <c r="AF188" s="28"/>
      <c r="AG188" s="28"/>
      <c r="AH188" s="28">
        <v>18.100000000000001</v>
      </c>
      <c r="AI188" s="28"/>
      <c r="AJ188" s="28"/>
      <c r="AK188" s="29" t="s">
        <v>114</v>
      </c>
      <c r="AM188" t="str">
        <f t="shared" si="8"/>
        <v>filandia</v>
      </c>
      <c r="AN188" t="str">
        <f t="shared" si="9"/>
        <v>quindio</v>
      </c>
      <c r="AO188" t="b">
        <f t="shared" si="10"/>
        <v>0</v>
      </c>
      <c r="AP188" t="str">
        <f t="shared" si="11"/>
        <v>filandia</v>
      </c>
    </row>
    <row r="189" spans="1:42" ht="25.5" customHeight="1" x14ac:dyDescent="0.25">
      <c r="A189" s="33" t="s">
        <v>741</v>
      </c>
      <c r="B189" s="11" t="s">
        <v>48</v>
      </c>
      <c r="C189" s="34" t="s">
        <v>112</v>
      </c>
      <c r="D189" s="69"/>
      <c r="E189" s="11" t="s">
        <v>742</v>
      </c>
      <c r="F189" s="25" t="str">
        <f>IFERROR(IF($AO189,INDEX(cpe!$C$2:$C$307,MATCH($AP189,cpe!$F$2:$F$307,0)),INDEX(cpe!$C$2:$C$307,MATCH($AP189,cpe!$D$2:$D$307,0))),"#N/D")</f>
        <v>Institucion Educativa Antonio Narino</v>
      </c>
      <c r="G189" s="25" t="str">
        <f>IFERROR(IF($AO189,INDEX(cpe!$B$2:$B$307,MATCH($AP189,cpe!$F$2:$F$307,0)),INDEX(cpe!$B$2:$B$307,MATCH($AP189,cpe!$D$2:$D$307,0))),"#N/D")</f>
        <v>Flandes</v>
      </c>
      <c r="H189" s="26" t="str">
        <f>IF($AO189,"#N/D",IFERROR(INDEX(Olimpiadas!$B$2:$B$61,MATCH($AM189,Olimpiadas!$C$2:$C$61,0)),"#N/D"))</f>
        <v>#N/D</v>
      </c>
      <c r="I189" s="26" t="str">
        <f>IF($AO189,"#N/D",IFERROR(INDEX(Olimpiadas!$A$2:$A$61,MATCH($AM189,Olimpiadas!$C$2:$C$61,0)),"#N/D"))</f>
        <v>#N/D</v>
      </c>
      <c r="J189" s="26" t="str">
        <f>IF($AO189,"#N/D",IFERROR(INDEX(Minculturas!$A$2:$A$48,MATCH($AM189,Minculturas!$C$2:$C$48,0)),"#N/D"))</f>
        <v>#N/D</v>
      </c>
      <c r="K189" s="26" t="str">
        <f>IF($AO189,"#N/D",IFERROR(INDEX(Minculturas!$B$2:$B$48,MATCH($AM189,Minculturas!$C$2:$C$48,0)),"#N/D"))</f>
        <v>#N/D</v>
      </c>
      <c r="L189" s="27">
        <v>1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1</v>
      </c>
      <c r="AB189" s="28">
        <v>0</v>
      </c>
      <c r="AC189" s="28">
        <v>0</v>
      </c>
      <c r="AD189" s="28">
        <v>0</v>
      </c>
      <c r="AE189" s="27">
        <f>SUM(Tabla43[[#This Row],[Edificación colapsada]:[Robo]])</f>
        <v>1</v>
      </c>
      <c r="AF189" s="28"/>
      <c r="AG189" s="28"/>
      <c r="AH189" s="28">
        <v>17.399999999999999</v>
      </c>
      <c r="AI189" s="28"/>
      <c r="AJ189" s="28"/>
      <c r="AK189" s="29" t="s">
        <v>114</v>
      </c>
      <c r="AM189" t="str">
        <f t="shared" si="8"/>
        <v>flandes</v>
      </c>
      <c r="AN189" t="str">
        <f t="shared" si="9"/>
        <v>tolima</v>
      </c>
      <c r="AO189" t="b">
        <f t="shared" si="10"/>
        <v>0</v>
      </c>
      <c r="AP189" t="str">
        <f t="shared" si="11"/>
        <v>flandes</v>
      </c>
    </row>
    <row r="190" spans="1:42" ht="25.5" customHeight="1" x14ac:dyDescent="0.25">
      <c r="A190" s="33" t="s">
        <v>676</v>
      </c>
      <c r="B190" s="11" t="s">
        <v>28</v>
      </c>
      <c r="C190" s="34" t="s">
        <v>112</v>
      </c>
      <c r="D190" s="69"/>
      <c r="E190" s="11" t="s">
        <v>677</v>
      </c>
      <c r="F190" s="25" t="str">
        <f>IFERROR(IF($AO190,INDEX(cpe!$C$2:$C$307,MATCH($AP190,cpe!$F$2:$F$307,0)),INDEX(cpe!$C$2:$C$307,MATCH($AP190,cpe!$D$2:$D$307,0))),"#N/D")</f>
        <v>#N/D</v>
      </c>
      <c r="G190" s="25" t="str">
        <f>IFERROR(IF($AO190,INDEX(cpe!$B$2:$B$307,MATCH($AP190,cpe!$F$2:$F$307,0)),INDEX(cpe!$B$2:$B$307,MATCH($AP190,cpe!$D$2:$D$307,0))),"#N/D")</f>
        <v>#N/D</v>
      </c>
      <c r="H190" s="26" t="str">
        <f>IF($AO190,"#N/D",IFERROR(INDEX(Olimpiadas!$B$2:$B$61,MATCH($AM190,Olimpiadas!$C$2:$C$61,0)),"#N/D"))</f>
        <v>#N/D</v>
      </c>
      <c r="I190" s="26" t="str">
        <f>IF($AO190,"#N/D",IFERROR(INDEX(Olimpiadas!$A$2:$A$61,MATCH($AM190,Olimpiadas!$C$2:$C$61,0)),"#N/D"))</f>
        <v>#N/D</v>
      </c>
      <c r="J190" s="26" t="str">
        <f>IF($AO190,"#N/D",IFERROR(INDEX(Minculturas!$A$2:$A$48,MATCH($AM190,Minculturas!$C$2:$C$48,0)),"#N/D"))</f>
        <v>#N/D</v>
      </c>
      <c r="K190" s="26" t="str">
        <f>IF($AO190,"#N/D",IFERROR(INDEX(Minculturas!$B$2:$B$48,MATCH($AM190,Minculturas!$C$2:$C$48,0)),"#N/D"))</f>
        <v>#N/D</v>
      </c>
      <c r="L190" s="27">
        <v>1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1</v>
      </c>
      <c r="AA190" s="28">
        <v>0</v>
      </c>
      <c r="AB190" s="28">
        <v>0</v>
      </c>
      <c r="AC190" s="28">
        <v>0</v>
      </c>
      <c r="AD190" s="28">
        <v>0</v>
      </c>
      <c r="AE190" s="27">
        <f>SUM(Tabla43[[#This Row],[Edificación colapsada]:[Robo]])</f>
        <v>1</v>
      </c>
      <c r="AF190" s="28"/>
      <c r="AG190" s="28"/>
      <c r="AH190" s="28">
        <v>36.299999999999997</v>
      </c>
      <c r="AI190" s="28"/>
      <c r="AJ190" s="28"/>
      <c r="AK190" s="29" t="s">
        <v>114</v>
      </c>
      <c r="AM190" t="str">
        <f t="shared" si="8"/>
        <v>florencia</v>
      </c>
      <c r="AN190" t="str">
        <f t="shared" si="9"/>
        <v>cauca</v>
      </c>
      <c r="AO190" t="b">
        <f t="shared" si="10"/>
        <v>1</v>
      </c>
      <c r="AP190" t="str">
        <f t="shared" si="11"/>
        <v>florencia|cauca</v>
      </c>
    </row>
    <row r="191" spans="1:42" ht="25.5" customHeight="1" x14ac:dyDescent="0.25">
      <c r="A191" s="33" t="s">
        <v>1151</v>
      </c>
      <c r="B191" s="11" t="s">
        <v>26</v>
      </c>
      <c r="C191" s="34" t="s">
        <v>112</v>
      </c>
      <c r="D191" s="69"/>
      <c r="E191" s="11" t="s">
        <v>677</v>
      </c>
      <c r="F191" s="25" t="str">
        <f>IFERROR(IF($AO191,INDEX(cpe!$C$2:$C$307,MATCH($AP191,cpe!$F$2:$F$307,0)),INDEX(cpe!$C$2:$C$307,MATCH($AP191,cpe!$D$2:$D$307,0))),"#N/D")</f>
        <v>#N/D</v>
      </c>
      <c r="G191" s="25" t="str">
        <f>IFERROR(IF($AO191,INDEX(cpe!$B$2:$B$307,MATCH($AP191,cpe!$F$2:$F$307,0)),INDEX(cpe!$B$2:$B$307,MATCH($AP191,cpe!$D$2:$D$307,0))),"#N/D")</f>
        <v>#N/D</v>
      </c>
      <c r="H191" s="26" t="str">
        <f>IF($AO191,"#N/D",IFERROR(INDEX(Olimpiadas!$B$2:$B$61,MATCH($AM191,Olimpiadas!$C$2:$C$61,0)),"#N/D"))</f>
        <v>#N/D</v>
      </c>
      <c r="I191" s="26" t="str">
        <f>IF($AO191,"#N/D",IFERROR(INDEX(Olimpiadas!$A$2:$A$61,MATCH($AM191,Olimpiadas!$C$2:$C$61,0)),"#N/D"))</f>
        <v>#N/D</v>
      </c>
      <c r="J191" s="26" t="str">
        <f>IF($AO191,"#N/D",IFERROR(INDEX(Minculturas!$A$2:$A$48,MATCH($AM191,Minculturas!$C$2:$C$48,0)),"#N/D"))</f>
        <v>#N/D</v>
      </c>
      <c r="K191" s="26" t="str">
        <f>IF($AO191,"#N/D",IFERROR(INDEX(Minculturas!$B$2:$B$48,MATCH($AM191,Minculturas!$C$2:$C$48,0)),"#N/D"))</f>
        <v>#N/D</v>
      </c>
      <c r="L191" s="27">
        <v>1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1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7">
        <f>SUM(Tabla43[[#This Row],[Edificación colapsada]:[Robo]])</f>
        <v>1</v>
      </c>
      <c r="AF191" s="28"/>
      <c r="AG191" s="28"/>
      <c r="AH191" s="28">
        <v>29.6</v>
      </c>
      <c r="AI191" s="28"/>
      <c r="AJ191" s="28"/>
      <c r="AK191" s="29" t="s">
        <v>114</v>
      </c>
      <c r="AM191" t="str">
        <f t="shared" si="8"/>
        <v>florencia</v>
      </c>
      <c r="AN191" t="str">
        <f t="shared" si="9"/>
        <v>caqueta</v>
      </c>
      <c r="AO191" t="b">
        <f t="shared" si="10"/>
        <v>1</v>
      </c>
      <c r="AP191" t="str">
        <f t="shared" si="11"/>
        <v>florencia|caqueta</v>
      </c>
    </row>
    <row r="192" spans="1:42" ht="25.5" customHeight="1" x14ac:dyDescent="0.25">
      <c r="A192" s="33" t="s">
        <v>1183</v>
      </c>
      <c r="B192" s="11" t="s">
        <v>46</v>
      </c>
      <c r="C192" s="34" t="s">
        <v>112</v>
      </c>
      <c r="D192" s="69"/>
      <c r="E192" s="11" t="s">
        <v>1184</v>
      </c>
      <c r="F192" s="25" t="str">
        <f>IFERROR(IF($AO192,INDEX(cpe!$C$2:$C$307,MATCH($AP192,cpe!$F$2:$F$307,0)),INDEX(cpe!$C$2:$C$307,MATCH($AP192,cpe!$D$2:$D$307,0))),"#N/D")</f>
        <v>Institucion Educativa Tecnica la Vega de los Padres</v>
      </c>
      <c r="G192" s="25" t="str">
        <f>IFERROR(IF($AO192,INDEX(cpe!$B$2:$B$307,MATCH($AP192,cpe!$F$2:$F$307,0)),INDEX(cpe!$B$2:$B$307,MATCH($AP192,cpe!$D$2:$D$307,0))),"#N/D")</f>
        <v>Floridablanca</v>
      </c>
      <c r="H192" s="26" t="str">
        <f>IF($AO192,"#N/D",IFERROR(INDEX(Olimpiadas!$B$2:$B$61,MATCH($AM192,Olimpiadas!$C$2:$C$61,0)),"#N/D"))</f>
        <v>#N/D</v>
      </c>
      <c r="I192" s="26" t="str">
        <f>IF($AO192,"#N/D",IFERROR(INDEX(Olimpiadas!$A$2:$A$61,MATCH($AM192,Olimpiadas!$C$2:$C$61,0)),"#N/D"))</f>
        <v>#N/D</v>
      </c>
      <c r="J192" s="26" t="str">
        <f>IF($AO192,"#N/D",IFERROR(INDEX(Minculturas!$A$2:$A$48,MATCH($AM192,Minculturas!$C$2:$C$48,0)),"#N/D"))</f>
        <v>#N/D</v>
      </c>
      <c r="K192" s="26" t="str">
        <f>IF($AO192,"#N/D",IFERROR(INDEX(Minculturas!$B$2:$B$48,MATCH($AM192,Minculturas!$C$2:$C$48,0)),"#N/D"))</f>
        <v>#N/D</v>
      </c>
      <c r="L192" s="27">
        <v>2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2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7">
        <f>SUM(Tabla43[[#This Row],[Edificación colapsada]:[Robo]])</f>
        <v>2</v>
      </c>
      <c r="AF192" s="28"/>
      <c r="AG192" s="28"/>
      <c r="AH192" s="28">
        <v>11</v>
      </c>
      <c r="AI192" s="28"/>
      <c r="AJ192" s="28"/>
      <c r="AK192" s="29" t="s">
        <v>114</v>
      </c>
      <c r="AM192" t="str">
        <f t="shared" si="8"/>
        <v>floridablanca</v>
      </c>
      <c r="AN192" t="str">
        <f t="shared" si="9"/>
        <v>santander</v>
      </c>
      <c r="AO192" t="b">
        <f t="shared" si="10"/>
        <v>0</v>
      </c>
      <c r="AP192" t="str">
        <f t="shared" si="11"/>
        <v>floridablanca</v>
      </c>
    </row>
    <row r="193" spans="1:42" ht="25.5" customHeight="1" x14ac:dyDescent="0.25">
      <c r="A193" s="33" t="s">
        <v>423</v>
      </c>
      <c r="B193" s="11" t="s">
        <v>41</v>
      </c>
      <c r="C193" s="34" t="s">
        <v>112</v>
      </c>
      <c r="D193" s="69"/>
      <c r="E193" s="11" t="s">
        <v>424</v>
      </c>
      <c r="F193" s="25" t="str">
        <f>IFERROR(IF($AO193,INDEX(cpe!$C$2:$C$307,MATCH($AP193,cpe!$F$2:$F$307,0)),INDEX(cpe!$C$2:$C$307,MATCH($AP193,cpe!$D$2:$D$307,0))),"#N/D")</f>
        <v>#N/D</v>
      </c>
      <c r="G193" s="25" t="str">
        <f>IFERROR(IF($AO193,INDEX(cpe!$B$2:$B$307,MATCH($AP193,cpe!$F$2:$F$307,0)),INDEX(cpe!$B$2:$B$307,MATCH($AP193,cpe!$D$2:$D$307,0))),"#N/D")</f>
        <v>#N/D</v>
      </c>
      <c r="H193" s="26" t="str">
        <f>IF($AO193,"#N/D",IFERROR(INDEX(Olimpiadas!$B$2:$B$61,MATCH($AM193,Olimpiadas!$C$2:$C$61,0)),"#N/D"))</f>
        <v>#N/D</v>
      </c>
      <c r="I193" s="26" t="str">
        <f>IF($AO193,"#N/D",IFERROR(INDEX(Olimpiadas!$A$2:$A$61,MATCH($AM193,Olimpiadas!$C$2:$C$61,0)),"#N/D"))</f>
        <v>#N/D</v>
      </c>
      <c r="J193" s="26" t="str">
        <f>IF($AO193,"#N/D",IFERROR(INDEX(Minculturas!$A$2:$A$48,MATCH($AM193,Minculturas!$C$2:$C$48,0)),"#N/D"))</f>
        <v>#N/D</v>
      </c>
      <c r="K193" s="26" t="str">
        <f>IF($AO193,"#N/D",IFERROR(INDEX(Minculturas!$B$2:$B$48,MATCH($AM193,Minculturas!$C$2:$C$48,0)),"#N/D"))</f>
        <v>#N/D</v>
      </c>
      <c r="L193" s="27">
        <v>1</v>
      </c>
      <c r="M193" s="28">
        <v>0</v>
      </c>
      <c r="N193" s="28">
        <v>1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7">
        <f>SUM(Tabla43[[#This Row],[Edificación colapsada]:[Robo]])</f>
        <v>1</v>
      </c>
      <c r="AF193" s="28"/>
      <c r="AG193" s="28"/>
      <c r="AH193" s="28">
        <v>69.5</v>
      </c>
      <c r="AI193" s="28"/>
      <c r="AJ193" s="28"/>
      <c r="AK193" s="29" t="s">
        <v>114</v>
      </c>
      <c r="AM193" t="str">
        <f t="shared" si="8"/>
        <v>francisco pizarro</v>
      </c>
      <c r="AN193" t="str">
        <f t="shared" si="9"/>
        <v>narino</v>
      </c>
      <c r="AO193" t="b">
        <f t="shared" si="10"/>
        <v>0</v>
      </c>
      <c r="AP193" t="str">
        <f t="shared" si="11"/>
        <v>francisco pizarro</v>
      </c>
    </row>
    <row r="194" spans="1:42" ht="25.5" customHeight="1" x14ac:dyDescent="0.25">
      <c r="A194" s="33" t="s">
        <v>370</v>
      </c>
      <c r="B194" s="11" t="s">
        <v>10</v>
      </c>
      <c r="C194" s="34" t="s">
        <v>112</v>
      </c>
      <c r="D194" s="69"/>
      <c r="E194" s="11" t="s">
        <v>371</v>
      </c>
      <c r="F194" s="25" t="str">
        <f>IFERROR(IF($AO194,INDEX(cpe!$C$2:$C$307,MATCH($AP194,cpe!$F$2:$F$307,0)),INDEX(cpe!$C$2:$C$307,MATCH($AP194,cpe!$D$2:$D$307,0))),"#N/D")</f>
        <v>#N/D</v>
      </c>
      <c r="G194" s="25" t="str">
        <f>IFERROR(IF($AO194,INDEX(cpe!$B$2:$B$307,MATCH($AP194,cpe!$F$2:$F$307,0)),INDEX(cpe!$B$2:$B$307,MATCH($AP194,cpe!$D$2:$D$307,0))),"#N/D")</f>
        <v>#N/D</v>
      </c>
      <c r="H194" s="26" t="str">
        <f>IF($AO194,"#N/D",IFERROR(INDEX(Olimpiadas!$B$2:$B$61,MATCH($AM194,Olimpiadas!$C$2:$C$61,0)),"#N/D"))</f>
        <v>#N/D</v>
      </c>
      <c r="I194" s="26" t="str">
        <f>IF($AO194,"#N/D",IFERROR(INDEX(Olimpiadas!$A$2:$A$61,MATCH($AM194,Olimpiadas!$C$2:$C$61,0)),"#N/D"))</f>
        <v>#N/D</v>
      </c>
      <c r="J194" s="26" t="str">
        <f>IF($AO194,"#N/D",IFERROR(INDEX(Minculturas!$A$2:$A$48,MATCH($AM194,Minculturas!$C$2:$C$48,0)),"#N/D"))</f>
        <v>#N/D</v>
      </c>
      <c r="K194" s="26" t="str">
        <f>IF($AO194,"#N/D",IFERROR(INDEX(Minculturas!$B$2:$B$48,MATCH($AM194,Minculturas!$C$2:$C$48,0)),"#N/D"))</f>
        <v>#N/D</v>
      </c>
      <c r="L194" s="27">
        <v>3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3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7">
        <f>SUM(Tabla43[[#This Row],[Edificación colapsada]:[Robo]])</f>
        <v>3</v>
      </c>
      <c r="AF194" s="28"/>
      <c r="AG194" s="28"/>
      <c r="AH194" s="28">
        <v>31.6</v>
      </c>
      <c r="AI194" s="28"/>
      <c r="AJ194" s="28"/>
      <c r="AK194" s="29" t="s">
        <v>114</v>
      </c>
      <c r="AM194" t="str">
        <f t="shared" ref="AM194:AM257" si="12">TRIM(SUBSTITUTE(SUBSTITUTE(SUBSTITUTE(SUBSTITUTE(SUBSTITUTE(SUBSTITUTE(SUBSTITUTE(SUBSTITUTE(SUBSTITUTE(LOWER(E194),"á","a"),"é","e"),"í","i"),"ó","o"),"ú","u"),"ñ","n"),"-"," "),","," "),"."," "))</f>
        <v>fredonia</v>
      </c>
      <c r="AN194" t="str">
        <f t="shared" ref="AN194:AN257" si="13">TRIM(SUBSTITUTE(SUBSTITUTE(SUBSTITUTE(SUBSTITUTE(SUBSTITUTE(SUBSTITUTE(SUBSTITUTE(SUBSTITUTE(SUBSTITUTE(LOWER(B194),"á","a"),"é","e"),"í","i"),"ó","o"),"ú","u"),"ñ","n"),"-"," "),","," "),"."," "))</f>
        <v>antioquia</v>
      </c>
      <c r="AO194" t="b">
        <f t="shared" ref="AO194:AO257" si="14">COUNTIF($AM$2:$AM$433,AM194)&gt;COUNTIFS($AM$2:$AM$433,AM194,$AN$2:$AN$433,AN194)</f>
        <v>0</v>
      </c>
      <c r="AP194" t="str">
        <f t="shared" ref="AP194:AP257" si="15">IF(AO194,AM194&amp;"|"&amp;AN194,AM194)</f>
        <v>fredonia</v>
      </c>
    </row>
    <row r="195" spans="1:42" ht="25.5" customHeight="1" x14ac:dyDescent="0.25">
      <c r="A195" s="33" t="s">
        <v>282</v>
      </c>
      <c r="B195" s="11" t="s">
        <v>48</v>
      </c>
      <c r="C195" s="34" t="s">
        <v>112</v>
      </c>
      <c r="D195" s="69"/>
      <c r="E195" s="11" t="s">
        <v>283</v>
      </c>
      <c r="F195" s="25" t="str">
        <f>IFERROR(IF($AO195,INDEX(cpe!$C$2:$C$307,MATCH($AP195,cpe!$F$2:$F$307,0)),INDEX(cpe!$C$2:$C$307,MATCH($AP195,cpe!$D$2:$D$307,0))),"#N/D")</f>
        <v>Inst. Educativa Monse¿or Sarmiento Peralta</v>
      </c>
      <c r="G195" s="25" t="str">
        <f>IFERROR(IF($AO195,INDEX(cpe!$B$2:$B$307,MATCH($AP195,cpe!$F$2:$F$307,0)),INDEX(cpe!$B$2:$B$307,MATCH($AP195,cpe!$D$2:$D$307,0))),"#N/D")</f>
        <v>Fresno</v>
      </c>
      <c r="H195" s="26" t="str">
        <f>IF($AO195,"#N/D",IFERROR(INDEX(Olimpiadas!$B$2:$B$61,MATCH($AM195,Olimpiadas!$C$2:$C$61,0)),"#N/D"))</f>
        <v>#N/D</v>
      </c>
      <c r="I195" s="26" t="str">
        <f>IF($AO195,"#N/D",IFERROR(INDEX(Olimpiadas!$A$2:$A$61,MATCH($AM195,Olimpiadas!$C$2:$C$61,0)),"#N/D"))</f>
        <v>#N/D</v>
      </c>
      <c r="J195" s="26" t="str">
        <f>IF($AO195,"#N/D",IFERROR(INDEX(Minculturas!$A$2:$A$48,MATCH($AM195,Minculturas!$C$2:$C$48,0)),"#N/D"))</f>
        <v>#N/D</v>
      </c>
      <c r="K195" s="26" t="str">
        <f>IF($AO195,"#N/D",IFERROR(INDEX(Minculturas!$B$2:$B$48,MATCH($AM195,Minculturas!$C$2:$C$48,0)),"#N/D"))</f>
        <v>#N/D</v>
      </c>
      <c r="L195" s="27">
        <v>4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3</v>
      </c>
      <c r="U195" s="28">
        <v>0</v>
      </c>
      <c r="V195" s="28">
        <v>1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7">
        <f>SUM(Tabla43[[#This Row],[Edificación colapsada]:[Robo]])</f>
        <v>4</v>
      </c>
      <c r="AF195" s="28"/>
      <c r="AG195" s="28"/>
      <c r="AH195" s="28">
        <v>33.6</v>
      </c>
      <c r="AI195" s="28"/>
      <c r="AJ195" s="28"/>
      <c r="AK195" s="29" t="s">
        <v>114</v>
      </c>
      <c r="AM195" t="str">
        <f t="shared" si="12"/>
        <v>fresno</v>
      </c>
      <c r="AN195" t="str">
        <f t="shared" si="13"/>
        <v>tolima</v>
      </c>
      <c r="AO195" t="b">
        <f t="shared" si="14"/>
        <v>0</v>
      </c>
      <c r="AP195" t="str">
        <f t="shared" si="15"/>
        <v>fresno</v>
      </c>
    </row>
    <row r="196" spans="1:42" ht="25.5" customHeight="1" x14ac:dyDescent="0.25">
      <c r="A196" s="33" t="s">
        <v>915</v>
      </c>
      <c r="B196" s="11" t="s">
        <v>10</v>
      </c>
      <c r="C196" s="34" t="s">
        <v>112</v>
      </c>
      <c r="D196" s="69"/>
      <c r="E196" s="11" t="s">
        <v>916</v>
      </c>
      <c r="F196" s="25" t="str">
        <f>IFERROR(IF($AO196,INDEX(cpe!$C$2:$C$307,MATCH($AP196,cpe!$F$2:$F$307,0)),INDEX(cpe!$C$2:$C$307,MATCH($AP196,cpe!$D$2:$D$307,0))),"#N/D")</f>
        <v>#N/D</v>
      </c>
      <c r="G196" s="25" t="str">
        <f>IFERROR(IF($AO196,INDEX(cpe!$B$2:$B$307,MATCH($AP196,cpe!$F$2:$F$307,0)),INDEX(cpe!$B$2:$B$307,MATCH($AP196,cpe!$D$2:$D$307,0))),"#N/D")</f>
        <v>#N/D</v>
      </c>
      <c r="H196" s="26" t="str">
        <f>IF($AO196,"#N/D",IFERROR(INDEX(Olimpiadas!$B$2:$B$61,MATCH($AM196,Olimpiadas!$C$2:$C$61,0)),"#N/D"))</f>
        <v>#N/D</v>
      </c>
      <c r="I196" s="26" t="str">
        <f>IF($AO196,"#N/D",IFERROR(INDEX(Olimpiadas!$A$2:$A$61,MATCH($AM196,Olimpiadas!$C$2:$C$61,0)),"#N/D"))</f>
        <v>#N/D</v>
      </c>
      <c r="J196" s="26" t="str">
        <f>IF($AO196,"#N/D",IFERROR(INDEX(Minculturas!$A$2:$A$48,MATCH($AM196,Minculturas!$C$2:$C$48,0)),"#N/D"))</f>
        <v>#N/D</v>
      </c>
      <c r="K196" s="26" t="str">
        <f>IF($AO196,"#N/D",IFERROR(INDEX(Minculturas!$B$2:$B$48,MATCH($AM196,Minculturas!$C$2:$C$48,0)),"#N/D"))</f>
        <v>#N/D</v>
      </c>
      <c r="L196" s="27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7">
        <f>SUM(Tabla43[[#This Row],[Edificación colapsada]:[Robo]])</f>
        <v>0</v>
      </c>
      <c r="AF196" s="28"/>
      <c r="AG196" s="28"/>
      <c r="AH196" s="28">
        <v>51.3</v>
      </c>
      <c r="AI196" s="28"/>
      <c r="AJ196" s="28"/>
      <c r="AK196" s="29" t="s">
        <v>365</v>
      </c>
      <c r="AM196" t="str">
        <f t="shared" si="12"/>
        <v>frontino</v>
      </c>
      <c r="AN196" t="str">
        <f t="shared" si="13"/>
        <v>antioquia</v>
      </c>
      <c r="AO196" t="b">
        <f t="shared" si="14"/>
        <v>0</v>
      </c>
      <c r="AP196" t="str">
        <f t="shared" si="15"/>
        <v>frontino</v>
      </c>
    </row>
    <row r="197" spans="1:42" ht="25.5" customHeight="1" x14ac:dyDescent="0.25">
      <c r="A197" s="33" t="s">
        <v>425</v>
      </c>
      <c r="B197" s="11" t="s">
        <v>41</v>
      </c>
      <c r="C197" s="34" t="s">
        <v>112</v>
      </c>
      <c r="D197" s="69"/>
      <c r="E197" s="11" t="s">
        <v>426</v>
      </c>
      <c r="F197" s="25" t="str">
        <f>IFERROR(IF($AO197,INDEX(cpe!$C$2:$C$307,MATCH($AP197,cpe!$F$2:$F$307,0)),INDEX(cpe!$C$2:$C$307,MATCH($AP197,cpe!$D$2:$D$307,0))),"#N/D")</f>
        <v>#N/D</v>
      </c>
      <c r="G197" s="25" t="str">
        <f>IFERROR(IF($AO197,INDEX(cpe!$B$2:$B$307,MATCH($AP197,cpe!$F$2:$F$307,0)),INDEX(cpe!$B$2:$B$307,MATCH($AP197,cpe!$D$2:$D$307,0))),"#N/D")</f>
        <v>#N/D</v>
      </c>
      <c r="H197" s="26" t="str">
        <f>IF($AO197,"#N/D",IFERROR(INDEX(Olimpiadas!$B$2:$B$61,MATCH($AM197,Olimpiadas!$C$2:$C$61,0)),"#N/D"))</f>
        <v>#N/D</v>
      </c>
      <c r="I197" s="26" t="str">
        <f>IF($AO197,"#N/D",IFERROR(INDEX(Olimpiadas!$A$2:$A$61,MATCH($AM197,Olimpiadas!$C$2:$C$61,0)),"#N/D"))</f>
        <v>#N/D</v>
      </c>
      <c r="J197" s="26" t="str">
        <f>IF($AO197,"#N/D",IFERROR(INDEX(Minculturas!$A$2:$A$48,MATCH($AM197,Minculturas!$C$2:$C$48,0)),"#N/D"))</f>
        <v>#N/D</v>
      </c>
      <c r="K197" s="26" t="str">
        <f>IF($AO197,"#N/D",IFERROR(INDEX(Minculturas!$B$2:$B$48,MATCH($AM197,Minculturas!$C$2:$C$48,0)),"#N/D"))</f>
        <v>#N/D</v>
      </c>
      <c r="L197" s="27">
        <v>1</v>
      </c>
      <c r="M197" s="28">
        <v>0</v>
      </c>
      <c r="N197" s="28">
        <v>0</v>
      </c>
      <c r="O197" s="28">
        <v>0</v>
      </c>
      <c r="P197" s="28">
        <v>0</v>
      </c>
      <c r="Q197" s="28">
        <v>1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7">
        <f>SUM(Tabla43[[#This Row],[Edificación colapsada]:[Robo]])</f>
        <v>1</v>
      </c>
      <c r="AF197" s="28"/>
      <c r="AG197" s="28"/>
      <c r="AH197" s="28">
        <v>41.1</v>
      </c>
      <c r="AI197" s="28"/>
      <c r="AJ197" s="28"/>
      <c r="AK197" s="29" t="s">
        <v>114</v>
      </c>
      <c r="AM197" t="str">
        <f t="shared" si="12"/>
        <v>funes</v>
      </c>
      <c r="AN197" t="str">
        <f t="shared" si="13"/>
        <v>narino</v>
      </c>
      <c r="AO197" t="b">
        <f t="shared" si="14"/>
        <v>0</v>
      </c>
      <c r="AP197" t="str">
        <f t="shared" si="15"/>
        <v>funes</v>
      </c>
    </row>
    <row r="198" spans="1:42" ht="25.5" customHeight="1" x14ac:dyDescent="0.25">
      <c r="A198" s="33" t="s">
        <v>797</v>
      </c>
      <c r="B198" s="11" t="s">
        <v>35</v>
      </c>
      <c r="C198" s="34" t="s">
        <v>112</v>
      </c>
      <c r="D198" s="69"/>
      <c r="E198" s="11" t="s">
        <v>798</v>
      </c>
      <c r="F198" s="25" t="str">
        <f>IFERROR(IF($AO198,INDEX(cpe!$C$2:$C$307,MATCH($AP198,cpe!$F$2:$F$307,0)),INDEX(cpe!$C$2:$C$307,MATCH($AP198,cpe!$D$2:$D$307,0))),"#N/D")</f>
        <v>#N/D</v>
      </c>
      <c r="G198" s="25" t="str">
        <f>IFERROR(IF($AO198,INDEX(cpe!$B$2:$B$307,MATCH($AP198,cpe!$F$2:$F$307,0)),INDEX(cpe!$B$2:$B$307,MATCH($AP198,cpe!$D$2:$D$307,0))),"#N/D")</f>
        <v>#N/D</v>
      </c>
      <c r="H198" s="26" t="str">
        <f>IF($AO198,"#N/D",IFERROR(INDEX(Olimpiadas!$B$2:$B$61,MATCH($AM198,Olimpiadas!$C$2:$C$61,0)),"#N/D"))</f>
        <v>#N/D</v>
      </c>
      <c r="I198" s="26" t="str">
        <f>IF($AO198,"#N/D",IFERROR(INDEX(Olimpiadas!$A$2:$A$61,MATCH($AM198,Olimpiadas!$C$2:$C$61,0)),"#N/D"))</f>
        <v>#N/D</v>
      </c>
      <c r="J198" s="26" t="str">
        <f>IF($AO198,"#N/D",IFERROR(INDEX(Minculturas!$A$2:$A$48,MATCH($AM198,Minculturas!$C$2:$C$48,0)),"#N/D"))</f>
        <v>#N/D</v>
      </c>
      <c r="K198" s="26" t="str">
        <f>IF($AO198,"#N/D",IFERROR(INDEX(Minculturas!$B$2:$B$48,MATCH($AM198,Minculturas!$C$2:$C$48,0)),"#N/D"))</f>
        <v>#N/D</v>
      </c>
      <c r="L198" s="27">
        <v>1</v>
      </c>
      <c r="M198" s="28">
        <v>0</v>
      </c>
      <c r="N198" s="28">
        <v>0</v>
      </c>
      <c r="O198" s="28">
        <v>0</v>
      </c>
      <c r="P198" s="28">
        <v>1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7">
        <f>SUM(Tabla43[[#This Row],[Edificación colapsada]:[Robo]])</f>
        <v>1</v>
      </c>
      <c r="AF198" s="28"/>
      <c r="AG198" s="28"/>
      <c r="AH198" s="28">
        <v>23.6</v>
      </c>
      <c r="AI198" s="28"/>
      <c r="AJ198" s="28"/>
      <c r="AK198" s="29" t="s">
        <v>114</v>
      </c>
      <c r="AM198" t="str">
        <f t="shared" si="12"/>
        <v>fuquene</v>
      </c>
      <c r="AN198" t="str">
        <f t="shared" si="13"/>
        <v>cundinamarca</v>
      </c>
      <c r="AO198" t="b">
        <f t="shared" si="14"/>
        <v>0</v>
      </c>
      <c r="AP198" t="str">
        <f t="shared" si="15"/>
        <v>fuquene</v>
      </c>
    </row>
    <row r="199" spans="1:42" ht="25.5" customHeight="1" x14ac:dyDescent="0.25">
      <c r="A199" s="33" t="s">
        <v>1118</v>
      </c>
      <c r="B199" s="11" t="s">
        <v>35</v>
      </c>
      <c r="C199" s="34" t="s">
        <v>112</v>
      </c>
      <c r="D199" s="69"/>
      <c r="E199" s="11" t="s">
        <v>1119</v>
      </c>
      <c r="F199" s="25" t="str">
        <f>IFERROR(IF($AO199,INDEX(cpe!$C$2:$C$307,MATCH($AP199,cpe!$F$2:$F$307,0)),INDEX(cpe!$C$2:$C$307,MATCH($AP199,cpe!$D$2:$D$307,0))),"#N/D")</f>
        <v>I.E. Institucion Etnoeducativa U Wa Izqueta (segovia)</v>
      </c>
      <c r="G199" s="25" t="str">
        <f>IFERROR(IF($AO199,INDEX(cpe!$B$2:$B$307,MATCH($AP199,cpe!$F$2:$F$307,0)),INDEX(cpe!$B$2:$B$307,MATCH($AP199,cpe!$D$2:$D$307,0))),"#N/D")</f>
        <v>Fusagasugá</v>
      </c>
      <c r="H199" s="26" t="str">
        <f>IF($AO199,"#N/D",IFERROR(INDEX(Olimpiadas!$B$2:$B$61,MATCH($AM199,Olimpiadas!$C$2:$C$61,0)),"#N/D"))</f>
        <v>#N/D</v>
      </c>
      <c r="I199" s="26" t="str">
        <f>IF($AO199,"#N/D",IFERROR(INDEX(Olimpiadas!$A$2:$A$61,MATCH($AM199,Olimpiadas!$C$2:$C$61,0)),"#N/D"))</f>
        <v>#N/D</v>
      </c>
      <c r="J199" s="26" t="str">
        <f>IF($AO199,"#N/D",IFERROR(INDEX(Minculturas!$A$2:$A$48,MATCH($AM199,Minculturas!$C$2:$C$48,0)),"#N/D"))</f>
        <v>#N/D</v>
      </c>
      <c r="K199" s="26" t="str">
        <f>IF($AO199,"#N/D",IFERROR(INDEX(Minculturas!$B$2:$B$48,MATCH($AM199,Minculturas!$C$2:$C$48,0)),"#N/D"))</f>
        <v>#N/D</v>
      </c>
      <c r="L199" s="27">
        <v>3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2</v>
      </c>
      <c r="U199" s="28">
        <v>0</v>
      </c>
      <c r="V199" s="28">
        <v>0</v>
      </c>
      <c r="W199" s="28">
        <v>1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7">
        <f>SUM(Tabla43[[#This Row],[Edificación colapsada]:[Robo]])</f>
        <v>3</v>
      </c>
      <c r="AF199" s="28"/>
      <c r="AG199" s="28"/>
      <c r="AH199" s="28">
        <v>12.2</v>
      </c>
      <c r="AI199" s="28"/>
      <c r="AJ199" s="28"/>
      <c r="AK199" s="29" t="s">
        <v>114</v>
      </c>
      <c r="AM199" t="str">
        <f t="shared" si="12"/>
        <v>fusagasuga</v>
      </c>
      <c r="AN199" t="str">
        <f t="shared" si="13"/>
        <v>cundinamarca</v>
      </c>
      <c r="AO199" t="b">
        <f t="shared" si="14"/>
        <v>0</v>
      </c>
      <c r="AP199" t="str">
        <f t="shared" si="15"/>
        <v>fusagasuga</v>
      </c>
    </row>
    <row r="200" spans="1:42" ht="25.5" customHeight="1" x14ac:dyDescent="0.25">
      <c r="A200" s="33" t="s">
        <v>131</v>
      </c>
      <c r="B200" s="11" t="s">
        <v>37</v>
      </c>
      <c r="C200" s="34" t="s">
        <v>112</v>
      </c>
      <c r="D200" s="69"/>
      <c r="E200" s="11" t="s">
        <v>132</v>
      </c>
      <c r="F200" s="25" t="str">
        <f>IFERROR(IF($AO200,INDEX(cpe!$C$2:$C$307,MATCH($AP200,cpe!$F$2:$F$307,0)),INDEX(cpe!$C$2:$C$307,MATCH($AP200,cpe!$D$2:$D$307,0))),"#N/D")</f>
        <v>Centro Etnoeducativo No. 21 Aralia</v>
      </c>
      <c r="G200" s="25" t="str">
        <f>IFERROR(IF($AO200,INDEX(cpe!$B$2:$B$307,MATCH($AP200,cpe!$F$2:$F$307,0)),INDEX(cpe!$B$2:$B$307,MATCH($AP200,cpe!$D$2:$D$307,0))),"#N/D")</f>
        <v>Garzón</v>
      </c>
      <c r="H200" s="26" t="str">
        <f>IF($AO200,"#N/D",IFERROR(INDEX(Olimpiadas!$B$2:$B$61,MATCH($AM200,Olimpiadas!$C$2:$C$61,0)),"#N/D"))</f>
        <v>Garzón</v>
      </c>
      <c r="I200" s="26" t="str">
        <f>IF($AO200,"#N/D",IFERROR(INDEX(Olimpiadas!$A$2:$A$61,MATCH($AM200,Olimpiadas!$C$2:$C$61,0)),"#N/D"))</f>
        <v>INSTITUCIÓN EDUCATIVA TULIO ARBELÁEZ</v>
      </c>
      <c r="J200" s="26" t="str">
        <f>IF($AO200,"#N/D",IFERROR(INDEX(Minculturas!$A$2:$A$48,MATCH($AM200,Minculturas!$C$2:$C$48,0)),"#N/D"))</f>
        <v>#N/D</v>
      </c>
      <c r="K200" s="26" t="str">
        <f>IF($AO200,"#N/D",IFERROR(INDEX(Minculturas!$B$2:$B$48,MATCH($AM200,Minculturas!$C$2:$C$48,0)),"#N/D"))</f>
        <v>#N/D</v>
      </c>
      <c r="L200" s="27">
        <v>5</v>
      </c>
      <c r="M200" s="28">
        <v>0</v>
      </c>
      <c r="N200" s="28">
        <v>1</v>
      </c>
      <c r="O200" s="28">
        <v>0</v>
      </c>
      <c r="P200" s="28">
        <v>0</v>
      </c>
      <c r="Q200" s="28">
        <v>4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7">
        <f>SUM(Tabla43[[#This Row],[Edificación colapsada]:[Robo]])</f>
        <v>5</v>
      </c>
      <c r="AF200" s="28"/>
      <c r="AG200" s="28"/>
      <c r="AH200" s="28">
        <v>32</v>
      </c>
      <c r="AI200" s="28"/>
      <c r="AJ200" s="28"/>
      <c r="AK200" s="29" t="s">
        <v>114</v>
      </c>
      <c r="AM200" t="str">
        <f t="shared" si="12"/>
        <v>garzon</v>
      </c>
      <c r="AN200" t="str">
        <f t="shared" si="13"/>
        <v>huila</v>
      </c>
      <c r="AO200" t="b">
        <f t="shared" si="14"/>
        <v>0</v>
      </c>
      <c r="AP200" t="str">
        <f t="shared" si="15"/>
        <v>garzon</v>
      </c>
    </row>
    <row r="201" spans="1:42" ht="25.5" customHeight="1" x14ac:dyDescent="0.25">
      <c r="A201" s="33" t="s">
        <v>917</v>
      </c>
      <c r="B201" s="11" t="s">
        <v>44</v>
      </c>
      <c r="C201" s="34" t="s">
        <v>112</v>
      </c>
      <c r="D201" s="69"/>
      <c r="E201" s="11" t="s">
        <v>918</v>
      </c>
      <c r="F201" s="25" t="str">
        <f>IFERROR(IF($AO201,INDEX(cpe!$C$2:$C$307,MATCH($AP201,cpe!$F$2:$F$307,0)),INDEX(cpe!$C$2:$C$307,MATCH($AP201,cpe!$D$2:$D$307,0))),"#N/D")</f>
        <v>#N/D</v>
      </c>
      <c r="G201" s="25" t="str">
        <f>IFERROR(IF($AO201,INDEX(cpe!$B$2:$B$307,MATCH($AP201,cpe!$F$2:$F$307,0)),INDEX(cpe!$B$2:$B$307,MATCH($AP201,cpe!$D$2:$D$307,0))),"#N/D")</f>
        <v>#N/D</v>
      </c>
      <c r="H201" s="26" t="str">
        <f>IF($AO201,"#N/D",IFERROR(INDEX(Olimpiadas!$B$2:$B$61,MATCH($AM201,Olimpiadas!$C$2:$C$61,0)),"#N/D"))</f>
        <v>#N/D</v>
      </c>
      <c r="I201" s="26" t="str">
        <f>IF($AO201,"#N/D",IFERROR(INDEX(Olimpiadas!$A$2:$A$61,MATCH($AM201,Olimpiadas!$C$2:$C$61,0)),"#N/D"))</f>
        <v>#N/D</v>
      </c>
      <c r="J201" s="26" t="str">
        <f>IF($AO201,"#N/D",IFERROR(INDEX(Minculturas!$A$2:$A$48,MATCH($AM201,Minculturas!$C$2:$C$48,0)),"#N/D"))</f>
        <v>#N/D</v>
      </c>
      <c r="K201" s="26" t="str">
        <f>IF($AO201,"#N/D",IFERROR(INDEX(Minculturas!$B$2:$B$48,MATCH($AM201,Minculturas!$C$2:$C$48,0)),"#N/D"))</f>
        <v>#N/D</v>
      </c>
      <c r="L201" s="27">
        <v>7</v>
      </c>
      <c r="M201" s="28">
        <v>0</v>
      </c>
      <c r="N201" s="28">
        <v>1</v>
      </c>
      <c r="O201" s="28">
        <v>0</v>
      </c>
      <c r="P201" s="28">
        <v>1</v>
      </c>
      <c r="Q201" s="28">
        <v>0</v>
      </c>
      <c r="R201" s="28">
        <v>0</v>
      </c>
      <c r="S201" s="28">
        <v>3</v>
      </c>
      <c r="T201" s="28">
        <v>0</v>
      </c>
      <c r="U201" s="28">
        <v>0</v>
      </c>
      <c r="V201" s="28">
        <v>0</v>
      </c>
      <c r="W201" s="28">
        <v>1</v>
      </c>
      <c r="X201" s="28">
        <v>0</v>
      </c>
      <c r="Y201" s="28">
        <v>1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7">
        <f>SUM(Tabla43[[#This Row],[Edificación colapsada]:[Robo]])</f>
        <v>7</v>
      </c>
      <c r="AF201" s="28"/>
      <c r="AG201" s="28"/>
      <c r="AH201" s="28">
        <v>33.1</v>
      </c>
      <c r="AI201" s="28"/>
      <c r="AJ201" s="28"/>
      <c r="AK201" s="29" t="s">
        <v>114</v>
      </c>
      <c r="AM201" t="str">
        <f t="shared" si="12"/>
        <v>genova</v>
      </c>
      <c r="AN201" t="str">
        <f t="shared" si="13"/>
        <v>quindio</v>
      </c>
      <c r="AO201" t="b">
        <f t="shared" si="14"/>
        <v>0</v>
      </c>
      <c r="AP201" t="str">
        <f t="shared" si="15"/>
        <v>genova</v>
      </c>
    </row>
    <row r="202" spans="1:42" ht="25.5" customHeight="1" x14ac:dyDescent="0.25">
      <c r="A202" s="33" t="s">
        <v>554</v>
      </c>
      <c r="B202" s="11" t="s">
        <v>37</v>
      </c>
      <c r="C202" s="34" t="s">
        <v>112</v>
      </c>
      <c r="D202" s="69"/>
      <c r="E202" s="11" t="s">
        <v>555</v>
      </c>
      <c r="F202" s="25" t="str">
        <f>IFERROR(IF($AO202,INDEX(cpe!$C$2:$C$307,MATCH($AP202,cpe!$F$2:$F$307,0)),INDEX(cpe!$C$2:$C$307,MATCH($AP202,cpe!$D$2:$D$307,0))),"#N/D")</f>
        <v>#N/D</v>
      </c>
      <c r="G202" s="25" t="str">
        <f>IFERROR(IF($AO202,INDEX(cpe!$B$2:$B$307,MATCH($AP202,cpe!$F$2:$F$307,0)),INDEX(cpe!$B$2:$B$307,MATCH($AP202,cpe!$D$2:$D$307,0))),"#N/D")</f>
        <v>#N/D</v>
      </c>
      <c r="H202" s="26" t="str">
        <f>IF($AO202,"#N/D",IFERROR(INDEX(Olimpiadas!$B$2:$B$61,MATCH($AM202,Olimpiadas!$C$2:$C$61,0)),"#N/D"))</f>
        <v>#N/D</v>
      </c>
      <c r="I202" s="26" t="str">
        <f>IF($AO202,"#N/D",IFERROR(INDEX(Olimpiadas!$A$2:$A$61,MATCH($AM202,Olimpiadas!$C$2:$C$61,0)),"#N/D"))</f>
        <v>#N/D</v>
      </c>
      <c r="J202" s="26" t="str">
        <f>IF($AO202,"#N/D",IFERROR(INDEX(Minculturas!$A$2:$A$48,MATCH($AM202,Minculturas!$C$2:$C$48,0)),"#N/D"))</f>
        <v>#N/D</v>
      </c>
      <c r="K202" s="26" t="str">
        <f>IF($AO202,"#N/D",IFERROR(INDEX(Minculturas!$B$2:$B$48,MATCH($AM202,Minculturas!$C$2:$C$48,0)),"#N/D"))</f>
        <v>#N/D</v>
      </c>
      <c r="L202" s="27">
        <v>1</v>
      </c>
      <c r="M202" s="28">
        <v>0</v>
      </c>
      <c r="N202" s="28">
        <v>1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7">
        <f>SUM(Tabla43[[#This Row],[Edificación colapsada]:[Robo]])</f>
        <v>1</v>
      </c>
      <c r="AF202" s="28"/>
      <c r="AG202" s="28"/>
      <c r="AH202" s="28">
        <v>36.9</v>
      </c>
      <c r="AI202" s="28"/>
      <c r="AJ202" s="28"/>
      <c r="AK202" s="29" t="s">
        <v>114</v>
      </c>
      <c r="AM202" t="str">
        <f t="shared" si="12"/>
        <v>gigante</v>
      </c>
      <c r="AN202" t="str">
        <f t="shared" si="13"/>
        <v>huila</v>
      </c>
      <c r="AO202" t="b">
        <f t="shared" si="14"/>
        <v>0</v>
      </c>
      <c r="AP202" t="str">
        <f t="shared" si="15"/>
        <v>gigante</v>
      </c>
    </row>
    <row r="203" spans="1:42" ht="25.5" customHeight="1" x14ac:dyDescent="0.25">
      <c r="A203" s="33" t="s">
        <v>1172</v>
      </c>
      <c r="B203" s="11" t="s">
        <v>49</v>
      </c>
      <c r="C203" s="34" t="s">
        <v>112</v>
      </c>
      <c r="D203" s="69"/>
      <c r="E203" s="11" t="s">
        <v>1173</v>
      </c>
      <c r="F203" s="25" t="str">
        <f>IFERROR(IF($AO203,INDEX(cpe!$C$2:$C$307,MATCH($AP203,cpe!$F$2:$F$307,0)),INDEX(cpe!$C$2:$C$307,MATCH($AP203,cpe!$D$2:$D$307,0))),"#N/D")</f>
        <v>#N/D</v>
      </c>
      <c r="G203" s="25" t="str">
        <f>IFERROR(IF($AO203,INDEX(cpe!$B$2:$B$307,MATCH($AP203,cpe!$F$2:$F$307,0)),INDEX(cpe!$B$2:$B$307,MATCH($AP203,cpe!$D$2:$D$307,0))),"#N/D")</f>
        <v>#N/D</v>
      </c>
      <c r="H203" s="26" t="str">
        <f>IF($AO203,"#N/D",IFERROR(INDEX(Olimpiadas!$B$2:$B$61,MATCH($AM203,Olimpiadas!$C$2:$C$61,0)),"#N/D"))</f>
        <v>#N/D</v>
      </c>
      <c r="I203" s="26" t="str">
        <f>IF($AO203,"#N/D",IFERROR(INDEX(Olimpiadas!$A$2:$A$61,MATCH($AM203,Olimpiadas!$C$2:$C$61,0)),"#N/D"))</f>
        <v>#N/D</v>
      </c>
      <c r="J203" s="26" t="str">
        <f>IF($AO203,"#N/D",IFERROR(INDEX(Minculturas!$A$2:$A$48,MATCH($AM203,Minculturas!$C$2:$C$48,0)),"#N/D"))</f>
        <v>#N/D</v>
      </c>
      <c r="K203" s="26" t="str">
        <f>IF($AO203,"#N/D",IFERROR(INDEX(Minculturas!$B$2:$B$48,MATCH($AM203,Minculturas!$C$2:$C$48,0)),"#N/D"))</f>
        <v>#N/D</v>
      </c>
      <c r="L203" s="27">
        <v>2</v>
      </c>
      <c r="M203" s="28">
        <v>0</v>
      </c>
      <c r="N203" s="28">
        <v>0</v>
      </c>
      <c r="O203" s="28">
        <v>0</v>
      </c>
      <c r="P203" s="28">
        <v>1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1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7">
        <f>SUM(Tabla43[[#This Row],[Edificación colapsada]:[Robo]])</f>
        <v>2</v>
      </c>
      <c r="AF203" s="28" t="s">
        <v>136</v>
      </c>
      <c r="AG203" s="28" t="s">
        <v>1174</v>
      </c>
      <c r="AH203" s="28">
        <v>14.7</v>
      </c>
      <c r="AI203" s="28"/>
      <c r="AJ203" s="28"/>
      <c r="AK203" s="29" t="s">
        <v>114</v>
      </c>
      <c r="AM203" t="str">
        <f t="shared" si="12"/>
        <v>ginebra</v>
      </c>
      <c r="AN203" t="str">
        <f t="shared" si="13"/>
        <v>valle del cauca</v>
      </c>
      <c r="AO203" t="b">
        <f t="shared" si="14"/>
        <v>0</v>
      </c>
      <c r="AP203" t="str">
        <f t="shared" si="15"/>
        <v>ginebra</v>
      </c>
    </row>
    <row r="204" spans="1:42" ht="25.5" customHeight="1" x14ac:dyDescent="0.25">
      <c r="A204" s="33" t="s">
        <v>919</v>
      </c>
      <c r="B204" s="11" t="s">
        <v>10</v>
      </c>
      <c r="C204" s="34" t="s">
        <v>112</v>
      </c>
      <c r="D204" s="69"/>
      <c r="E204" s="11" t="s">
        <v>920</v>
      </c>
      <c r="F204" s="25" t="str">
        <f>IFERROR(IF($AO204,INDEX(cpe!$C$2:$C$307,MATCH($AP204,cpe!$F$2:$F$307,0)),INDEX(cpe!$C$2:$C$307,MATCH($AP204,cpe!$D$2:$D$307,0))),"#N/D")</f>
        <v>#N/D</v>
      </c>
      <c r="G204" s="25" t="str">
        <f>IFERROR(IF($AO204,INDEX(cpe!$B$2:$B$307,MATCH($AP204,cpe!$F$2:$F$307,0)),INDEX(cpe!$B$2:$B$307,MATCH($AP204,cpe!$D$2:$D$307,0))),"#N/D")</f>
        <v>#N/D</v>
      </c>
      <c r="H204" s="26" t="str">
        <f>IF($AO204,"#N/D",IFERROR(INDEX(Olimpiadas!$B$2:$B$61,MATCH($AM204,Olimpiadas!$C$2:$C$61,0)),"#N/D"))</f>
        <v>#N/D</v>
      </c>
      <c r="I204" s="26" t="str">
        <f>IF($AO204,"#N/D",IFERROR(INDEX(Olimpiadas!$A$2:$A$61,MATCH($AM204,Olimpiadas!$C$2:$C$61,0)),"#N/D"))</f>
        <v>#N/D</v>
      </c>
      <c r="J204" s="26" t="str">
        <f>IF($AO204,"#N/D",IFERROR(INDEX(Minculturas!$A$2:$A$48,MATCH($AM204,Minculturas!$C$2:$C$48,0)),"#N/D"))</f>
        <v>#N/D</v>
      </c>
      <c r="K204" s="26" t="str">
        <f>IF($AO204,"#N/D",IFERROR(INDEX(Minculturas!$B$2:$B$48,MATCH($AM204,Minculturas!$C$2:$C$48,0)),"#N/D"))</f>
        <v>#N/D</v>
      </c>
      <c r="L204" s="27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7">
        <f>SUM(Tabla43[[#This Row],[Edificación colapsada]:[Robo]])</f>
        <v>0</v>
      </c>
      <c r="AF204" s="28"/>
      <c r="AG204" s="28"/>
      <c r="AH204" s="28">
        <v>33.4</v>
      </c>
      <c r="AI204" s="28"/>
      <c r="AJ204" s="28"/>
      <c r="AK204" s="29" t="s">
        <v>365</v>
      </c>
      <c r="AM204" t="str">
        <f t="shared" si="12"/>
        <v>giraldo</v>
      </c>
      <c r="AN204" t="str">
        <f t="shared" si="13"/>
        <v>antioquia</v>
      </c>
      <c r="AO204" t="b">
        <f t="shared" si="14"/>
        <v>0</v>
      </c>
      <c r="AP204" t="str">
        <f t="shared" si="15"/>
        <v>giraldo</v>
      </c>
    </row>
    <row r="205" spans="1:42" ht="25.5" customHeight="1" x14ac:dyDescent="0.25">
      <c r="A205" s="33" t="s">
        <v>1165</v>
      </c>
      <c r="B205" s="11" t="s">
        <v>35</v>
      </c>
      <c r="C205" s="34" t="s">
        <v>112</v>
      </c>
      <c r="D205" s="69"/>
      <c r="E205" s="11" t="s">
        <v>1166</v>
      </c>
      <c r="F205" s="25" t="str">
        <f>IFERROR(IF($AO205,INDEX(cpe!$C$2:$C$307,MATCH($AP205,cpe!$F$2:$F$307,0)),INDEX(cpe!$C$2:$C$307,MATCH($AP205,cpe!$D$2:$D$307,0))),"#N/D")</f>
        <v>Centro Educativo de Rio Ancho</v>
      </c>
      <c r="G205" s="25" t="str">
        <f>IFERROR(IF($AO205,INDEX(cpe!$B$2:$B$307,MATCH($AP205,cpe!$F$2:$F$307,0)),INDEX(cpe!$B$2:$B$307,MATCH($AP205,cpe!$D$2:$D$307,0))),"#N/D")</f>
        <v>Girardot</v>
      </c>
      <c r="H205" s="26" t="str">
        <f>IF($AO205,"#N/D",IFERROR(INDEX(Olimpiadas!$B$2:$B$61,MATCH($AM205,Olimpiadas!$C$2:$C$61,0)),"#N/D"))</f>
        <v>#N/D</v>
      </c>
      <c r="I205" s="26" t="str">
        <f>IF($AO205,"#N/D",IFERROR(INDEX(Olimpiadas!$A$2:$A$61,MATCH($AM205,Olimpiadas!$C$2:$C$61,0)),"#N/D"))</f>
        <v>#N/D</v>
      </c>
      <c r="J205" s="26" t="str">
        <f>IF($AO205,"#N/D",IFERROR(INDEX(Minculturas!$A$2:$A$48,MATCH($AM205,Minculturas!$C$2:$C$48,0)),"#N/D"))</f>
        <v>#N/D</v>
      </c>
      <c r="K205" s="26" t="str">
        <f>IF($AO205,"#N/D",IFERROR(INDEX(Minculturas!$B$2:$B$48,MATCH($AM205,Minculturas!$C$2:$C$48,0)),"#N/D"))</f>
        <v>#N/D</v>
      </c>
      <c r="L205" s="27">
        <v>2</v>
      </c>
      <c r="M205" s="28">
        <v>0</v>
      </c>
      <c r="N205" s="28">
        <v>0</v>
      </c>
      <c r="O205" s="28">
        <v>1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1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7">
        <f>SUM(Tabla43[[#This Row],[Edificación colapsada]:[Robo]])</f>
        <v>2</v>
      </c>
      <c r="AF205" s="28"/>
      <c r="AG205" s="28"/>
      <c r="AH205" s="28">
        <v>13.4</v>
      </c>
      <c r="AI205" s="28"/>
      <c r="AJ205" s="28"/>
      <c r="AK205" s="29" t="s">
        <v>114</v>
      </c>
      <c r="AM205" t="str">
        <f t="shared" si="12"/>
        <v>girardot</v>
      </c>
      <c r="AN205" t="str">
        <f t="shared" si="13"/>
        <v>cundinamarca</v>
      </c>
      <c r="AO205" t="b">
        <f t="shared" si="14"/>
        <v>0</v>
      </c>
      <c r="AP205" t="str">
        <f t="shared" si="15"/>
        <v>girardot</v>
      </c>
    </row>
    <row r="206" spans="1:42" ht="25.5" customHeight="1" x14ac:dyDescent="0.25">
      <c r="A206" s="33" t="s">
        <v>921</v>
      </c>
      <c r="B206" s="11" t="s">
        <v>10</v>
      </c>
      <c r="C206" s="34" t="s">
        <v>112</v>
      </c>
      <c r="D206" s="69"/>
      <c r="E206" s="11" t="s">
        <v>922</v>
      </c>
      <c r="F206" s="25" t="str">
        <f>IFERROR(IF($AO206,INDEX(cpe!$C$2:$C$307,MATCH($AP206,cpe!$F$2:$F$307,0)),INDEX(cpe!$C$2:$C$307,MATCH($AP206,cpe!$D$2:$D$307,0))),"#N/D")</f>
        <v>#N/D</v>
      </c>
      <c r="G206" s="25" t="str">
        <f>IFERROR(IF($AO206,INDEX(cpe!$B$2:$B$307,MATCH($AP206,cpe!$F$2:$F$307,0)),INDEX(cpe!$B$2:$B$307,MATCH($AP206,cpe!$D$2:$D$307,0))),"#N/D")</f>
        <v>#N/D</v>
      </c>
      <c r="H206" s="26" t="str">
        <f>IF($AO206,"#N/D",IFERROR(INDEX(Olimpiadas!$B$2:$B$61,MATCH($AM206,Olimpiadas!$C$2:$C$61,0)),"#N/D"))</f>
        <v>#N/D</v>
      </c>
      <c r="I206" s="26" t="str">
        <f>IF($AO206,"#N/D",IFERROR(INDEX(Olimpiadas!$A$2:$A$61,MATCH($AM206,Olimpiadas!$C$2:$C$61,0)),"#N/D"))</f>
        <v>#N/D</v>
      </c>
      <c r="J206" s="26" t="str">
        <f>IF($AO206,"#N/D",IFERROR(INDEX(Minculturas!$A$2:$A$48,MATCH($AM206,Minculturas!$C$2:$C$48,0)),"#N/D"))</f>
        <v>#N/D</v>
      </c>
      <c r="K206" s="26" t="str">
        <f>IF($AO206,"#N/D",IFERROR(INDEX(Minculturas!$B$2:$B$48,MATCH($AM206,Minculturas!$C$2:$C$48,0)),"#N/D"))</f>
        <v>#N/D</v>
      </c>
      <c r="L206" s="27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7">
        <f>SUM(Tabla43[[#This Row],[Edificación colapsada]:[Robo]])</f>
        <v>0</v>
      </c>
      <c r="AF206" s="28"/>
      <c r="AG206" s="28"/>
      <c r="AH206" s="28">
        <v>13.9</v>
      </c>
      <c r="AI206" s="28"/>
      <c r="AJ206" s="28"/>
      <c r="AK206" s="29" t="s">
        <v>365</v>
      </c>
      <c r="AM206" t="str">
        <f t="shared" si="12"/>
        <v>girardota</v>
      </c>
      <c r="AN206" t="str">
        <f t="shared" si="13"/>
        <v>antioquia</v>
      </c>
      <c r="AO206" t="b">
        <f t="shared" si="14"/>
        <v>0</v>
      </c>
      <c r="AP206" t="str">
        <f t="shared" si="15"/>
        <v>girardota</v>
      </c>
    </row>
    <row r="207" spans="1:42" ht="25.5" customHeight="1" x14ac:dyDescent="0.25">
      <c r="A207" s="33" t="s">
        <v>923</v>
      </c>
      <c r="B207" s="11" t="s">
        <v>10</v>
      </c>
      <c r="C207" s="34" t="s">
        <v>112</v>
      </c>
      <c r="D207" s="69"/>
      <c r="E207" s="11" t="s">
        <v>924</v>
      </c>
      <c r="F207" s="25" t="str">
        <f>IFERROR(IF($AO207,INDEX(cpe!$C$2:$C$307,MATCH($AP207,cpe!$F$2:$F$307,0)),INDEX(cpe!$C$2:$C$307,MATCH($AP207,cpe!$D$2:$D$307,0))),"#N/D")</f>
        <v>#N/D</v>
      </c>
      <c r="G207" s="25" t="str">
        <f>IFERROR(IF($AO207,INDEX(cpe!$B$2:$B$307,MATCH($AP207,cpe!$F$2:$F$307,0)),INDEX(cpe!$B$2:$B$307,MATCH($AP207,cpe!$D$2:$D$307,0))),"#N/D")</f>
        <v>#N/D</v>
      </c>
      <c r="H207" s="26" t="str">
        <f>IF($AO207,"#N/D",IFERROR(INDEX(Olimpiadas!$B$2:$B$61,MATCH($AM207,Olimpiadas!$C$2:$C$61,0)),"#N/D"))</f>
        <v>#N/D</v>
      </c>
      <c r="I207" s="26" t="str">
        <f>IF($AO207,"#N/D",IFERROR(INDEX(Olimpiadas!$A$2:$A$61,MATCH($AM207,Olimpiadas!$C$2:$C$61,0)),"#N/D"))</f>
        <v>#N/D</v>
      </c>
      <c r="J207" s="26" t="str">
        <f>IF($AO207,"#N/D",IFERROR(INDEX(Minculturas!$A$2:$A$48,MATCH($AM207,Minculturas!$C$2:$C$48,0)),"#N/D"))</f>
        <v>#N/D</v>
      </c>
      <c r="K207" s="26" t="str">
        <f>IF($AO207,"#N/D",IFERROR(INDEX(Minculturas!$B$2:$B$48,MATCH($AM207,Minculturas!$C$2:$C$48,0)),"#N/D"))</f>
        <v>#N/D</v>
      </c>
      <c r="L207" s="27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7">
        <f>SUM(Tabla43[[#This Row],[Edificación colapsada]:[Robo]])</f>
        <v>0</v>
      </c>
      <c r="AF207" s="28"/>
      <c r="AG207" s="28"/>
      <c r="AH207" s="28">
        <v>34.1</v>
      </c>
      <c r="AI207" s="28"/>
      <c r="AJ207" s="28"/>
      <c r="AK207" s="29" t="s">
        <v>246</v>
      </c>
      <c r="AM207" t="str">
        <f t="shared" si="12"/>
        <v>gomez plata</v>
      </c>
      <c r="AN207" t="str">
        <f t="shared" si="13"/>
        <v>antioquia</v>
      </c>
      <c r="AO207" t="b">
        <f t="shared" si="14"/>
        <v>0</v>
      </c>
      <c r="AP207" t="str">
        <f t="shared" si="15"/>
        <v>gomez plata</v>
      </c>
    </row>
    <row r="208" spans="1:42" ht="25.5" customHeight="1" x14ac:dyDescent="0.25">
      <c r="A208" s="33" t="s">
        <v>1187</v>
      </c>
      <c r="B208" s="11" t="s">
        <v>10</v>
      </c>
      <c r="C208" s="34" t="s">
        <v>112</v>
      </c>
      <c r="D208" s="69"/>
      <c r="E208" s="11" t="s">
        <v>428</v>
      </c>
      <c r="F208" s="25" t="str">
        <f>IFERROR(IF($AO208,INDEX(cpe!$C$2:$C$307,MATCH($AP208,cpe!$F$2:$F$307,0)),INDEX(cpe!$C$2:$C$307,MATCH($AP208,cpe!$D$2:$D$307,0))),"#N/D")</f>
        <v>#N/D</v>
      </c>
      <c r="G208" s="25" t="str">
        <f>IFERROR(IF($AO208,INDEX(cpe!$B$2:$B$307,MATCH($AP208,cpe!$F$2:$F$307,0)),INDEX(cpe!$B$2:$B$307,MATCH($AP208,cpe!$D$2:$D$307,0))),"#N/D")</f>
        <v>#N/D</v>
      </c>
      <c r="H208" s="26" t="str">
        <f>IF($AO208,"#N/D",IFERROR(INDEX(Olimpiadas!$B$2:$B$61,MATCH($AM208,Olimpiadas!$C$2:$C$61,0)),"#N/D"))</f>
        <v>#N/D</v>
      </c>
      <c r="I208" s="26" t="str">
        <f>IF($AO208,"#N/D",IFERROR(INDEX(Olimpiadas!$A$2:$A$61,MATCH($AM208,Olimpiadas!$C$2:$C$61,0)),"#N/D"))</f>
        <v>#N/D</v>
      </c>
      <c r="J208" s="26" t="str">
        <f>IF($AO208,"#N/D",IFERROR(INDEX(Minculturas!$A$2:$A$48,MATCH($AM208,Minculturas!$C$2:$C$48,0)),"#N/D"))</f>
        <v>#N/D</v>
      </c>
      <c r="K208" s="26" t="str">
        <f>IF($AO208,"#N/D",IFERROR(INDEX(Minculturas!$B$2:$B$48,MATCH($AM208,Minculturas!$C$2:$C$48,0)),"#N/D"))</f>
        <v>#N/D</v>
      </c>
      <c r="L208" s="27">
        <v>1</v>
      </c>
      <c r="M208" s="28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35">
        <v>1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5">
        <v>0</v>
      </c>
      <c r="AE208" s="36">
        <f>SUM(Tabla43[[#This Row],[Edificación colapsada]:[Robo]])</f>
        <v>1</v>
      </c>
      <c r="AF208" s="37"/>
      <c r="AG208" s="37"/>
      <c r="AH208" s="28">
        <v>29.6</v>
      </c>
      <c r="AI208" s="28"/>
      <c r="AJ208" s="28"/>
      <c r="AK208" s="29" t="s">
        <v>114</v>
      </c>
      <c r="AM208" t="str">
        <f t="shared" si="12"/>
        <v>granada</v>
      </c>
      <c r="AN208" t="str">
        <f t="shared" si="13"/>
        <v>antioquia</v>
      </c>
      <c r="AO208" t="b">
        <f t="shared" si="14"/>
        <v>1</v>
      </c>
      <c r="AP208" t="str">
        <f t="shared" si="15"/>
        <v>granada|antioquia</v>
      </c>
    </row>
    <row r="209" spans="1:42" ht="25.5" customHeight="1" x14ac:dyDescent="0.25">
      <c r="A209" s="33" t="s">
        <v>427</v>
      </c>
      <c r="B209" s="11" t="s">
        <v>40</v>
      </c>
      <c r="C209" s="34" t="s">
        <v>112</v>
      </c>
      <c r="D209" s="69"/>
      <c r="E209" s="11" t="s">
        <v>428</v>
      </c>
      <c r="F209" s="25" t="str">
        <f>IFERROR(IF($AO209,INDEX(cpe!$C$2:$C$307,MATCH($AP209,cpe!$F$2:$F$307,0)),INDEX(cpe!$C$2:$C$307,MATCH($AP209,cpe!$D$2:$D$307,0))),"#N/D")</f>
        <v>#N/D</v>
      </c>
      <c r="G209" s="25" t="str">
        <f>IFERROR(IF($AO209,INDEX(cpe!$B$2:$B$307,MATCH($AP209,cpe!$F$2:$F$307,0)),INDEX(cpe!$B$2:$B$307,MATCH($AP209,cpe!$D$2:$D$307,0))),"#N/D")</f>
        <v>#N/D</v>
      </c>
      <c r="H209" s="26" t="str">
        <f>IF($AO209,"#N/D",IFERROR(INDEX(Olimpiadas!$B$2:$B$61,MATCH($AM209,Olimpiadas!$C$2:$C$61,0)),"#N/D"))</f>
        <v>#N/D</v>
      </c>
      <c r="I209" s="26" t="str">
        <f>IF($AO209,"#N/D",IFERROR(INDEX(Olimpiadas!$A$2:$A$61,MATCH($AM209,Olimpiadas!$C$2:$C$61,0)),"#N/D"))</f>
        <v>#N/D</v>
      </c>
      <c r="J209" s="26" t="str">
        <f>IF($AO209,"#N/D",IFERROR(INDEX(Minculturas!$A$2:$A$48,MATCH($AM209,Minculturas!$C$2:$C$48,0)),"#N/D"))</f>
        <v>#N/D</v>
      </c>
      <c r="K209" s="26" t="str">
        <f>IF($AO209,"#N/D",IFERROR(INDEX(Minculturas!$B$2:$B$48,MATCH($AM209,Minculturas!$C$2:$C$48,0)),"#N/D"))</f>
        <v>#N/D</v>
      </c>
      <c r="L209" s="27">
        <v>1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1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7">
        <f>SUM(Tabla43[[#This Row],[Edificación colapsada]:[Robo]])</f>
        <v>1</v>
      </c>
      <c r="AF209" s="28"/>
      <c r="AG209" s="28"/>
      <c r="AH209" s="28">
        <v>33.4</v>
      </c>
      <c r="AI209" s="28"/>
      <c r="AJ209" s="28"/>
      <c r="AK209" s="29" t="s">
        <v>114</v>
      </c>
      <c r="AM209" t="str">
        <f t="shared" si="12"/>
        <v>granada</v>
      </c>
      <c r="AN209" t="str">
        <f t="shared" si="13"/>
        <v>meta</v>
      </c>
      <c r="AO209" t="b">
        <f t="shared" si="14"/>
        <v>1</v>
      </c>
      <c r="AP209" t="str">
        <f t="shared" si="15"/>
        <v>granada|meta</v>
      </c>
    </row>
    <row r="210" spans="1:42" ht="25.5" customHeight="1" x14ac:dyDescent="0.25">
      <c r="A210" s="33" t="s">
        <v>1054</v>
      </c>
      <c r="B210" s="11" t="s">
        <v>35</v>
      </c>
      <c r="C210" s="34" t="s">
        <v>112</v>
      </c>
      <c r="D210" s="69"/>
      <c r="E210" s="11" t="s">
        <v>428</v>
      </c>
      <c r="F210" s="25" t="str">
        <f>IFERROR(IF($AO210,INDEX(cpe!$C$2:$C$307,MATCH($AP210,cpe!$F$2:$F$307,0)),INDEX(cpe!$C$2:$C$307,MATCH($AP210,cpe!$D$2:$D$307,0))),"#N/D")</f>
        <v>#N/D</v>
      </c>
      <c r="G210" s="25" t="str">
        <f>IFERROR(IF($AO210,INDEX(cpe!$B$2:$B$307,MATCH($AP210,cpe!$F$2:$F$307,0)),INDEX(cpe!$B$2:$B$307,MATCH($AP210,cpe!$D$2:$D$307,0))),"#N/D")</f>
        <v>#N/D</v>
      </c>
      <c r="H210" s="26" t="str">
        <f>IF($AO210,"#N/D",IFERROR(INDEX(Olimpiadas!$B$2:$B$61,MATCH($AM210,Olimpiadas!$C$2:$C$61,0)),"#N/D"))</f>
        <v>#N/D</v>
      </c>
      <c r="I210" s="26" t="str">
        <f>IF($AO210,"#N/D",IFERROR(INDEX(Olimpiadas!$A$2:$A$61,MATCH($AM210,Olimpiadas!$C$2:$C$61,0)),"#N/D"))</f>
        <v>#N/D</v>
      </c>
      <c r="J210" s="26" t="str">
        <f>IF($AO210,"#N/D",IFERROR(INDEX(Minculturas!$A$2:$A$48,MATCH($AM210,Minculturas!$C$2:$C$48,0)),"#N/D"))</f>
        <v>#N/D</v>
      </c>
      <c r="K210" s="26" t="str">
        <f>IF($AO210,"#N/D",IFERROR(INDEX(Minculturas!$B$2:$B$48,MATCH($AM210,Minculturas!$C$2:$C$48,0)),"#N/D"))</f>
        <v>#N/D</v>
      </c>
      <c r="L210" s="27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7">
        <f>SUM(Tabla43[[#This Row],[Edificación colapsada]:[Robo]])</f>
        <v>0</v>
      </c>
      <c r="AF210" s="28"/>
      <c r="AG210" s="28"/>
      <c r="AH210" s="28">
        <v>19.899999999999999</v>
      </c>
      <c r="AI210" s="28"/>
      <c r="AJ210" s="28"/>
      <c r="AK210" s="29" t="s">
        <v>246</v>
      </c>
      <c r="AM210" t="str">
        <f t="shared" si="12"/>
        <v>granada</v>
      </c>
      <c r="AN210" t="str">
        <f t="shared" si="13"/>
        <v>cundinamarca</v>
      </c>
      <c r="AO210" t="b">
        <f t="shared" si="14"/>
        <v>1</v>
      </c>
      <c r="AP210" t="str">
        <f t="shared" si="15"/>
        <v>granada|cundinamarca</v>
      </c>
    </row>
    <row r="211" spans="1:42" ht="25.5" customHeight="1" x14ac:dyDescent="0.25">
      <c r="A211" s="33" t="s">
        <v>1152</v>
      </c>
      <c r="B211" s="11" t="s">
        <v>28</v>
      </c>
      <c r="C211" s="34" t="s">
        <v>112</v>
      </c>
      <c r="D211" s="69"/>
      <c r="E211" s="11" t="s">
        <v>1153</v>
      </c>
      <c r="F211" s="25" t="str">
        <f>IFERROR(IF($AO211,INDEX(cpe!$C$2:$C$307,MATCH($AP211,cpe!$F$2:$F$307,0)),INDEX(cpe!$C$2:$C$307,MATCH($AP211,cpe!$D$2:$D$307,0))),"#N/D")</f>
        <v>#N/D</v>
      </c>
      <c r="G211" s="25" t="str">
        <f>IFERROR(IF($AO211,INDEX(cpe!$B$2:$B$307,MATCH($AP211,cpe!$F$2:$F$307,0)),INDEX(cpe!$B$2:$B$307,MATCH($AP211,cpe!$D$2:$D$307,0))),"#N/D")</f>
        <v>#N/D</v>
      </c>
      <c r="H211" s="26" t="str">
        <f>IF($AO211,"#N/D",IFERROR(INDEX(Olimpiadas!$B$2:$B$61,MATCH($AM211,Olimpiadas!$C$2:$C$61,0)),"#N/D"))</f>
        <v>#N/D</v>
      </c>
      <c r="I211" s="26" t="str">
        <f>IF($AO211,"#N/D",IFERROR(INDEX(Olimpiadas!$A$2:$A$61,MATCH($AM211,Olimpiadas!$C$2:$C$61,0)),"#N/D"))</f>
        <v>#N/D</v>
      </c>
      <c r="J211" s="26" t="str">
        <f>IF($AO211,"#N/D",IFERROR(INDEX(Minculturas!$A$2:$A$48,MATCH($AM211,Minculturas!$C$2:$C$48,0)),"#N/D"))</f>
        <v>#N/D</v>
      </c>
      <c r="K211" s="26" t="str">
        <f>IF($AO211,"#N/D",IFERROR(INDEX(Minculturas!$B$2:$B$48,MATCH($AM211,Minculturas!$C$2:$C$48,0)),"#N/D"))</f>
        <v>#N/D</v>
      </c>
      <c r="L211" s="27">
        <v>2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1</v>
      </c>
      <c r="X211" s="28">
        <v>0</v>
      </c>
      <c r="Y211" s="28">
        <v>0</v>
      </c>
      <c r="Z211" s="28">
        <v>1</v>
      </c>
      <c r="AA211" s="28">
        <v>0</v>
      </c>
      <c r="AB211" s="28">
        <v>0</v>
      </c>
      <c r="AC211" s="28">
        <v>0</v>
      </c>
      <c r="AD211" s="28">
        <v>0</v>
      </c>
      <c r="AE211" s="27">
        <f>SUM(Tabla43[[#This Row],[Edificación colapsada]:[Robo]])</f>
        <v>2</v>
      </c>
      <c r="AF211" s="28"/>
      <c r="AG211" s="28"/>
      <c r="AH211" s="28">
        <v>20.2</v>
      </c>
      <c r="AI211" s="28"/>
      <c r="AJ211" s="28"/>
      <c r="AK211" s="29" t="s">
        <v>114</v>
      </c>
      <c r="AM211" t="str">
        <f t="shared" si="12"/>
        <v>guachene</v>
      </c>
      <c r="AN211" t="str">
        <f t="shared" si="13"/>
        <v>cauca</v>
      </c>
      <c r="AO211" t="b">
        <f t="shared" si="14"/>
        <v>0</v>
      </c>
      <c r="AP211" t="str">
        <f t="shared" si="15"/>
        <v>guachene</v>
      </c>
    </row>
    <row r="212" spans="1:42" ht="25.5" customHeight="1" x14ac:dyDescent="0.25">
      <c r="A212" s="33" t="s">
        <v>799</v>
      </c>
      <c r="B212" s="11" t="s">
        <v>35</v>
      </c>
      <c r="C212" s="34" t="s">
        <v>112</v>
      </c>
      <c r="D212" s="69"/>
      <c r="E212" s="11" t="s">
        <v>800</v>
      </c>
      <c r="F212" s="25" t="str">
        <f>IFERROR(IF($AO212,INDEX(cpe!$C$2:$C$307,MATCH($AP212,cpe!$F$2:$F$307,0)),INDEX(cpe!$C$2:$C$307,MATCH($AP212,cpe!$D$2:$D$307,0))),"#N/D")</f>
        <v>#N/D</v>
      </c>
      <c r="G212" s="25" t="str">
        <f>IFERROR(IF($AO212,INDEX(cpe!$B$2:$B$307,MATCH($AP212,cpe!$F$2:$F$307,0)),INDEX(cpe!$B$2:$B$307,MATCH($AP212,cpe!$D$2:$D$307,0))),"#N/D")</f>
        <v>#N/D</v>
      </c>
      <c r="H212" s="26" t="str">
        <f>IF($AO212,"#N/D",IFERROR(INDEX(Olimpiadas!$B$2:$B$61,MATCH($AM212,Olimpiadas!$C$2:$C$61,0)),"#N/D"))</f>
        <v>#N/D</v>
      </c>
      <c r="I212" s="26" t="str">
        <f>IF($AO212,"#N/D",IFERROR(INDEX(Olimpiadas!$A$2:$A$61,MATCH($AM212,Olimpiadas!$C$2:$C$61,0)),"#N/D"))</f>
        <v>#N/D</v>
      </c>
      <c r="J212" s="26" t="str">
        <f>IF($AO212,"#N/D",IFERROR(INDEX(Minculturas!$A$2:$A$48,MATCH($AM212,Minculturas!$C$2:$C$48,0)),"#N/D"))</f>
        <v>#N/D</v>
      </c>
      <c r="K212" s="26" t="str">
        <f>IF($AO212,"#N/D",IFERROR(INDEX(Minculturas!$B$2:$B$48,MATCH($AM212,Minculturas!$C$2:$C$48,0)),"#N/D"))</f>
        <v>#N/D</v>
      </c>
      <c r="L212" s="27">
        <v>1</v>
      </c>
      <c r="M212" s="28">
        <v>0</v>
      </c>
      <c r="N212" s="28">
        <v>0</v>
      </c>
      <c r="O212" s="28">
        <v>0</v>
      </c>
      <c r="P212" s="28">
        <v>1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7">
        <f>SUM(Tabla43[[#This Row],[Edificación colapsada]:[Robo]])</f>
        <v>1</v>
      </c>
      <c r="AF212" s="28"/>
      <c r="AG212" s="28"/>
      <c r="AH212" s="28">
        <v>25.7</v>
      </c>
      <c r="AI212" s="28"/>
      <c r="AJ212" s="28"/>
      <c r="AK212" s="29" t="s">
        <v>114</v>
      </c>
      <c r="AM212" t="str">
        <f t="shared" si="12"/>
        <v>guacheta</v>
      </c>
      <c r="AN212" t="str">
        <f t="shared" si="13"/>
        <v>cundinamarca</v>
      </c>
      <c r="AO212" t="b">
        <f t="shared" si="14"/>
        <v>0</v>
      </c>
      <c r="AP212" t="str">
        <f t="shared" si="15"/>
        <v>guacheta</v>
      </c>
    </row>
    <row r="213" spans="1:42" ht="25.5" customHeight="1" x14ac:dyDescent="0.25">
      <c r="A213" s="33" t="s">
        <v>1055</v>
      </c>
      <c r="B213" s="11" t="s">
        <v>35</v>
      </c>
      <c r="C213" s="34" t="s">
        <v>112</v>
      </c>
      <c r="D213" s="69"/>
      <c r="E213" s="11" t="s">
        <v>1056</v>
      </c>
      <c r="F213" s="25" t="str">
        <f>IFERROR(IF($AO213,INDEX(cpe!$C$2:$C$307,MATCH($AP213,cpe!$F$2:$F$307,0)),INDEX(cpe!$C$2:$C$307,MATCH($AP213,cpe!$D$2:$D$307,0))),"#N/D")</f>
        <v>#N/D</v>
      </c>
      <c r="G213" s="25" t="str">
        <f>IFERROR(IF($AO213,INDEX(cpe!$B$2:$B$307,MATCH($AP213,cpe!$F$2:$F$307,0)),INDEX(cpe!$B$2:$B$307,MATCH($AP213,cpe!$D$2:$D$307,0))),"#N/D")</f>
        <v>#N/D</v>
      </c>
      <c r="H213" s="26" t="str">
        <f>IF($AO213,"#N/D",IFERROR(INDEX(Olimpiadas!$B$2:$B$61,MATCH($AM213,Olimpiadas!$C$2:$C$61,0)),"#N/D"))</f>
        <v>#N/D</v>
      </c>
      <c r="I213" s="26" t="str">
        <f>IF($AO213,"#N/D",IFERROR(INDEX(Olimpiadas!$A$2:$A$61,MATCH($AM213,Olimpiadas!$C$2:$C$61,0)),"#N/D"))</f>
        <v>#N/D</v>
      </c>
      <c r="J213" s="26" t="str">
        <f>IF($AO213,"#N/D",IFERROR(INDEX(Minculturas!$A$2:$A$48,MATCH($AM213,Minculturas!$C$2:$C$48,0)),"#N/D"))</f>
        <v>#N/D</v>
      </c>
      <c r="K213" s="26" t="str">
        <f>IF($AO213,"#N/D",IFERROR(INDEX(Minculturas!$B$2:$B$48,MATCH($AM213,Minculturas!$C$2:$C$48,0)),"#N/D"))</f>
        <v>#N/D</v>
      </c>
      <c r="L213" s="27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7">
        <f>SUM(Tabla43[[#This Row],[Edificación colapsada]:[Robo]])</f>
        <v>0</v>
      </c>
      <c r="AF213" s="28"/>
      <c r="AG213" s="28"/>
      <c r="AH213" s="28">
        <v>27.2</v>
      </c>
      <c r="AI213" s="28"/>
      <c r="AJ213" s="28"/>
      <c r="AK213" s="29" t="s">
        <v>246</v>
      </c>
      <c r="AM213" t="str">
        <f t="shared" si="12"/>
        <v>guaduas</v>
      </c>
      <c r="AN213" t="str">
        <f t="shared" si="13"/>
        <v>cundinamarca</v>
      </c>
      <c r="AO213" t="b">
        <f t="shared" si="14"/>
        <v>0</v>
      </c>
      <c r="AP213" t="str">
        <f t="shared" si="15"/>
        <v>guaduas</v>
      </c>
    </row>
    <row r="214" spans="1:42" ht="25.5" customHeight="1" x14ac:dyDescent="0.25">
      <c r="A214" s="33" t="s">
        <v>129</v>
      </c>
      <c r="B214" s="11" t="s">
        <v>28</v>
      </c>
      <c r="C214" s="34" t="s">
        <v>112</v>
      </c>
      <c r="D214" s="69"/>
      <c r="E214" s="11" t="s">
        <v>130</v>
      </c>
      <c r="F214" s="25" t="str">
        <f>IFERROR(IF($AO214,INDEX(cpe!$C$2:$C$307,MATCH($AP214,cpe!$F$2:$F$307,0)),INDEX(cpe!$C$2:$C$307,MATCH($AP214,cpe!$D$2:$D$307,0))),"#N/D")</f>
        <v>#N/D</v>
      </c>
      <c r="G214" s="25" t="str">
        <f>IFERROR(IF($AO214,INDEX(cpe!$B$2:$B$307,MATCH($AP214,cpe!$F$2:$F$307,0)),INDEX(cpe!$B$2:$B$307,MATCH($AP214,cpe!$D$2:$D$307,0))),"#N/D")</f>
        <v>#N/D</v>
      </c>
      <c r="H214" s="26" t="str">
        <f>IF($AO214,"#N/D",IFERROR(INDEX(Olimpiadas!$B$2:$B$61,MATCH($AM214,Olimpiadas!$C$2:$C$61,0)),"#N/D"))</f>
        <v>#N/D</v>
      </c>
      <c r="I214" s="26" t="str">
        <f>IF($AO214,"#N/D",IFERROR(INDEX(Olimpiadas!$A$2:$A$61,MATCH($AM214,Olimpiadas!$C$2:$C$61,0)),"#N/D"))</f>
        <v>#N/D</v>
      </c>
      <c r="J214" s="26" t="str">
        <f>IF($AO214,"#N/D",IFERROR(INDEX(Minculturas!$A$2:$A$48,MATCH($AM214,Minculturas!$C$2:$C$48,0)),"#N/D"))</f>
        <v>#N/D</v>
      </c>
      <c r="K214" s="26" t="str">
        <f>IF($AO214,"#N/D",IFERROR(INDEX(Minculturas!$B$2:$B$48,MATCH($AM214,Minculturas!$C$2:$C$48,0)),"#N/D"))</f>
        <v>#N/D</v>
      </c>
      <c r="L214" s="27">
        <v>6</v>
      </c>
      <c r="M214" s="28">
        <v>0</v>
      </c>
      <c r="N214" s="28">
        <v>0</v>
      </c>
      <c r="O214" s="28">
        <v>1</v>
      </c>
      <c r="P214" s="28">
        <v>0</v>
      </c>
      <c r="Q214" s="28">
        <v>5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7">
        <f>SUM(Tabla43[[#This Row],[Edificación colapsada]:[Robo]])</f>
        <v>6</v>
      </c>
      <c r="AF214" s="28"/>
      <c r="AG214" s="28"/>
      <c r="AH214" s="28">
        <v>68.900000000000006</v>
      </c>
      <c r="AI214" s="28"/>
      <c r="AJ214" s="28"/>
      <c r="AK214" s="29" t="s">
        <v>114</v>
      </c>
      <c r="AM214" t="str">
        <f t="shared" si="12"/>
        <v>guapi</v>
      </c>
      <c r="AN214" t="str">
        <f t="shared" si="13"/>
        <v>cauca</v>
      </c>
      <c r="AO214" t="b">
        <f t="shared" si="14"/>
        <v>0</v>
      </c>
      <c r="AP214" t="str">
        <f t="shared" si="15"/>
        <v>guapi</v>
      </c>
    </row>
    <row r="215" spans="1:42" ht="25.5" customHeight="1" x14ac:dyDescent="0.25">
      <c r="A215" s="33" t="s">
        <v>634</v>
      </c>
      <c r="B215" s="11" t="s">
        <v>10</v>
      </c>
      <c r="C215" s="34" t="s">
        <v>112</v>
      </c>
      <c r="D215" s="69"/>
      <c r="E215" s="11" t="s">
        <v>635</v>
      </c>
      <c r="F215" s="25" t="str">
        <f>IFERROR(IF($AO215,INDEX(cpe!$C$2:$C$307,MATCH($AP215,cpe!$F$2:$F$307,0)),INDEX(cpe!$C$2:$C$307,MATCH($AP215,cpe!$D$2:$D$307,0))),"#N/D")</f>
        <v>#N/D</v>
      </c>
      <c r="G215" s="25" t="str">
        <f>IFERROR(IF($AO215,INDEX(cpe!$B$2:$B$307,MATCH($AP215,cpe!$F$2:$F$307,0)),INDEX(cpe!$B$2:$B$307,MATCH($AP215,cpe!$D$2:$D$307,0))),"#N/D")</f>
        <v>#N/D</v>
      </c>
      <c r="H215" s="26" t="str">
        <f>IF($AO215,"#N/D",IFERROR(INDEX(Olimpiadas!$B$2:$B$61,MATCH($AM215,Olimpiadas!$C$2:$C$61,0)),"#N/D"))</f>
        <v>#N/D</v>
      </c>
      <c r="I215" s="26" t="str">
        <f>IF($AO215,"#N/D",IFERROR(INDEX(Olimpiadas!$A$2:$A$61,MATCH($AM215,Olimpiadas!$C$2:$C$61,0)),"#N/D"))</f>
        <v>#N/D</v>
      </c>
      <c r="J215" s="26" t="str">
        <f>IF($AO215,"#N/D",IFERROR(INDEX(Minculturas!$A$2:$A$48,MATCH($AM215,Minculturas!$C$2:$C$48,0)),"#N/D"))</f>
        <v>#N/D</v>
      </c>
      <c r="K215" s="26" t="str">
        <f>IF($AO215,"#N/D",IFERROR(INDEX(Minculturas!$B$2:$B$48,MATCH($AM215,Minculturas!$C$2:$C$48,0)),"#N/D"))</f>
        <v>#N/D</v>
      </c>
      <c r="L215" s="27">
        <v>1</v>
      </c>
      <c r="M215" s="28">
        <v>0</v>
      </c>
      <c r="N215" s="28">
        <v>0</v>
      </c>
      <c r="O215" s="28">
        <v>0</v>
      </c>
      <c r="P215" s="28">
        <v>0</v>
      </c>
      <c r="Q215" s="28">
        <v>1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7">
        <f>SUM(Tabla43[[#This Row],[Edificación colapsada]:[Robo]])</f>
        <v>1</v>
      </c>
      <c r="AF215" s="28"/>
      <c r="AG215" s="28"/>
      <c r="AH215" s="28">
        <v>17</v>
      </c>
      <c r="AI215" s="28"/>
      <c r="AJ215" s="28"/>
      <c r="AK215" s="29" t="s">
        <v>114</v>
      </c>
      <c r="AM215" t="str">
        <f t="shared" si="12"/>
        <v>guarne</v>
      </c>
      <c r="AN215" t="str">
        <f t="shared" si="13"/>
        <v>antioquia</v>
      </c>
      <c r="AO215" t="b">
        <f t="shared" si="14"/>
        <v>0</v>
      </c>
      <c r="AP215" t="str">
        <f t="shared" si="15"/>
        <v>guarne</v>
      </c>
    </row>
    <row r="216" spans="1:42" ht="25.5" customHeight="1" x14ac:dyDescent="0.25">
      <c r="A216" s="33" t="s">
        <v>801</v>
      </c>
      <c r="B216" s="11" t="s">
        <v>35</v>
      </c>
      <c r="C216" s="34" t="s">
        <v>112</v>
      </c>
      <c r="D216" s="69"/>
      <c r="E216" s="11" t="s">
        <v>802</v>
      </c>
      <c r="F216" s="25" t="str">
        <f>IFERROR(IF($AO216,INDEX(cpe!$C$2:$C$307,MATCH($AP216,cpe!$F$2:$F$307,0)),INDEX(cpe!$C$2:$C$307,MATCH($AP216,cpe!$D$2:$D$307,0))),"#N/D")</f>
        <v>#N/D</v>
      </c>
      <c r="G216" s="25" t="str">
        <f>IFERROR(IF($AO216,INDEX(cpe!$B$2:$B$307,MATCH($AP216,cpe!$F$2:$F$307,0)),INDEX(cpe!$B$2:$B$307,MATCH($AP216,cpe!$D$2:$D$307,0))),"#N/D")</f>
        <v>#N/D</v>
      </c>
      <c r="H216" s="26" t="str">
        <f>IF($AO216,"#N/D",IFERROR(INDEX(Olimpiadas!$B$2:$B$61,MATCH($AM216,Olimpiadas!$C$2:$C$61,0)),"#N/D"))</f>
        <v>#N/D</v>
      </c>
      <c r="I216" s="26" t="str">
        <f>IF($AO216,"#N/D",IFERROR(INDEX(Olimpiadas!$A$2:$A$61,MATCH($AM216,Olimpiadas!$C$2:$C$61,0)),"#N/D"))</f>
        <v>#N/D</v>
      </c>
      <c r="J216" s="26" t="str">
        <f>IF($AO216,"#N/D",IFERROR(INDEX(Minculturas!$A$2:$A$48,MATCH($AM216,Minculturas!$C$2:$C$48,0)),"#N/D"))</f>
        <v>#N/D</v>
      </c>
      <c r="K216" s="26" t="str">
        <f>IF($AO216,"#N/D",IFERROR(INDEX(Minculturas!$B$2:$B$48,MATCH($AM216,Minculturas!$C$2:$C$48,0)),"#N/D"))</f>
        <v>#N/D</v>
      </c>
      <c r="L216" s="27">
        <v>1</v>
      </c>
      <c r="M216" s="28">
        <v>0</v>
      </c>
      <c r="N216" s="28">
        <v>0</v>
      </c>
      <c r="O216" s="28">
        <v>0</v>
      </c>
      <c r="P216" s="28">
        <v>1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7">
        <f>SUM(Tabla43[[#This Row],[Edificación colapsada]:[Robo]])</f>
        <v>1</v>
      </c>
      <c r="AF216" s="28"/>
      <c r="AG216" s="28"/>
      <c r="AH216" s="28">
        <v>32.9</v>
      </c>
      <c r="AI216" s="28"/>
      <c r="AJ216" s="28"/>
      <c r="AK216" s="29" t="s">
        <v>114</v>
      </c>
      <c r="AM216" t="str">
        <f t="shared" si="12"/>
        <v>guataqui</v>
      </c>
      <c r="AN216" t="str">
        <f t="shared" si="13"/>
        <v>cundinamarca</v>
      </c>
      <c r="AO216" t="b">
        <f t="shared" si="14"/>
        <v>0</v>
      </c>
      <c r="AP216" t="str">
        <f t="shared" si="15"/>
        <v>guataqui</v>
      </c>
    </row>
    <row r="217" spans="1:42" ht="25.5" customHeight="1" x14ac:dyDescent="0.25">
      <c r="A217" s="33" t="s">
        <v>1057</v>
      </c>
      <c r="B217" s="11" t="s">
        <v>35</v>
      </c>
      <c r="C217" s="34" t="s">
        <v>112</v>
      </c>
      <c r="D217" s="69"/>
      <c r="E217" s="11" t="s">
        <v>1058</v>
      </c>
      <c r="F217" s="25" t="str">
        <f>IFERROR(IF($AO217,INDEX(cpe!$C$2:$C$307,MATCH($AP217,cpe!$F$2:$F$307,0)),INDEX(cpe!$C$2:$C$307,MATCH($AP217,cpe!$D$2:$D$307,0))),"#N/D")</f>
        <v>#N/D</v>
      </c>
      <c r="G217" s="25" t="str">
        <f>IFERROR(IF($AO217,INDEX(cpe!$B$2:$B$307,MATCH($AP217,cpe!$F$2:$F$307,0)),INDEX(cpe!$B$2:$B$307,MATCH($AP217,cpe!$D$2:$D$307,0))),"#N/D")</f>
        <v>#N/D</v>
      </c>
      <c r="H217" s="26" t="str">
        <f>IF($AO217,"#N/D",IFERROR(INDEX(Olimpiadas!$B$2:$B$61,MATCH($AM217,Olimpiadas!$C$2:$C$61,0)),"#N/D"))</f>
        <v>#N/D</v>
      </c>
      <c r="I217" s="26" t="str">
        <f>IF($AO217,"#N/D",IFERROR(INDEX(Olimpiadas!$A$2:$A$61,MATCH($AM217,Olimpiadas!$C$2:$C$61,0)),"#N/D"))</f>
        <v>#N/D</v>
      </c>
      <c r="J217" s="26" t="str">
        <f>IF($AO217,"#N/D",IFERROR(INDEX(Minculturas!$A$2:$A$48,MATCH($AM217,Minculturas!$C$2:$C$48,0)),"#N/D"))</f>
        <v>#N/D</v>
      </c>
      <c r="K217" s="26" t="str">
        <f>IF($AO217,"#N/D",IFERROR(INDEX(Minculturas!$B$2:$B$48,MATCH($AM217,Minculturas!$C$2:$C$48,0)),"#N/D"))</f>
        <v>#N/D</v>
      </c>
      <c r="L217" s="27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7">
        <f>SUM(Tabla43[[#This Row],[Edificación colapsada]:[Robo]])</f>
        <v>0</v>
      </c>
      <c r="AF217" s="28"/>
      <c r="AG217" s="28"/>
      <c r="AH217" s="28">
        <v>33.1</v>
      </c>
      <c r="AI217" s="28"/>
      <c r="AJ217" s="28"/>
      <c r="AK217" s="29" t="s">
        <v>246</v>
      </c>
      <c r="AM217" t="str">
        <f t="shared" si="12"/>
        <v>guatavita</v>
      </c>
      <c r="AN217" t="str">
        <f t="shared" si="13"/>
        <v>cundinamarca</v>
      </c>
      <c r="AO217" t="b">
        <f t="shared" si="14"/>
        <v>0</v>
      </c>
      <c r="AP217" t="str">
        <f t="shared" si="15"/>
        <v>guatavita</v>
      </c>
    </row>
    <row r="218" spans="1:42" ht="25.5" customHeight="1" x14ac:dyDescent="0.25">
      <c r="A218" s="33" t="s">
        <v>531</v>
      </c>
      <c r="B218" s="11" t="s">
        <v>45</v>
      </c>
      <c r="C218" s="34" t="s">
        <v>112</v>
      </c>
      <c r="D218" s="69"/>
      <c r="E218" s="11" t="s">
        <v>532</v>
      </c>
      <c r="F218" s="25" t="str">
        <f>IFERROR(IF($AO218,INDEX(cpe!$C$2:$C$307,MATCH($AP218,cpe!$F$2:$F$307,0)),INDEX(cpe!$C$2:$C$307,MATCH($AP218,cpe!$D$2:$D$307,0))),"#N/D")</f>
        <v>#N/D</v>
      </c>
      <c r="G218" s="25" t="str">
        <f>IFERROR(IF($AO218,INDEX(cpe!$B$2:$B$307,MATCH($AP218,cpe!$F$2:$F$307,0)),INDEX(cpe!$B$2:$B$307,MATCH($AP218,cpe!$D$2:$D$307,0))),"#N/D")</f>
        <v>#N/D</v>
      </c>
      <c r="H218" s="26" t="str">
        <f>IF($AO218,"#N/D",IFERROR(INDEX(Olimpiadas!$B$2:$B$61,MATCH($AM218,Olimpiadas!$C$2:$C$61,0)),"#N/D"))</f>
        <v>#N/D</v>
      </c>
      <c r="I218" s="26" t="str">
        <f>IF($AO218,"#N/D",IFERROR(INDEX(Olimpiadas!$A$2:$A$61,MATCH($AM218,Olimpiadas!$C$2:$C$61,0)),"#N/D"))</f>
        <v>#N/D</v>
      </c>
      <c r="J218" s="26" t="str">
        <f>IF($AO218,"#N/D",IFERROR(INDEX(Minculturas!$A$2:$A$48,MATCH($AM218,Minculturas!$C$2:$C$48,0)),"#N/D"))</f>
        <v>#N/D</v>
      </c>
      <c r="K218" s="26" t="str">
        <f>IF($AO218,"#N/D",IFERROR(INDEX(Minculturas!$B$2:$B$48,MATCH($AM218,Minculturas!$C$2:$C$48,0)),"#N/D"))</f>
        <v>#N/D</v>
      </c>
      <c r="L218" s="27">
        <v>3</v>
      </c>
      <c r="M218" s="28">
        <v>0</v>
      </c>
      <c r="N218" s="28">
        <v>0</v>
      </c>
      <c r="O218" s="28">
        <v>0</v>
      </c>
      <c r="P218" s="28">
        <v>1</v>
      </c>
      <c r="Q218" s="28">
        <v>0</v>
      </c>
      <c r="R218" s="28">
        <v>1</v>
      </c>
      <c r="S218" s="28">
        <v>1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7">
        <f>SUM(Tabla43[[#This Row],[Edificación colapsada]:[Robo]])</f>
        <v>3</v>
      </c>
      <c r="AF218" s="28" t="s">
        <v>533</v>
      </c>
      <c r="AG218" s="28" t="s">
        <v>534</v>
      </c>
      <c r="AH218" s="28">
        <v>36.5</v>
      </c>
      <c r="AI218" s="28"/>
      <c r="AJ218" s="28"/>
      <c r="AK218" s="29" t="s">
        <v>246</v>
      </c>
      <c r="AM218" t="str">
        <f t="shared" si="12"/>
        <v>guatica</v>
      </c>
      <c r="AN218" t="str">
        <f t="shared" si="13"/>
        <v>risaralda</v>
      </c>
      <c r="AO218" t="b">
        <f t="shared" si="14"/>
        <v>0</v>
      </c>
      <c r="AP218" t="str">
        <f t="shared" si="15"/>
        <v>guatica</v>
      </c>
    </row>
    <row r="219" spans="1:42" ht="25.5" customHeight="1" x14ac:dyDescent="0.25">
      <c r="A219" s="33" t="s">
        <v>925</v>
      </c>
      <c r="B219" s="11" t="s">
        <v>10</v>
      </c>
      <c r="C219" s="34" t="s">
        <v>112</v>
      </c>
      <c r="D219" s="69"/>
      <c r="E219" s="11" t="s">
        <v>926</v>
      </c>
      <c r="F219" s="25" t="str">
        <f>IFERROR(IF($AO219,INDEX(cpe!$C$2:$C$307,MATCH($AP219,cpe!$F$2:$F$307,0)),INDEX(cpe!$C$2:$C$307,MATCH($AP219,cpe!$D$2:$D$307,0))),"#N/D")</f>
        <v>#N/D</v>
      </c>
      <c r="G219" s="25" t="str">
        <f>IFERROR(IF($AO219,INDEX(cpe!$B$2:$B$307,MATCH($AP219,cpe!$F$2:$F$307,0)),INDEX(cpe!$B$2:$B$307,MATCH($AP219,cpe!$D$2:$D$307,0))),"#N/D")</f>
        <v>#N/D</v>
      </c>
      <c r="H219" s="26" t="str">
        <f>IF($AO219,"#N/D",IFERROR(INDEX(Olimpiadas!$B$2:$B$61,MATCH($AM219,Olimpiadas!$C$2:$C$61,0)),"#N/D"))</f>
        <v>#N/D</v>
      </c>
      <c r="I219" s="26" t="str">
        <f>IF($AO219,"#N/D",IFERROR(INDEX(Olimpiadas!$A$2:$A$61,MATCH($AM219,Olimpiadas!$C$2:$C$61,0)),"#N/D"))</f>
        <v>#N/D</v>
      </c>
      <c r="J219" s="26" t="str">
        <f>IF($AO219,"#N/D",IFERROR(INDEX(Minculturas!$A$2:$A$48,MATCH($AM219,Minculturas!$C$2:$C$48,0)),"#N/D"))</f>
        <v>#N/D</v>
      </c>
      <c r="K219" s="26" t="str">
        <f>IF($AO219,"#N/D",IFERROR(INDEX(Minculturas!$B$2:$B$48,MATCH($AM219,Minculturas!$C$2:$C$48,0)),"#N/D"))</f>
        <v>#N/D</v>
      </c>
      <c r="L219" s="27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7">
        <f>SUM(Tabla43[[#This Row],[Edificación colapsada]:[Robo]])</f>
        <v>0</v>
      </c>
      <c r="AF219" s="28"/>
      <c r="AG219" s="28"/>
      <c r="AH219" s="28">
        <v>37.5</v>
      </c>
      <c r="AI219" s="28"/>
      <c r="AJ219" s="28"/>
      <c r="AK219" s="29" t="s">
        <v>657</v>
      </c>
      <c r="AM219" t="str">
        <f t="shared" si="12"/>
        <v>heliconia</v>
      </c>
      <c r="AN219" t="str">
        <f t="shared" si="13"/>
        <v>antioquia</v>
      </c>
      <c r="AO219" t="b">
        <f t="shared" si="14"/>
        <v>0</v>
      </c>
      <c r="AP219" t="str">
        <f t="shared" si="15"/>
        <v>heliconia</v>
      </c>
    </row>
    <row r="220" spans="1:42" ht="25.5" customHeight="1" x14ac:dyDescent="0.25">
      <c r="A220" s="33" t="s">
        <v>1103</v>
      </c>
      <c r="B220" s="11" t="s">
        <v>48</v>
      </c>
      <c r="C220" s="34" t="s">
        <v>112</v>
      </c>
      <c r="D220" s="69"/>
      <c r="E220" s="11" t="s">
        <v>1104</v>
      </c>
      <c r="F220" s="25" t="str">
        <f>IFERROR(IF($AO220,INDEX(cpe!$C$2:$C$307,MATCH($AP220,cpe!$F$2:$F$307,0)),INDEX(cpe!$C$2:$C$307,MATCH($AP220,cpe!$D$2:$D$307,0))),"#N/D")</f>
        <v>#N/D</v>
      </c>
      <c r="G220" s="25" t="str">
        <f>IFERROR(IF($AO220,INDEX(cpe!$B$2:$B$307,MATCH($AP220,cpe!$F$2:$F$307,0)),INDEX(cpe!$B$2:$B$307,MATCH($AP220,cpe!$D$2:$D$307,0))),"#N/D")</f>
        <v>#N/D</v>
      </c>
      <c r="H220" s="26" t="str">
        <f>IF($AO220,"#N/D",IFERROR(INDEX(Olimpiadas!$B$2:$B$61,MATCH($AM220,Olimpiadas!$C$2:$C$61,0)),"#N/D"))</f>
        <v>#N/D</v>
      </c>
      <c r="I220" s="26" t="str">
        <f>IF($AO220,"#N/D",IFERROR(INDEX(Olimpiadas!$A$2:$A$61,MATCH($AM220,Olimpiadas!$C$2:$C$61,0)),"#N/D"))</f>
        <v>#N/D</v>
      </c>
      <c r="J220" s="26" t="str">
        <f>IF($AO220,"#N/D",IFERROR(INDEX(Minculturas!$A$2:$A$48,MATCH($AM220,Minculturas!$C$2:$C$48,0)),"#N/D"))</f>
        <v>#N/D</v>
      </c>
      <c r="K220" s="26" t="str">
        <f>IF($AO220,"#N/D",IFERROR(INDEX(Minculturas!$B$2:$B$48,MATCH($AM220,Minculturas!$C$2:$C$48,0)),"#N/D"))</f>
        <v>#N/D</v>
      </c>
      <c r="L220" s="27">
        <v>5</v>
      </c>
      <c r="M220" s="28">
        <v>0</v>
      </c>
      <c r="N220" s="28">
        <v>0</v>
      </c>
      <c r="O220" s="28">
        <v>2</v>
      </c>
      <c r="P220" s="28">
        <v>0</v>
      </c>
      <c r="Q220" s="28">
        <v>0</v>
      </c>
      <c r="R220" s="28">
        <v>1</v>
      </c>
      <c r="S220" s="28">
        <v>0</v>
      </c>
      <c r="T220" s="28">
        <v>0</v>
      </c>
      <c r="U220" s="28">
        <v>1</v>
      </c>
      <c r="V220" s="28">
        <v>0</v>
      </c>
      <c r="W220" s="28">
        <v>1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7">
        <f>SUM(Tabla43[[#This Row],[Edificación colapsada]:[Robo]])</f>
        <v>5</v>
      </c>
      <c r="AF220" s="28"/>
      <c r="AG220" s="28"/>
      <c r="AH220" s="28">
        <v>54</v>
      </c>
      <c r="AI220" s="28"/>
      <c r="AJ220" s="28"/>
      <c r="AK220" s="29" t="s">
        <v>114</v>
      </c>
      <c r="AM220" t="str">
        <f t="shared" si="12"/>
        <v>herveo</v>
      </c>
      <c r="AN220" t="str">
        <f t="shared" si="13"/>
        <v>tolima</v>
      </c>
      <c r="AO220" t="b">
        <f t="shared" si="14"/>
        <v>0</v>
      </c>
      <c r="AP220" t="str">
        <f t="shared" si="15"/>
        <v>herveo</v>
      </c>
    </row>
    <row r="221" spans="1:42" ht="25.5" customHeight="1" x14ac:dyDescent="0.25">
      <c r="A221" s="33" t="s">
        <v>372</v>
      </c>
      <c r="B221" s="11" t="s">
        <v>10</v>
      </c>
      <c r="C221" s="34" t="s">
        <v>112</v>
      </c>
      <c r="D221" s="69"/>
      <c r="E221" s="11" t="s">
        <v>373</v>
      </c>
      <c r="F221" s="25" t="str">
        <f>IFERROR(IF($AO221,INDEX(cpe!$C$2:$C$307,MATCH($AP221,cpe!$F$2:$F$307,0)),INDEX(cpe!$C$2:$C$307,MATCH($AP221,cpe!$D$2:$D$307,0))),"#N/D")</f>
        <v>#N/D</v>
      </c>
      <c r="G221" s="25" t="str">
        <f>IFERROR(IF($AO221,INDEX(cpe!$B$2:$B$307,MATCH($AP221,cpe!$F$2:$F$307,0)),INDEX(cpe!$B$2:$B$307,MATCH($AP221,cpe!$D$2:$D$307,0))),"#N/D")</f>
        <v>#N/D</v>
      </c>
      <c r="H221" s="26" t="str">
        <f>IF($AO221,"#N/D",IFERROR(INDEX(Olimpiadas!$B$2:$B$61,MATCH($AM221,Olimpiadas!$C$2:$C$61,0)),"#N/D"))</f>
        <v>#N/D</v>
      </c>
      <c r="I221" s="26" t="str">
        <f>IF($AO221,"#N/D",IFERROR(INDEX(Olimpiadas!$A$2:$A$61,MATCH($AM221,Olimpiadas!$C$2:$C$61,0)),"#N/D"))</f>
        <v>#N/D</v>
      </c>
      <c r="J221" s="26" t="str">
        <f>IF($AO221,"#N/D",IFERROR(INDEX(Minculturas!$A$2:$A$48,MATCH($AM221,Minculturas!$C$2:$C$48,0)),"#N/D"))</f>
        <v>#N/D</v>
      </c>
      <c r="K221" s="26" t="str">
        <f>IF($AO221,"#N/D",IFERROR(INDEX(Minculturas!$B$2:$B$48,MATCH($AM221,Minculturas!$C$2:$C$48,0)),"#N/D"))</f>
        <v>#N/D</v>
      </c>
      <c r="L221" s="27">
        <v>4</v>
      </c>
      <c r="M221" s="28">
        <v>0</v>
      </c>
      <c r="N221" s="28">
        <v>2</v>
      </c>
      <c r="O221" s="28">
        <v>0</v>
      </c>
      <c r="P221" s="28">
        <v>0</v>
      </c>
      <c r="Q221" s="28">
        <v>1</v>
      </c>
      <c r="R221" s="28">
        <v>1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7">
        <f>SUM(Tabla43[[#This Row],[Edificación colapsada]:[Robo]])</f>
        <v>4</v>
      </c>
      <c r="AF221" s="28"/>
      <c r="AG221" s="28"/>
      <c r="AH221" s="28">
        <v>36.9</v>
      </c>
      <c r="AI221" s="28"/>
      <c r="AJ221" s="28"/>
      <c r="AK221" s="29" t="s">
        <v>114</v>
      </c>
      <c r="AM221" t="str">
        <f t="shared" si="12"/>
        <v>hispania</v>
      </c>
      <c r="AN221" t="str">
        <f t="shared" si="13"/>
        <v>antioquia</v>
      </c>
      <c r="AO221" t="b">
        <f t="shared" si="14"/>
        <v>0</v>
      </c>
      <c r="AP221" t="str">
        <f t="shared" si="15"/>
        <v>hispania</v>
      </c>
    </row>
    <row r="222" spans="1:42" ht="25.5" customHeight="1" x14ac:dyDescent="0.25">
      <c r="A222" s="33" t="s">
        <v>556</v>
      </c>
      <c r="B222" s="11" t="s">
        <v>37</v>
      </c>
      <c r="C222" s="34" t="s">
        <v>112</v>
      </c>
      <c r="D222" s="69"/>
      <c r="E222" s="11" t="s">
        <v>557</v>
      </c>
      <c r="F222" s="25" t="str">
        <f>IFERROR(IF($AO222,INDEX(cpe!$C$2:$C$307,MATCH($AP222,cpe!$F$2:$F$307,0)),INDEX(cpe!$C$2:$C$307,MATCH($AP222,cpe!$D$2:$D$307,0))),"#N/D")</f>
        <v>#N/D</v>
      </c>
      <c r="G222" s="25" t="str">
        <f>IFERROR(IF($AO222,INDEX(cpe!$B$2:$B$307,MATCH($AP222,cpe!$F$2:$F$307,0)),INDEX(cpe!$B$2:$B$307,MATCH($AP222,cpe!$D$2:$D$307,0))),"#N/D")</f>
        <v>#N/D</v>
      </c>
      <c r="H222" s="26" t="str">
        <f>IF($AO222,"#N/D",IFERROR(INDEX(Olimpiadas!$B$2:$B$61,MATCH($AM222,Olimpiadas!$C$2:$C$61,0)),"#N/D"))</f>
        <v>#N/D</v>
      </c>
      <c r="I222" s="26" t="str">
        <f>IF($AO222,"#N/D",IFERROR(INDEX(Olimpiadas!$A$2:$A$61,MATCH($AM222,Olimpiadas!$C$2:$C$61,0)),"#N/D"))</f>
        <v>#N/D</v>
      </c>
      <c r="J222" s="26" t="str">
        <f>IF($AO222,"#N/D",IFERROR(INDEX(Minculturas!$A$2:$A$48,MATCH($AM222,Minculturas!$C$2:$C$48,0)),"#N/D"))</f>
        <v>#N/D</v>
      </c>
      <c r="K222" s="26" t="str">
        <f>IF($AO222,"#N/D",IFERROR(INDEX(Minculturas!$B$2:$B$48,MATCH($AM222,Minculturas!$C$2:$C$48,0)),"#N/D"))</f>
        <v>#N/D</v>
      </c>
      <c r="L222" s="27">
        <v>1</v>
      </c>
      <c r="M222" s="28">
        <v>0</v>
      </c>
      <c r="N222" s="28">
        <v>0</v>
      </c>
      <c r="O222" s="28">
        <v>0</v>
      </c>
      <c r="P222" s="28">
        <v>0</v>
      </c>
      <c r="Q222" s="28">
        <v>1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7">
        <f>SUM(Tabla43[[#This Row],[Edificación colapsada]:[Robo]])</f>
        <v>1</v>
      </c>
      <c r="AF222" s="28"/>
      <c r="AG222" s="28"/>
      <c r="AH222" s="28">
        <v>38.799999999999997</v>
      </c>
      <c r="AI222" s="28"/>
      <c r="AJ222" s="28"/>
      <c r="AK222" s="29" t="s">
        <v>114</v>
      </c>
      <c r="AM222" t="str">
        <f t="shared" si="12"/>
        <v>hobo</v>
      </c>
      <c r="AN222" t="str">
        <f t="shared" si="13"/>
        <v>huila</v>
      </c>
      <c r="AO222" t="b">
        <f t="shared" si="14"/>
        <v>0</v>
      </c>
      <c r="AP222" t="str">
        <f t="shared" si="15"/>
        <v>hobo</v>
      </c>
    </row>
    <row r="223" spans="1:42" ht="25.5" customHeight="1" x14ac:dyDescent="0.25">
      <c r="A223" s="33" t="s">
        <v>558</v>
      </c>
      <c r="B223" s="11" t="s">
        <v>48</v>
      </c>
      <c r="C223" s="34" t="s">
        <v>112</v>
      </c>
      <c r="D223" s="69"/>
      <c r="E223" s="11" t="s">
        <v>559</v>
      </c>
      <c r="F223" s="25" t="str">
        <f>IFERROR(IF($AO223,INDEX(cpe!$C$2:$C$307,MATCH($AP223,cpe!$F$2:$F$307,0)),INDEX(cpe!$C$2:$C$307,MATCH($AP223,cpe!$D$2:$D$307,0))),"#N/D")</f>
        <v>#N/D</v>
      </c>
      <c r="G223" s="25" t="str">
        <f>IFERROR(IF($AO223,INDEX(cpe!$B$2:$B$307,MATCH($AP223,cpe!$F$2:$F$307,0)),INDEX(cpe!$B$2:$B$307,MATCH($AP223,cpe!$D$2:$D$307,0))),"#N/D")</f>
        <v>#N/D</v>
      </c>
      <c r="H223" s="26" t="str">
        <f>IF($AO223,"#N/D",IFERROR(INDEX(Olimpiadas!$B$2:$B$61,MATCH($AM223,Olimpiadas!$C$2:$C$61,0)),"#N/D"))</f>
        <v>#N/D</v>
      </c>
      <c r="I223" s="26" t="str">
        <f>IF($AO223,"#N/D",IFERROR(INDEX(Olimpiadas!$A$2:$A$61,MATCH($AM223,Olimpiadas!$C$2:$C$61,0)),"#N/D"))</f>
        <v>#N/D</v>
      </c>
      <c r="J223" s="26" t="str">
        <f>IF($AO223,"#N/D",IFERROR(INDEX(Minculturas!$A$2:$A$48,MATCH($AM223,Minculturas!$C$2:$C$48,0)),"#N/D"))</f>
        <v>#N/D</v>
      </c>
      <c r="K223" s="26" t="str">
        <f>IF($AO223,"#N/D",IFERROR(INDEX(Minculturas!$B$2:$B$48,MATCH($AM223,Minculturas!$C$2:$C$48,0)),"#N/D"))</f>
        <v>#N/D</v>
      </c>
      <c r="L223" s="27">
        <v>4</v>
      </c>
      <c r="M223" s="28">
        <v>0</v>
      </c>
      <c r="N223" s="28">
        <v>0</v>
      </c>
      <c r="O223" s="28">
        <v>0</v>
      </c>
      <c r="P223" s="28">
        <v>1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3</v>
      </c>
      <c r="AA223" s="28">
        <v>0</v>
      </c>
      <c r="AB223" s="28">
        <v>0</v>
      </c>
      <c r="AC223" s="28">
        <v>0</v>
      </c>
      <c r="AD223" s="28">
        <v>0</v>
      </c>
      <c r="AE223" s="27">
        <f>SUM(Tabla43[[#This Row],[Edificación colapsada]:[Robo]])</f>
        <v>4</v>
      </c>
      <c r="AF223" s="28"/>
      <c r="AG223" s="28"/>
      <c r="AH223" s="28">
        <v>25.8</v>
      </c>
      <c r="AI223" s="28"/>
      <c r="AJ223" s="28"/>
      <c r="AK223" s="29" t="s">
        <v>114</v>
      </c>
      <c r="AM223" t="str">
        <f t="shared" si="12"/>
        <v>honda</v>
      </c>
      <c r="AN223" t="str">
        <f t="shared" si="13"/>
        <v>tolima</v>
      </c>
      <c r="AO223" t="b">
        <f t="shared" si="14"/>
        <v>0</v>
      </c>
      <c r="AP223" t="str">
        <f t="shared" si="15"/>
        <v>honda</v>
      </c>
    </row>
    <row r="224" spans="1:42" ht="25.5" customHeight="1" x14ac:dyDescent="0.25">
      <c r="A224" s="33" t="s">
        <v>743</v>
      </c>
      <c r="B224" s="11" t="s">
        <v>48</v>
      </c>
      <c r="C224" s="34" t="s">
        <v>112</v>
      </c>
      <c r="D224" s="69"/>
      <c r="E224" s="11" t="s">
        <v>744</v>
      </c>
      <c r="F224" s="25" t="str">
        <f>IFERROR(IF($AO224,INDEX(cpe!$C$2:$C$307,MATCH($AP224,cpe!$F$2:$F$307,0)),INDEX(cpe!$C$2:$C$307,MATCH($AP224,cpe!$D$2:$D$307,0))),"#N/D")</f>
        <v>Institucion Educativa San Francisco de Asis</v>
      </c>
      <c r="G224" s="25" t="str">
        <f>IFERROR(IF($AO224,INDEX(cpe!$B$2:$B$307,MATCH($AP224,cpe!$F$2:$F$307,0)),INDEX(cpe!$B$2:$B$307,MATCH($AP224,cpe!$D$2:$D$307,0))),"#N/D")</f>
        <v>Ibagué</v>
      </c>
      <c r="H224" s="26" t="str">
        <f>IF($AO224,"#N/D",IFERROR(INDEX(Olimpiadas!$B$2:$B$61,MATCH($AM224,Olimpiadas!$C$2:$C$61,0)),"#N/D"))</f>
        <v>#N/D</v>
      </c>
      <c r="I224" s="26" t="str">
        <f>IF($AO224,"#N/D",IFERROR(INDEX(Olimpiadas!$A$2:$A$61,MATCH($AM224,Olimpiadas!$C$2:$C$61,0)),"#N/D"))</f>
        <v>#N/D</v>
      </c>
      <c r="J224" s="26" t="str">
        <f>IF($AO224,"#N/D",IFERROR(INDEX(Minculturas!$A$2:$A$48,MATCH($AM224,Minculturas!$C$2:$C$48,0)),"#N/D"))</f>
        <v>#N/D</v>
      </c>
      <c r="K224" s="26" t="str">
        <f>IF($AO224,"#N/D",IFERROR(INDEX(Minculturas!$B$2:$B$48,MATCH($AM224,Minculturas!$C$2:$C$48,0)),"#N/D"))</f>
        <v>#N/D</v>
      </c>
      <c r="L224" s="27">
        <v>44</v>
      </c>
      <c r="M224" s="28">
        <v>0</v>
      </c>
      <c r="N224" s="28">
        <v>11</v>
      </c>
      <c r="O224" s="28">
        <v>2</v>
      </c>
      <c r="P224" s="28">
        <v>2</v>
      </c>
      <c r="Q224" s="28">
        <v>6</v>
      </c>
      <c r="R224" s="28">
        <v>1</v>
      </c>
      <c r="S224" s="28">
        <v>5</v>
      </c>
      <c r="T224" s="28">
        <v>1</v>
      </c>
      <c r="U224" s="28">
        <v>1</v>
      </c>
      <c r="V224" s="28">
        <v>0</v>
      </c>
      <c r="W224" s="28">
        <v>12</v>
      </c>
      <c r="X224" s="28">
        <v>0</v>
      </c>
      <c r="Y224" s="28">
        <v>2</v>
      </c>
      <c r="Z224" s="28">
        <v>1</v>
      </c>
      <c r="AA224" s="28">
        <v>0</v>
      </c>
      <c r="AB224" s="28">
        <v>0</v>
      </c>
      <c r="AC224" s="28">
        <v>0</v>
      </c>
      <c r="AD224" s="28">
        <v>0</v>
      </c>
      <c r="AE224" s="27">
        <f>SUM(Tabla43[[#This Row],[Edificación colapsada]:[Robo]])</f>
        <v>44</v>
      </c>
      <c r="AF224" s="28"/>
      <c r="AG224" s="28"/>
      <c r="AH224" s="28">
        <v>14.8</v>
      </c>
      <c r="AI224" s="28"/>
      <c r="AJ224" s="28"/>
      <c r="AK224" s="29" t="s">
        <v>114</v>
      </c>
      <c r="AM224" t="str">
        <f t="shared" si="12"/>
        <v>ibague</v>
      </c>
      <c r="AN224" t="str">
        <f t="shared" si="13"/>
        <v>tolima</v>
      </c>
      <c r="AO224" t="b">
        <f t="shared" si="14"/>
        <v>0</v>
      </c>
      <c r="AP224" t="str">
        <f t="shared" si="15"/>
        <v>ibague</v>
      </c>
    </row>
    <row r="225" spans="1:42" ht="25.5" customHeight="1" x14ac:dyDescent="0.25">
      <c r="A225" s="33" t="s">
        <v>1167</v>
      </c>
      <c r="B225" s="11" t="s">
        <v>48</v>
      </c>
      <c r="C225" s="34" t="s">
        <v>112</v>
      </c>
      <c r="D225" s="69"/>
      <c r="E225" s="11" t="s">
        <v>1168</v>
      </c>
      <c r="F225" s="25" t="str">
        <f>IFERROR(IF($AO225,INDEX(cpe!$C$2:$C$307,MATCH($AP225,cpe!$F$2:$F$307,0)),INDEX(cpe!$C$2:$C$307,MATCH($AP225,cpe!$D$2:$D$307,0))),"#N/D")</f>
        <v>Institucion Educativa Jorge Eliecer Gaitan</v>
      </c>
      <c r="G225" s="25" t="str">
        <f>IFERROR(IF($AO225,INDEX(cpe!$B$2:$B$307,MATCH($AP225,cpe!$F$2:$F$307,0)),INDEX(cpe!$B$2:$B$307,MATCH($AP225,cpe!$D$2:$D$307,0))),"#N/D")</f>
        <v>Icononzo</v>
      </c>
      <c r="H225" s="26" t="str">
        <f>IF($AO225,"#N/D",IFERROR(INDEX(Olimpiadas!$B$2:$B$61,MATCH($AM225,Olimpiadas!$C$2:$C$61,0)),"#N/D"))</f>
        <v>#N/D</v>
      </c>
      <c r="I225" s="26" t="str">
        <f>IF($AO225,"#N/D",IFERROR(INDEX(Olimpiadas!$A$2:$A$61,MATCH($AM225,Olimpiadas!$C$2:$C$61,0)),"#N/D"))</f>
        <v>#N/D</v>
      </c>
      <c r="J225" s="26" t="str">
        <f>IF($AO225,"#N/D",IFERROR(INDEX(Minculturas!$A$2:$A$48,MATCH($AM225,Minculturas!$C$2:$C$48,0)),"#N/D"))</f>
        <v>#N/D</v>
      </c>
      <c r="K225" s="26" t="str">
        <f>IF($AO225,"#N/D",IFERROR(INDEX(Minculturas!$B$2:$B$48,MATCH($AM225,Minculturas!$C$2:$C$48,0)),"#N/D"))</f>
        <v>#N/D</v>
      </c>
      <c r="L225" s="27">
        <v>1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1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7">
        <f>SUM(Tabla43[[#This Row],[Edificación colapsada]:[Robo]])</f>
        <v>1</v>
      </c>
      <c r="AF225" s="28"/>
      <c r="AG225" s="28"/>
      <c r="AH225" s="28">
        <v>33.700000000000003</v>
      </c>
      <c r="AI225" s="28"/>
      <c r="AJ225" s="28"/>
      <c r="AK225" s="29" t="s">
        <v>114</v>
      </c>
      <c r="AM225" t="str">
        <f t="shared" si="12"/>
        <v>icononzo</v>
      </c>
      <c r="AN225" t="str">
        <f t="shared" si="13"/>
        <v>tolima</v>
      </c>
      <c r="AO225" t="b">
        <f t="shared" si="14"/>
        <v>0</v>
      </c>
      <c r="AP225" t="str">
        <f t="shared" si="15"/>
        <v>icononzo</v>
      </c>
    </row>
    <row r="226" spans="1:42" ht="25.5" customHeight="1" x14ac:dyDescent="0.25">
      <c r="A226" s="33" t="s">
        <v>678</v>
      </c>
      <c r="B226" s="11" t="s">
        <v>28</v>
      </c>
      <c r="C226" s="34" t="s">
        <v>112</v>
      </c>
      <c r="D226" s="69"/>
      <c r="E226" s="11" t="s">
        <v>679</v>
      </c>
      <c r="F226" s="25" t="str">
        <f>IFERROR(IF($AO226,INDEX(cpe!$C$2:$C$307,MATCH($AP226,cpe!$F$2:$F$307,0)),INDEX(cpe!$C$2:$C$307,MATCH($AP226,cpe!$D$2:$D$307,0))),"#N/D")</f>
        <v>#N/D</v>
      </c>
      <c r="G226" s="25" t="str">
        <f>IFERROR(IF($AO226,INDEX(cpe!$B$2:$B$307,MATCH($AP226,cpe!$F$2:$F$307,0)),INDEX(cpe!$B$2:$B$307,MATCH($AP226,cpe!$D$2:$D$307,0))),"#N/D")</f>
        <v>#N/D</v>
      </c>
      <c r="H226" s="26" t="str">
        <f>IF($AO226,"#N/D",IFERROR(INDEX(Olimpiadas!$B$2:$B$61,MATCH($AM226,Olimpiadas!$C$2:$C$61,0)),"#N/D"))</f>
        <v>#N/D</v>
      </c>
      <c r="I226" s="26" t="str">
        <f>IF($AO226,"#N/D",IFERROR(INDEX(Olimpiadas!$A$2:$A$61,MATCH($AM226,Olimpiadas!$C$2:$C$61,0)),"#N/D"))</f>
        <v>#N/D</v>
      </c>
      <c r="J226" s="26" t="str">
        <f>IF($AO226,"#N/D",IFERROR(INDEX(Minculturas!$A$2:$A$48,MATCH($AM226,Minculturas!$C$2:$C$48,0)),"#N/D"))</f>
        <v>#N/D</v>
      </c>
      <c r="K226" s="26" t="str">
        <f>IF($AO226,"#N/D",IFERROR(INDEX(Minculturas!$B$2:$B$48,MATCH($AM226,Minculturas!$C$2:$C$48,0)),"#N/D"))</f>
        <v>#N/D</v>
      </c>
      <c r="L226" s="27">
        <v>1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1</v>
      </c>
      <c r="AA226" s="28">
        <v>0</v>
      </c>
      <c r="AB226" s="28">
        <v>0</v>
      </c>
      <c r="AC226" s="28">
        <v>0</v>
      </c>
      <c r="AD226" s="28">
        <v>0</v>
      </c>
      <c r="AE226" s="27">
        <f>SUM(Tabla43[[#This Row],[Edificación colapsada]:[Robo]])</f>
        <v>1</v>
      </c>
      <c r="AF226" s="28"/>
      <c r="AG226" s="28"/>
      <c r="AH226" s="28">
        <v>59</v>
      </c>
      <c r="AI226" s="28"/>
      <c r="AJ226" s="28"/>
      <c r="AK226" s="29" t="s">
        <v>114</v>
      </c>
      <c r="AM226" t="str">
        <f t="shared" si="12"/>
        <v>inza</v>
      </c>
      <c r="AN226" t="str">
        <f t="shared" si="13"/>
        <v>cauca</v>
      </c>
      <c r="AO226" t="b">
        <f t="shared" si="14"/>
        <v>0</v>
      </c>
      <c r="AP226" t="str">
        <f t="shared" si="15"/>
        <v>inza</v>
      </c>
    </row>
    <row r="227" spans="1:42" ht="25.5" customHeight="1" x14ac:dyDescent="0.25">
      <c r="A227" s="33" t="s">
        <v>597</v>
      </c>
      <c r="B227" s="11" t="s">
        <v>41</v>
      </c>
      <c r="C227" s="34" t="s">
        <v>112</v>
      </c>
      <c r="D227" s="69"/>
      <c r="E227" s="11" t="s">
        <v>598</v>
      </c>
      <c r="F227" s="25" t="str">
        <f>IFERROR(IF($AO227,INDEX(cpe!$C$2:$C$307,MATCH($AP227,cpe!$F$2:$F$307,0)),INDEX(cpe!$C$2:$C$307,MATCH($AP227,cpe!$D$2:$D$307,0))),"#N/D")</f>
        <v>Institucion Educativa Guacamayas</v>
      </c>
      <c r="G227" s="25" t="str">
        <f>IFERROR(IF($AO227,INDEX(cpe!$B$2:$B$307,MATCH($AP227,cpe!$F$2:$F$307,0)),INDEX(cpe!$B$2:$B$307,MATCH($AP227,cpe!$D$2:$D$307,0))),"#N/D")</f>
        <v>Ipiales</v>
      </c>
      <c r="H227" s="26" t="str">
        <f>IF($AO227,"#N/D",IFERROR(INDEX(Olimpiadas!$B$2:$B$61,MATCH($AM227,Olimpiadas!$C$2:$C$61,0)),"#N/D"))</f>
        <v>#N/D</v>
      </c>
      <c r="I227" s="26" t="str">
        <f>IF($AO227,"#N/D",IFERROR(INDEX(Olimpiadas!$A$2:$A$61,MATCH($AM227,Olimpiadas!$C$2:$C$61,0)),"#N/D"))</f>
        <v>#N/D</v>
      </c>
      <c r="J227" s="26" t="str">
        <f>IF($AO227,"#N/D",IFERROR(INDEX(Minculturas!$A$2:$A$48,MATCH($AM227,Minculturas!$C$2:$C$48,0)),"#N/D"))</f>
        <v>#N/D</v>
      </c>
      <c r="K227" s="26" t="str">
        <f>IF($AO227,"#N/D",IFERROR(INDEX(Minculturas!$B$2:$B$48,MATCH($AM227,Minculturas!$C$2:$C$48,0)),"#N/D"))</f>
        <v>#N/D</v>
      </c>
      <c r="L227" s="27">
        <v>9</v>
      </c>
      <c r="M227" s="28">
        <v>0</v>
      </c>
      <c r="N227" s="28">
        <v>2</v>
      </c>
      <c r="O227" s="28">
        <v>1</v>
      </c>
      <c r="P227" s="28">
        <v>0</v>
      </c>
      <c r="Q227" s="28">
        <v>0</v>
      </c>
      <c r="R227" s="28">
        <v>0</v>
      </c>
      <c r="S227" s="28">
        <v>3</v>
      </c>
      <c r="T227" s="28">
        <v>1</v>
      </c>
      <c r="U227" s="28">
        <v>0</v>
      </c>
      <c r="V227" s="28">
        <v>0</v>
      </c>
      <c r="W227" s="28">
        <v>2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7">
        <f>SUM(Tabla43[[#This Row],[Edificación colapsada]:[Robo]])</f>
        <v>9</v>
      </c>
      <c r="AF227" s="28"/>
      <c r="AG227" s="28"/>
      <c r="AH227" s="28">
        <v>23.4</v>
      </c>
      <c r="AI227" s="28"/>
      <c r="AJ227" s="28"/>
      <c r="AK227" s="29" t="s">
        <v>114</v>
      </c>
      <c r="AM227" t="str">
        <f t="shared" si="12"/>
        <v>ipiales</v>
      </c>
      <c r="AN227" t="str">
        <f t="shared" si="13"/>
        <v>narino</v>
      </c>
      <c r="AO227" t="b">
        <f t="shared" si="14"/>
        <v>0</v>
      </c>
      <c r="AP227" t="str">
        <f t="shared" si="15"/>
        <v>ipiales</v>
      </c>
    </row>
    <row r="228" spans="1:42" ht="25.5" customHeight="1" x14ac:dyDescent="0.25">
      <c r="A228" s="33" t="s">
        <v>341</v>
      </c>
      <c r="B228" s="11" t="s">
        <v>37</v>
      </c>
      <c r="C228" s="34" t="s">
        <v>112</v>
      </c>
      <c r="D228" s="69"/>
      <c r="E228" s="11" t="s">
        <v>342</v>
      </c>
      <c r="F228" s="25" t="str">
        <f>IFERROR(IF($AO228,INDEX(cpe!$C$2:$C$307,MATCH($AP228,cpe!$F$2:$F$307,0)),INDEX(cpe!$C$2:$C$307,MATCH($AP228,cpe!$D$2:$D$307,0))),"#N/D")</f>
        <v>#N/D</v>
      </c>
      <c r="G228" s="25" t="str">
        <f>IFERROR(IF($AO228,INDEX(cpe!$B$2:$B$307,MATCH($AP228,cpe!$F$2:$F$307,0)),INDEX(cpe!$B$2:$B$307,MATCH($AP228,cpe!$D$2:$D$307,0))),"#N/D")</f>
        <v>#N/D</v>
      </c>
      <c r="H228" s="26" t="str">
        <f>IF($AO228,"#N/D",IFERROR(INDEX(Olimpiadas!$B$2:$B$61,MATCH($AM228,Olimpiadas!$C$2:$C$61,0)),"#N/D"))</f>
        <v>#N/D</v>
      </c>
      <c r="I228" s="26" t="str">
        <f>IF($AO228,"#N/D",IFERROR(INDEX(Olimpiadas!$A$2:$A$61,MATCH($AM228,Olimpiadas!$C$2:$C$61,0)),"#N/D"))</f>
        <v>#N/D</v>
      </c>
      <c r="J228" s="26" t="str">
        <f>IF($AO228,"#N/D",IFERROR(INDEX(Minculturas!$A$2:$A$48,MATCH($AM228,Minculturas!$C$2:$C$48,0)),"#N/D"))</f>
        <v>#N/D</v>
      </c>
      <c r="K228" s="26" t="str">
        <f>IF($AO228,"#N/D",IFERROR(INDEX(Minculturas!$B$2:$B$48,MATCH($AM228,Minculturas!$C$2:$C$48,0)),"#N/D"))</f>
        <v>#N/D</v>
      </c>
      <c r="L228" s="27">
        <v>2</v>
      </c>
      <c r="M228" s="28">
        <v>0</v>
      </c>
      <c r="N228" s="28">
        <v>0</v>
      </c>
      <c r="O228" s="28">
        <v>0</v>
      </c>
      <c r="P228" s="28">
        <v>0</v>
      </c>
      <c r="Q228" s="28">
        <v>1</v>
      </c>
      <c r="R228" s="28">
        <v>1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7">
        <f>SUM(Tabla43[[#This Row],[Edificación colapsada]:[Robo]])</f>
        <v>2</v>
      </c>
      <c r="AF228" s="28"/>
      <c r="AG228" s="28"/>
      <c r="AH228" s="28">
        <v>49.6</v>
      </c>
      <c r="AI228" s="28"/>
      <c r="AJ228" s="28"/>
      <c r="AK228" s="29" t="s">
        <v>114</v>
      </c>
      <c r="AM228" t="str">
        <f t="shared" si="12"/>
        <v>iquira</v>
      </c>
      <c r="AN228" t="str">
        <f t="shared" si="13"/>
        <v>huila</v>
      </c>
      <c r="AO228" t="b">
        <f t="shared" si="14"/>
        <v>0</v>
      </c>
      <c r="AP228" t="str">
        <f t="shared" si="15"/>
        <v>iquira</v>
      </c>
    </row>
    <row r="229" spans="1:42" ht="25.5" customHeight="1" x14ac:dyDescent="0.25">
      <c r="A229" s="33" t="s">
        <v>599</v>
      </c>
      <c r="B229" s="11" t="s">
        <v>31</v>
      </c>
      <c r="C229" s="34" t="s">
        <v>112</v>
      </c>
      <c r="D229" s="69"/>
      <c r="E229" s="11" t="s">
        <v>600</v>
      </c>
      <c r="F229" s="25" t="str">
        <f>IFERROR(IF($AO229,INDEX(cpe!$C$2:$C$307,MATCH($AP229,cpe!$F$2:$F$307,0)),INDEX(cpe!$C$2:$C$307,MATCH($AP229,cpe!$D$2:$D$307,0))),"#N/D")</f>
        <v>Institucion Educativa Cano Blanco Ii</v>
      </c>
      <c r="G229" s="25" t="str">
        <f>IFERROR(IF($AO229,INDEX(cpe!$B$2:$B$307,MATCH($AP229,cpe!$F$2:$F$307,0)),INDEX(cpe!$B$2:$B$307,MATCH($AP229,cpe!$D$2:$D$307,0))),"#N/D")</f>
        <v>Istmina</v>
      </c>
      <c r="H229" s="26" t="str">
        <f>IF($AO229,"#N/D",IFERROR(INDEX(Olimpiadas!$B$2:$B$61,MATCH($AM229,Olimpiadas!$C$2:$C$61,0)),"#N/D"))</f>
        <v>#N/D</v>
      </c>
      <c r="I229" s="26" t="str">
        <f>IF($AO229,"#N/D",IFERROR(INDEX(Olimpiadas!$A$2:$A$61,MATCH($AM229,Olimpiadas!$C$2:$C$61,0)),"#N/D"))</f>
        <v>#N/D</v>
      </c>
      <c r="J229" s="26" t="str">
        <f>IF($AO229,"#N/D",IFERROR(INDEX(Minculturas!$A$2:$A$48,MATCH($AM229,Minculturas!$C$2:$C$48,0)),"#N/D"))</f>
        <v>#N/D</v>
      </c>
      <c r="K229" s="26" t="str">
        <f>IF($AO229,"#N/D",IFERROR(INDEX(Minculturas!$B$2:$B$48,MATCH($AM229,Minculturas!$C$2:$C$48,0)),"#N/D"))</f>
        <v>#N/D</v>
      </c>
      <c r="L229" s="27">
        <v>14</v>
      </c>
      <c r="M229" s="28">
        <v>1</v>
      </c>
      <c r="N229" s="28">
        <v>2</v>
      </c>
      <c r="O229" s="28">
        <v>1</v>
      </c>
      <c r="P229" s="28">
        <v>0</v>
      </c>
      <c r="Q229" s="28">
        <v>0</v>
      </c>
      <c r="R229" s="28">
        <v>0</v>
      </c>
      <c r="S229" s="28">
        <v>0</v>
      </c>
      <c r="T229" s="28">
        <v>2</v>
      </c>
      <c r="U229" s="28">
        <v>0</v>
      </c>
      <c r="V229" s="28">
        <v>1</v>
      </c>
      <c r="W229" s="28">
        <v>5</v>
      </c>
      <c r="X229" s="28">
        <v>1</v>
      </c>
      <c r="Y229" s="28">
        <v>0</v>
      </c>
      <c r="Z229" s="28">
        <v>1</v>
      </c>
      <c r="AA229" s="28">
        <v>0</v>
      </c>
      <c r="AB229" s="28">
        <v>0</v>
      </c>
      <c r="AC229" s="28">
        <v>0</v>
      </c>
      <c r="AD229" s="28">
        <v>0</v>
      </c>
      <c r="AE229" s="27">
        <f>SUM(Tabla43[[#This Row],[Edificación colapsada]:[Robo]])</f>
        <v>14</v>
      </c>
      <c r="AF229" s="28" t="s">
        <v>601</v>
      </c>
      <c r="AG229" s="28" t="s">
        <v>602</v>
      </c>
      <c r="AH229" s="28">
        <v>55.1</v>
      </c>
      <c r="AI229" s="28"/>
      <c r="AJ229" s="28"/>
      <c r="AK229" s="29" t="s">
        <v>114</v>
      </c>
      <c r="AM229" t="str">
        <f t="shared" si="12"/>
        <v>istmina</v>
      </c>
      <c r="AN229" t="str">
        <f t="shared" si="13"/>
        <v>choco</v>
      </c>
      <c r="AO229" t="b">
        <f t="shared" si="14"/>
        <v>0</v>
      </c>
      <c r="AP229" t="str">
        <f t="shared" si="15"/>
        <v>istmina</v>
      </c>
    </row>
    <row r="230" spans="1:42" ht="25.5" customHeight="1" x14ac:dyDescent="0.25">
      <c r="A230" s="33" t="s">
        <v>1188</v>
      </c>
      <c r="B230" s="11" t="s">
        <v>10</v>
      </c>
      <c r="C230" s="34" t="s">
        <v>112</v>
      </c>
      <c r="D230" s="69"/>
      <c r="E230" s="11" t="s">
        <v>1189</v>
      </c>
      <c r="F230" s="25" t="str">
        <f>IFERROR(IF($AO230,INDEX(cpe!$C$2:$C$307,MATCH($AP230,cpe!$F$2:$F$307,0)),INDEX(cpe!$C$2:$C$307,MATCH($AP230,cpe!$D$2:$D$307,0))),"#N/D")</f>
        <v>#N/D</v>
      </c>
      <c r="G230" s="25" t="str">
        <f>IFERROR(IF($AO230,INDEX(cpe!$B$2:$B$307,MATCH($AP230,cpe!$F$2:$F$307,0)),INDEX(cpe!$B$2:$B$307,MATCH($AP230,cpe!$D$2:$D$307,0))),"#N/D")</f>
        <v>#N/D</v>
      </c>
      <c r="H230" s="26" t="str">
        <f>IF($AO230,"#N/D",IFERROR(INDEX(Olimpiadas!$B$2:$B$61,MATCH($AM230,Olimpiadas!$C$2:$C$61,0)),"#N/D"))</f>
        <v>#N/D</v>
      </c>
      <c r="I230" s="26" t="str">
        <f>IF($AO230,"#N/D",IFERROR(INDEX(Olimpiadas!$A$2:$A$61,MATCH($AM230,Olimpiadas!$C$2:$C$61,0)),"#N/D"))</f>
        <v>#N/D</v>
      </c>
      <c r="J230" s="26" t="str">
        <f>IF($AO230,"#N/D",IFERROR(INDEX(Minculturas!$A$2:$A$48,MATCH($AM230,Minculturas!$C$2:$C$48,0)),"#N/D"))</f>
        <v>#N/D</v>
      </c>
      <c r="K230" s="26" t="str">
        <f>IF($AO230,"#N/D",IFERROR(INDEX(Minculturas!$B$2:$B$48,MATCH($AM230,Minculturas!$C$2:$C$48,0)),"#N/D"))</f>
        <v>#N/D</v>
      </c>
      <c r="L230" s="27">
        <v>2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2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7">
        <f>SUM(Tabla43[[#This Row],[Edificación colapsada]:[Robo]])</f>
        <v>2</v>
      </c>
      <c r="AF230" s="28"/>
      <c r="AG230" s="28"/>
      <c r="AH230" s="28">
        <v>10.9</v>
      </c>
      <c r="AI230" s="28"/>
      <c r="AJ230" s="28"/>
      <c r="AK230" s="29" t="s">
        <v>114</v>
      </c>
      <c r="AM230" t="str">
        <f t="shared" si="12"/>
        <v>itagüi</v>
      </c>
      <c r="AN230" t="str">
        <f t="shared" si="13"/>
        <v>antioquia</v>
      </c>
      <c r="AO230" t="b">
        <f t="shared" si="14"/>
        <v>0</v>
      </c>
      <c r="AP230" t="str">
        <f t="shared" si="15"/>
        <v>itagüi</v>
      </c>
    </row>
    <row r="231" spans="1:42" ht="25.5" customHeight="1" x14ac:dyDescent="0.25">
      <c r="A231" s="33" t="s">
        <v>374</v>
      </c>
      <c r="B231" s="11" t="s">
        <v>10</v>
      </c>
      <c r="C231" s="34" t="s">
        <v>112</v>
      </c>
      <c r="D231" s="69"/>
      <c r="E231" s="11" t="s">
        <v>375</v>
      </c>
      <c r="F231" s="25" t="str">
        <f>IFERROR(IF($AO231,INDEX(cpe!$C$2:$C$307,MATCH($AP231,cpe!$F$2:$F$307,0)),INDEX(cpe!$C$2:$C$307,MATCH($AP231,cpe!$D$2:$D$307,0))),"#N/D")</f>
        <v>#N/D</v>
      </c>
      <c r="G231" s="25" t="str">
        <f>IFERROR(IF($AO231,INDEX(cpe!$B$2:$B$307,MATCH($AP231,cpe!$F$2:$F$307,0)),INDEX(cpe!$B$2:$B$307,MATCH($AP231,cpe!$D$2:$D$307,0))),"#N/D")</f>
        <v>#N/D</v>
      </c>
      <c r="H231" s="26" t="str">
        <f>IF($AO231,"#N/D",IFERROR(INDEX(Olimpiadas!$B$2:$B$61,MATCH($AM231,Olimpiadas!$C$2:$C$61,0)),"#N/D"))</f>
        <v>#N/D</v>
      </c>
      <c r="I231" s="26" t="str">
        <f>IF($AO231,"#N/D",IFERROR(INDEX(Olimpiadas!$A$2:$A$61,MATCH($AM231,Olimpiadas!$C$2:$C$61,0)),"#N/D"))</f>
        <v>#N/D</v>
      </c>
      <c r="J231" s="26" t="str">
        <f>IF($AO231,"#N/D",IFERROR(INDEX(Minculturas!$A$2:$A$48,MATCH($AM231,Minculturas!$C$2:$C$48,0)),"#N/D"))</f>
        <v>#N/D</v>
      </c>
      <c r="K231" s="26" t="str">
        <f>IF($AO231,"#N/D",IFERROR(INDEX(Minculturas!$B$2:$B$48,MATCH($AM231,Minculturas!$C$2:$C$48,0)),"#N/D"))</f>
        <v>#N/D</v>
      </c>
      <c r="L231" s="27">
        <v>2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2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7">
        <f>SUM(Tabla43[[#This Row],[Edificación colapsada]:[Robo]])</f>
        <v>2</v>
      </c>
      <c r="AF231" s="28"/>
      <c r="AG231" s="28"/>
      <c r="AH231" s="28">
        <v>57.6</v>
      </c>
      <c r="AI231" s="28"/>
      <c r="AJ231" s="28"/>
      <c r="AK231" s="29" t="s">
        <v>114</v>
      </c>
      <c r="AM231" t="str">
        <f t="shared" si="12"/>
        <v>ituango</v>
      </c>
      <c r="AN231" t="str">
        <f t="shared" si="13"/>
        <v>antioquia</v>
      </c>
      <c r="AO231" t="b">
        <f t="shared" si="14"/>
        <v>0</v>
      </c>
      <c r="AP231" t="str">
        <f t="shared" si="15"/>
        <v>ituango</v>
      </c>
    </row>
    <row r="232" spans="1:42" ht="25.5" customHeight="1" x14ac:dyDescent="0.25">
      <c r="A232" s="33" t="s">
        <v>680</v>
      </c>
      <c r="B232" s="11" t="s">
        <v>28</v>
      </c>
      <c r="C232" s="34" t="s">
        <v>112</v>
      </c>
      <c r="D232" s="69"/>
      <c r="E232" s="11" t="s">
        <v>681</v>
      </c>
      <c r="F232" s="25" t="str">
        <f>IFERROR(IF($AO232,INDEX(cpe!$C$2:$C$307,MATCH($AP232,cpe!$F$2:$F$307,0)),INDEX(cpe!$C$2:$C$307,MATCH($AP232,cpe!$D$2:$D$307,0))),"#N/D")</f>
        <v>#N/D</v>
      </c>
      <c r="G232" s="25" t="str">
        <f>IFERROR(IF($AO232,INDEX(cpe!$B$2:$B$307,MATCH($AP232,cpe!$F$2:$F$307,0)),INDEX(cpe!$B$2:$B$307,MATCH($AP232,cpe!$D$2:$D$307,0))),"#N/D")</f>
        <v>#N/D</v>
      </c>
      <c r="H232" s="26" t="str">
        <f>IF($AO232,"#N/D",IFERROR(INDEX(Olimpiadas!$B$2:$B$61,MATCH($AM232,Olimpiadas!$C$2:$C$61,0)),"#N/D"))</f>
        <v>#N/D</v>
      </c>
      <c r="I232" s="26" t="str">
        <f>IF($AO232,"#N/D",IFERROR(INDEX(Olimpiadas!$A$2:$A$61,MATCH($AM232,Olimpiadas!$C$2:$C$61,0)),"#N/D"))</f>
        <v>#N/D</v>
      </c>
      <c r="J232" s="26" t="str">
        <f>IF($AO232,"#N/D",IFERROR(INDEX(Minculturas!$A$2:$A$48,MATCH($AM232,Minculturas!$C$2:$C$48,0)),"#N/D"))</f>
        <v>#N/D</v>
      </c>
      <c r="K232" s="26" t="str">
        <f>IF($AO232,"#N/D",IFERROR(INDEX(Minculturas!$B$2:$B$48,MATCH($AM232,Minculturas!$C$2:$C$48,0)),"#N/D"))</f>
        <v>#N/D</v>
      </c>
      <c r="L232" s="27">
        <v>1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1</v>
      </c>
      <c r="AA232" s="28">
        <v>0</v>
      </c>
      <c r="AB232" s="28">
        <v>0</v>
      </c>
      <c r="AC232" s="28">
        <v>0</v>
      </c>
      <c r="AD232" s="28">
        <v>0</v>
      </c>
      <c r="AE232" s="27">
        <f>SUM(Tabla43[[#This Row],[Edificación colapsada]:[Robo]])</f>
        <v>1</v>
      </c>
      <c r="AF232" s="28"/>
      <c r="AG232" s="28"/>
      <c r="AH232" s="28">
        <v>46.5</v>
      </c>
      <c r="AI232" s="28"/>
      <c r="AJ232" s="28"/>
      <c r="AK232" s="29" t="s">
        <v>246</v>
      </c>
      <c r="AM232" t="str">
        <f t="shared" si="12"/>
        <v>jambalo</v>
      </c>
      <c r="AN232" t="str">
        <f t="shared" si="13"/>
        <v>cauca</v>
      </c>
      <c r="AO232" t="b">
        <f t="shared" si="14"/>
        <v>0</v>
      </c>
      <c r="AP232" t="str">
        <f t="shared" si="15"/>
        <v>jambalo</v>
      </c>
    </row>
    <row r="233" spans="1:42" ht="25.5" customHeight="1" x14ac:dyDescent="0.25">
      <c r="A233" s="33" t="s">
        <v>470</v>
      </c>
      <c r="B233" s="11" t="s">
        <v>49</v>
      </c>
      <c r="C233" s="34" t="s">
        <v>112</v>
      </c>
      <c r="D233" s="69"/>
      <c r="E233" s="11" t="s">
        <v>471</v>
      </c>
      <c r="F233" s="25" t="str">
        <f>IFERROR(IF($AO233,INDEX(cpe!$C$2:$C$307,MATCH($AP233,cpe!$F$2:$F$307,0)),INDEX(cpe!$C$2:$C$307,MATCH($AP233,cpe!$D$2:$D$307,0))),"#N/D")</f>
        <v>Inst Educativa Marcos Garcia Carrillo</v>
      </c>
      <c r="G233" s="25" t="str">
        <f>IFERROR(IF($AO233,INDEX(cpe!$B$2:$B$307,MATCH($AP233,cpe!$F$2:$F$307,0)),INDEX(cpe!$B$2:$B$307,MATCH($AP233,cpe!$D$2:$D$307,0))),"#N/D")</f>
        <v>Jamundí</v>
      </c>
      <c r="H233" s="26" t="str">
        <f>IF($AO233,"#N/D",IFERROR(INDEX(Olimpiadas!$B$2:$B$61,MATCH($AM233,Olimpiadas!$C$2:$C$61,0)),"#N/D"))</f>
        <v>#N/D</v>
      </c>
      <c r="I233" s="26" t="str">
        <f>IF($AO233,"#N/D",IFERROR(INDEX(Olimpiadas!$A$2:$A$61,MATCH($AM233,Olimpiadas!$C$2:$C$61,0)),"#N/D"))</f>
        <v>#N/D</v>
      </c>
      <c r="J233" s="26" t="str">
        <f>IF($AO233,"#N/D",IFERROR(INDEX(Minculturas!$A$2:$A$48,MATCH($AM233,Minculturas!$C$2:$C$48,0)),"#N/D"))</f>
        <v>#N/D</v>
      </c>
      <c r="K233" s="26" t="str">
        <f>IF($AO233,"#N/D",IFERROR(INDEX(Minculturas!$B$2:$B$48,MATCH($AM233,Minculturas!$C$2:$C$48,0)),"#N/D"))</f>
        <v>#N/D</v>
      </c>
      <c r="L233" s="27">
        <v>5</v>
      </c>
      <c r="M233" s="28">
        <v>0</v>
      </c>
      <c r="N233" s="28">
        <v>2</v>
      </c>
      <c r="O233" s="28">
        <v>0</v>
      </c>
      <c r="P233" s="28">
        <v>1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1</v>
      </c>
      <c r="Y233" s="28">
        <v>0</v>
      </c>
      <c r="Z233" s="28">
        <v>1</v>
      </c>
      <c r="AA233" s="28">
        <v>0</v>
      </c>
      <c r="AB233" s="28">
        <v>0</v>
      </c>
      <c r="AC233" s="28">
        <v>0</v>
      </c>
      <c r="AD233" s="28">
        <v>0</v>
      </c>
      <c r="AE233" s="27">
        <f>SUM(Tabla43[[#This Row],[Edificación colapsada]:[Robo]])</f>
        <v>5</v>
      </c>
      <c r="AF233" s="28" t="s">
        <v>146</v>
      </c>
      <c r="AG233" s="28" t="s">
        <v>472</v>
      </c>
      <c r="AH233" s="28">
        <v>14.9</v>
      </c>
      <c r="AI233" s="28"/>
      <c r="AJ233" s="28"/>
      <c r="AK233" s="29" t="s">
        <v>114</v>
      </c>
      <c r="AM233" t="str">
        <f t="shared" si="12"/>
        <v>jamundi</v>
      </c>
      <c r="AN233" t="str">
        <f t="shared" si="13"/>
        <v>valle del cauca</v>
      </c>
      <c r="AO233" t="b">
        <f t="shared" si="14"/>
        <v>0</v>
      </c>
      <c r="AP233" t="str">
        <f t="shared" si="15"/>
        <v>jamundi</v>
      </c>
    </row>
    <row r="234" spans="1:42" ht="25.5" customHeight="1" x14ac:dyDescent="0.25">
      <c r="A234" s="33" t="s">
        <v>186</v>
      </c>
      <c r="B234" s="11" t="s">
        <v>10</v>
      </c>
      <c r="C234" s="34" t="s">
        <v>112</v>
      </c>
      <c r="D234" s="69"/>
      <c r="E234" s="11" t="s">
        <v>187</v>
      </c>
      <c r="F234" s="25" t="str">
        <f>IFERROR(IF($AO234,INDEX(cpe!$C$2:$C$307,MATCH($AP234,cpe!$F$2:$F$307,0)),INDEX(cpe!$C$2:$C$307,MATCH($AP234,cpe!$D$2:$D$307,0))),"#N/D")</f>
        <v>#N/D</v>
      </c>
      <c r="G234" s="25" t="str">
        <f>IFERROR(IF($AO234,INDEX(cpe!$B$2:$B$307,MATCH($AP234,cpe!$F$2:$F$307,0)),INDEX(cpe!$B$2:$B$307,MATCH($AP234,cpe!$D$2:$D$307,0))),"#N/D")</f>
        <v>#N/D</v>
      </c>
      <c r="H234" s="26" t="str">
        <f>IF($AO234,"#N/D",IFERROR(INDEX(Olimpiadas!$B$2:$B$61,MATCH($AM234,Olimpiadas!$C$2:$C$61,0)),"#N/D"))</f>
        <v>#N/D</v>
      </c>
      <c r="I234" s="26" t="str">
        <f>IF($AO234,"#N/D",IFERROR(INDEX(Olimpiadas!$A$2:$A$61,MATCH($AM234,Olimpiadas!$C$2:$C$61,0)),"#N/D"))</f>
        <v>#N/D</v>
      </c>
      <c r="J234" s="26" t="str">
        <f>IF($AO234,"#N/D",IFERROR(INDEX(Minculturas!$A$2:$A$48,MATCH($AM234,Minculturas!$C$2:$C$48,0)),"#N/D"))</f>
        <v>#N/D</v>
      </c>
      <c r="K234" s="26" t="str">
        <f>IF($AO234,"#N/D",IFERROR(INDEX(Minculturas!$B$2:$B$48,MATCH($AM234,Minculturas!$C$2:$C$48,0)),"#N/D"))</f>
        <v>#N/D</v>
      </c>
      <c r="L234" s="27">
        <v>9</v>
      </c>
      <c r="M234" s="28">
        <v>0</v>
      </c>
      <c r="N234" s="28">
        <v>1</v>
      </c>
      <c r="O234" s="28">
        <v>1</v>
      </c>
      <c r="P234" s="28">
        <v>0</v>
      </c>
      <c r="Q234" s="28">
        <v>0</v>
      </c>
      <c r="R234" s="28">
        <v>4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2</v>
      </c>
      <c r="AA234" s="28">
        <v>1</v>
      </c>
      <c r="AB234" s="28">
        <v>0</v>
      </c>
      <c r="AC234" s="28">
        <v>0</v>
      </c>
      <c r="AD234" s="28">
        <v>0</v>
      </c>
      <c r="AE234" s="27">
        <f>SUM(Tabla43[[#This Row],[Edificación colapsada]:[Robo]])</f>
        <v>9</v>
      </c>
      <c r="AF234" s="28"/>
      <c r="AG234" s="28"/>
      <c r="AH234" s="28">
        <v>28.5</v>
      </c>
      <c r="AI234" s="28"/>
      <c r="AJ234" s="28"/>
      <c r="AK234" s="29" t="s">
        <v>114</v>
      </c>
      <c r="AM234" t="str">
        <f t="shared" si="12"/>
        <v>jardin</v>
      </c>
      <c r="AN234" t="str">
        <f t="shared" si="13"/>
        <v>antioquia</v>
      </c>
      <c r="AO234" t="b">
        <f t="shared" si="14"/>
        <v>0</v>
      </c>
      <c r="AP234" t="str">
        <f t="shared" si="15"/>
        <v>jardin</v>
      </c>
    </row>
    <row r="235" spans="1:42" ht="25.5" customHeight="1" x14ac:dyDescent="0.25">
      <c r="A235" s="33" t="s">
        <v>188</v>
      </c>
      <c r="B235" s="11" t="s">
        <v>10</v>
      </c>
      <c r="C235" s="34" t="s">
        <v>112</v>
      </c>
      <c r="D235" s="69"/>
      <c r="E235" s="11" t="s">
        <v>189</v>
      </c>
      <c r="F235" s="25" t="str">
        <f>IFERROR(IF($AO235,INDEX(cpe!$C$2:$C$307,MATCH($AP235,cpe!$F$2:$F$307,0)),INDEX(cpe!$C$2:$C$307,MATCH($AP235,cpe!$D$2:$D$307,0))),"#N/D")</f>
        <v>#N/D</v>
      </c>
      <c r="G235" s="25" t="str">
        <f>IFERROR(IF($AO235,INDEX(cpe!$B$2:$B$307,MATCH($AP235,cpe!$F$2:$F$307,0)),INDEX(cpe!$B$2:$B$307,MATCH($AP235,cpe!$D$2:$D$307,0))),"#N/D")</f>
        <v>#N/D</v>
      </c>
      <c r="H235" s="26" t="str">
        <f>IF($AO235,"#N/D",IFERROR(INDEX(Olimpiadas!$B$2:$B$61,MATCH($AM235,Olimpiadas!$C$2:$C$61,0)),"#N/D"))</f>
        <v>#N/D</v>
      </c>
      <c r="I235" s="26" t="str">
        <f>IF($AO235,"#N/D",IFERROR(INDEX(Olimpiadas!$A$2:$A$61,MATCH($AM235,Olimpiadas!$C$2:$C$61,0)),"#N/D"))</f>
        <v>#N/D</v>
      </c>
      <c r="J235" s="26" t="str">
        <f>IF($AO235,"#N/D",IFERROR(INDEX(Minculturas!$A$2:$A$48,MATCH($AM235,Minculturas!$C$2:$C$48,0)),"#N/D"))</f>
        <v>#N/D</v>
      </c>
      <c r="K235" s="26" t="str">
        <f>IF($AO235,"#N/D",IFERROR(INDEX(Minculturas!$B$2:$B$48,MATCH($AM235,Minculturas!$C$2:$C$48,0)),"#N/D"))</f>
        <v>#N/D</v>
      </c>
      <c r="L235" s="27">
        <v>6</v>
      </c>
      <c r="M235" s="28">
        <v>0</v>
      </c>
      <c r="N235" s="28">
        <v>2</v>
      </c>
      <c r="O235" s="28">
        <v>1</v>
      </c>
      <c r="P235" s="28">
        <v>0</v>
      </c>
      <c r="Q235" s="28">
        <v>0</v>
      </c>
      <c r="R235" s="28">
        <v>3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7">
        <f>SUM(Tabla43[[#This Row],[Edificación colapsada]:[Robo]])</f>
        <v>6</v>
      </c>
      <c r="AF235" s="28"/>
      <c r="AG235" s="28"/>
      <c r="AH235" s="28">
        <v>25.8</v>
      </c>
      <c r="AI235" s="28"/>
      <c r="AJ235" s="28"/>
      <c r="AK235" s="29" t="s">
        <v>114</v>
      </c>
      <c r="AM235" t="str">
        <f t="shared" si="12"/>
        <v>jerico</v>
      </c>
      <c r="AN235" t="str">
        <f t="shared" si="13"/>
        <v>antioquia</v>
      </c>
      <c r="AO235" t="b">
        <f t="shared" si="14"/>
        <v>0</v>
      </c>
      <c r="AP235" t="str">
        <f t="shared" si="15"/>
        <v>jerico</v>
      </c>
    </row>
    <row r="236" spans="1:42" ht="25.5" customHeight="1" x14ac:dyDescent="0.25">
      <c r="A236" s="33" t="s">
        <v>927</v>
      </c>
      <c r="B236" s="11" t="s">
        <v>10</v>
      </c>
      <c r="C236" s="34" t="s">
        <v>112</v>
      </c>
      <c r="D236" s="69"/>
      <c r="E236" s="11" t="s">
        <v>928</v>
      </c>
      <c r="F236" s="25" t="str">
        <f>IFERROR(IF($AO236,INDEX(cpe!$C$2:$C$307,MATCH($AP236,cpe!$F$2:$F$307,0)),INDEX(cpe!$C$2:$C$307,MATCH($AP236,cpe!$D$2:$D$307,0))),"#N/D")</f>
        <v>#N/D</v>
      </c>
      <c r="G236" s="25" t="str">
        <f>IFERROR(IF($AO236,INDEX(cpe!$B$2:$B$307,MATCH($AP236,cpe!$F$2:$F$307,0)),INDEX(cpe!$B$2:$B$307,MATCH($AP236,cpe!$D$2:$D$307,0))),"#N/D")</f>
        <v>#N/D</v>
      </c>
      <c r="H236" s="26" t="str">
        <f>IF($AO236,"#N/D",IFERROR(INDEX(Olimpiadas!$B$2:$B$61,MATCH($AM236,Olimpiadas!$C$2:$C$61,0)),"#N/D"))</f>
        <v>#N/D</v>
      </c>
      <c r="I236" s="26" t="str">
        <f>IF($AO236,"#N/D",IFERROR(INDEX(Olimpiadas!$A$2:$A$61,MATCH($AM236,Olimpiadas!$C$2:$C$61,0)),"#N/D"))</f>
        <v>#N/D</v>
      </c>
      <c r="J236" s="26" t="str">
        <f>IF($AO236,"#N/D",IFERROR(INDEX(Minculturas!$A$2:$A$48,MATCH($AM236,Minculturas!$C$2:$C$48,0)),"#N/D"))</f>
        <v>#N/D</v>
      </c>
      <c r="K236" s="26" t="str">
        <f>IF($AO236,"#N/D",IFERROR(INDEX(Minculturas!$B$2:$B$48,MATCH($AM236,Minculturas!$C$2:$C$48,0)),"#N/D"))</f>
        <v>#N/D</v>
      </c>
      <c r="L236" s="27">
        <v>10</v>
      </c>
      <c r="M236" s="28">
        <v>0</v>
      </c>
      <c r="N236" s="28">
        <v>3</v>
      </c>
      <c r="O236" s="28">
        <v>1</v>
      </c>
      <c r="P236" s="28">
        <v>1</v>
      </c>
      <c r="Q236" s="28">
        <v>0</v>
      </c>
      <c r="R236" s="28">
        <v>1</v>
      </c>
      <c r="S236" s="28">
        <v>2</v>
      </c>
      <c r="T236" s="28">
        <v>0</v>
      </c>
      <c r="U236" s="28">
        <v>0</v>
      </c>
      <c r="V236" s="28">
        <v>0</v>
      </c>
      <c r="W236" s="28">
        <v>1</v>
      </c>
      <c r="X236" s="28">
        <v>0</v>
      </c>
      <c r="Y236" s="28">
        <v>1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7">
        <f>SUM(Tabla43[[#This Row],[Edificación colapsada]:[Robo]])</f>
        <v>10</v>
      </c>
      <c r="AF236" s="28"/>
      <c r="AG236" s="28"/>
      <c r="AH236" s="28">
        <v>11.5</v>
      </c>
      <c r="AI236" s="28"/>
      <c r="AJ236" s="28"/>
      <c r="AK236" s="29" t="s">
        <v>114</v>
      </c>
      <c r="AM236" t="str">
        <f t="shared" si="12"/>
        <v>la ceja</v>
      </c>
      <c r="AN236" t="str">
        <f t="shared" si="13"/>
        <v>antioquia</v>
      </c>
      <c r="AO236" t="b">
        <f t="shared" si="14"/>
        <v>0</v>
      </c>
      <c r="AP236" t="str">
        <f t="shared" si="15"/>
        <v>la ceja</v>
      </c>
    </row>
    <row r="237" spans="1:42" ht="25.5" customHeight="1" x14ac:dyDescent="0.25">
      <c r="A237" s="33" t="s">
        <v>159</v>
      </c>
      <c r="B237" s="11" t="s">
        <v>41</v>
      </c>
      <c r="C237" s="34" t="s">
        <v>112</v>
      </c>
      <c r="D237" s="69"/>
      <c r="E237" s="11" t="s">
        <v>160</v>
      </c>
      <c r="F237" s="25" t="str">
        <f>IFERROR(IF($AO237,INDEX(cpe!$C$2:$C$307,MATCH($AP237,cpe!$F$2:$F$307,0)),INDEX(cpe!$C$2:$C$307,MATCH($AP237,cpe!$D$2:$D$307,0))),"#N/D")</f>
        <v>Institucion Educativa Rural San Sebastian</v>
      </c>
      <c r="G237" s="25" t="str">
        <f>IFERROR(IF($AO237,INDEX(cpe!$B$2:$B$307,MATCH($AP237,cpe!$F$2:$F$307,0)),INDEX(cpe!$B$2:$B$307,MATCH($AP237,cpe!$D$2:$D$307,0))),"#N/D")</f>
        <v>La Cruz</v>
      </c>
      <c r="H237" s="26" t="str">
        <f>IF($AO237,"#N/D",IFERROR(INDEX(Olimpiadas!$B$2:$B$61,MATCH($AM237,Olimpiadas!$C$2:$C$61,0)),"#N/D"))</f>
        <v>#N/D</v>
      </c>
      <c r="I237" s="26" t="str">
        <f>IF($AO237,"#N/D",IFERROR(INDEX(Olimpiadas!$A$2:$A$61,MATCH($AM237,Olimpiadas!$C$2:$C$61,0)),"#N/D"))</f>
        <v>#N/D</v>
      </c>
      <c r="J237" s="26" t="str">
        <f>IF($AO237,"#N/D",IFERROR(INDEX(Minculturas!$A$2:$A$48,MATCH($AM237,Minculturas!$C$2:$C$48,0)),"#N/D"))</f>
        <v>#N/D</v>
      </c>
      <c r="K237" s="26" t="str">
        <f>IF($AO237,"#N/D",IFERROR(INDEX(Minculturas!$B$2:$B$48,MATCH($AM237,Minculturas!$C$2:$C$48,0)),"#N/D"))</f>
        <v>#N/D</v>
      </c>
      <c r="L237" s="27">
        <v>2</v>
      </c>
      <c r="M237" s="28">
        <v>0</v>
      </c>
      <c r="N237" s="28">
        <v>0</v>
      </c>
      <c r="O237" s="28">
        <v>0</v>
      </c>
      <c r="P237" s="28">
        <v>2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7">
        <f>SUM(Tabla43[[#This Row],[Edificación colapsada]:[Robo]])</f>
        <v>2</v>
      </c>
      <c r="AF237" s="28"/>
      <c r="AG237" s="28"/>
      <c r="AH237" s="28">
        <v>27.8</v>
      </c>
      <c r="AI237" s="28"/>
      <c r="AJ237" s="28"/>
      <c r="AK237" s="29" t="s">
        <v>114</v>
      </c>
      <c r="AM237" t="str">
        <f t="shared" si="12"/>
        <v>la cruz</v>
      </c>
      <c r="AN237" t="str">
        <f t="shared" si="13"/>
        <v>narino</v>
      </c>
      <c r="AO237" t="b">
        <f t="shared" si="14"/>
        <v>0</v>
      </c>
      <c r="AP237" t="str">
        <f t="shared" si="15"/>
        <v>la cruz</v>
      </c>
    </row>
    <row r="238" spans="1:42" ht="25.5" customHeight="1" x14ac:dyDescent="0.25">
      <c r="A238" s="33" t="s">
        <v>1059</v>
      </c>
      <c r="B238" s="11" t="s">
        <v>49</v>
      </c>
      <c r="C238" s="34" t="s">
        <v>112</v>
      </c>
      <c r="D238" s="69"/>
      <c r="E238" s="11" t="s">
        <v>1060</v>
      </c>
      <c r="F238" s="25" t="str">
        <f>IFERROR(IF($AO238,INDEX(cpe!$C$2:$C$307,MATCH($AP238,cpe!$F$2:$F$307,0)),INDEX(cpe!$C$2:$C$307,MATCH($AP238,cpe!$D$2:$D$307,0))),"#N/D")</f>
        <v>#N/D</v>
      </c>
      <c r="G238" s="25" t="str">
        <f>IFERROR(IF($AO238,INDEX(cpe!$B$2:$B$307,MATCH($AP238,cpe!$F$2:$F$307,0)),INDEX(cpe!$B$2:$B$307,MATCH($AP238,cpe!$D$2:$D$307,0))),"#N/D")</f>
        <v>#N/D</v>
      </c>
      <c r="H238" s="26" t="str">
        <f>IF($AO238,"#N/D",IFERROR(INDEX(Olimpiadas!$B$2:$B$61,MATCH($AM238,Olimpiadas!$C$2:$C$61,0)),"#N/D"))</f>
        <v>#N/D</v>
      </c>
      <c r="I238" s="26" t="str">
        <f>IF($AO238,"#N/D",IFERROR(INDEX(Olimpiadas!$A$2:$A$61,MATCH($AM238,Olimpiadas!$C$2:$C$61,0)),"#N/D"))</f>
        <v>#N/D</v>
      </c>
      <c r="J238" s="26" t="str">
        <f>IF($AO238,"#N/D",IFERROR(INDEX(Minculturas!$A$2:$A$48,MATCH($AM238,Minculturas!$C$2:$C$48,0)),"#N/D"))</f>
        <v>#N/D</v>
      </c>
      <c r="K238" s="26" t="str">
        <f>IF($AO238,"#N/D",IFERROR(INDEX(Minculturas!$B$2:$B$48,MATCH($AM238,Minculturas!$C$2:$C$48,0)),"#N/D"))</f>
        <v>#N/D</v>
      </c>
      <c r="L238" s="27">
        <v>6</v>
      </c>
      <c r="M238" s="28">
        <v>0</v>
      </c>
      <c r="N238" s="28">
        <v>2</v>
      </c>
      <c r="O238" s="28">
        <v>1</v>
      </c>
      <c r="P238" s="28">
        <v>1</v>
      </c>
      <c r="Q238" s="28">
        <v>0</v>
      </c>
      <c r="R238" s="28">
        <v>0</v>
      </c>
      <c r="S238" s="28">
        <v>0</v>
      </c>
      <c r="T238" s="28">
        <v>1</v>
      </c>
      <c r="U238" s="28">
        <v>0</v>
      </c>
      <c r="V238" s="28">
        <v>0</v>
      </c>
      <c r="W238" s="28">
        <v>1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7">
        <f>SUM(Tabla43[[#This Row],[Edificación colapsada]:[Robo]])</f>
        <v>6</v>
      </c>
      <c r="AF238" s="28" t="s">
        <v>1061</v>
      </c>
      <c r="AG238" s="28" t="s">
        <v>1062</v>
      </c>
      <c r="AH238" s="28">
        <v>25.3</v>
      </c>
      <c r="AI238" s="28"/>
      <c r="AJ238" s="28"/>
      <c r="AK238" s="29" t="s">
        <v>114</v>
      </c>
      <c r="AM238" t="str">
        <f t="shared" si="12"/>
        <v>la cumbre</v>
      </c>
      <c r="AN238" t="str">
        <f t="shared" si="13"/>
        <v>valle del cauca</v>
      </c>
      <c r="AO238" t="b">
        <f t="shared" si="14"/>
        <v>0</v>
      </c>
      <c r="AP238" t="str">
        <f t="shared" si="15"/>
        <v>la cumbre</v>
      </c>
    </row>
    <row r="239" spans="1:42" ht="25.5" customHeight="1" x14ac:dyDescent="0.25">
      <c r="A239" s="33" t="s">
        <v>376</v>
      </c>
      <c r="B239" s="11" t="s">
        <v>24</v>
      </c>
      <c r="C239" s="34" t="s">
        <v>112</v>
      </c>
      <c r="D239" s="69"/>
      <c r="E239" s="11" t="s">
        <v>377</v>
      </c>
      <c r="F239" s="25" t="str">
        <f>IFERROR(IF($AO239,INDEX(cpe!$C$2:$C$307,MATCH($AP239,cpe!$F$2:$F$307,0)),INDEX(cpe!$C$2:$C$307,MATCH($AP239,cpe!$D$2:$D$307,0))),"#N/D")</f>
        <v>#N/D</v>
      </c>
      <c r="G239" s="25" t="str">
        <f>IFERROR(IF($AO239,INDEX(cpe!$B$2:$B$307,MATCH($AP239,cpe!$F$2:$F$307,0)),INDEX(cpe!$B$2:$B$307,MATCH($AP239,cpe!$D$2:$D$307,0))),"#N/D")</f>
        <v>#N/D</v>
      </c>
      <c r="H239" s="26" t="str">
        <f>IF($AO239,"#N/D",IFERROR(INDEX(Olimpiadas!$B$2:$B$61,MATCH($AM239,Olimpiadas!$C$2:$C$61,0)),"#N/D"))</f>
        <v>#N/D</v>
      </c>
      <c r="I239" s="26" t="str">
        <f>IF($AO239,"#N/D",IFERROR(INDEX(Olimpiadas!$A$2:$A$61,MATCH($AM239,Olimpiadas!$C$2:$C$61,0)),"#N/D"))</f>
        <v>#N/D</v>
      </c>
      <c r="J239" s="26" t="str">
        <f>IF($AO239,"#N/D",IFERROR(INDEX(Minculturas!$A$2:$A$48,MATCH($AM239,Minculturas!$C$2:$C$48,0)),"#N/D"))</f>
        <v>#N/D</v>
      </c>
      <c r="K239" s="26" t="str">
        <f>IF($AO239,"#N/D",IFERROR(INDEX(Minculturas!$B$2:$B$48,MATCH($AM239,Minculturas!$C$2:$C$48,0)),"#N/D"))</f>
        <v>#N/D</v>
      </c>
      <c r="L239" s="27">
        <v>4</v>
      </c>
      <c r="M239" s="28">
        <v>0</v>
      </c>
      <c r="N239" s="28">
        <v>2</v>
      </c>
      <c r="O239" s="28">
        <v>0</v>
      </c>
      <c r="P239" s="28">
        <v>0</v>
      </c>
      <c r="Q239" s="28">
        <v>1</v>
      </c>
      <c r="R239" s="28">
        <v>0</v>
      </c>
      <c r="S239" s="28">
        <v>1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7">
        <f>SUM(Tabla43[[#This Row],[Edificación colapsada]:[Robo]])</f>
        <v>4</v>
      </c>
      <c r="AF239" s="28"/>
      <c r="AG239" s="28"/>
      <c r="AH239" s="28">
        <v>26.8</v>
      </c>
      <c r="AI239" s="28"/>
      <c r="AJ239" s="28"/>
      <c r="AK239" s="29" t="s">
        <v>114</v>
      </c>
      <c r="AM239" t="str">
        <f t="shared" si="12"/>
        <v>la dorada</v>
      </c>
      <c r="AN239" t="str">
        <f t="shared" si="13"/>
        <v>caldas</v>
      </c>
      <c r="AO239" t="b">
        <f t="shared" si="14"/>
        <v>0</v>
      </c>
      <c r="AP239" t="str">
        <f t="shared" si="15"/>
        <v>la dorada</v>
      </c>
    </row>
    <row r="240" spans="1:42" ht="25.5" customHeight="1" x14ac:dyDescent="0.25">
      <c r="A240" s="33" t="s">
        <v>835</v>
      </c>
      <c r="B240" s="11" t="s">
        <v>10</v>
      </c>
      <c r="C240" s="34" t="s">
        <v>112</v>
      </c>
      <c r="D240" s="69"/>
      <c r="E240" s="11" t="s">
        <v>836</v>
      </c>
      <c r="F240" s="25" t="str">
        <f>IFERROR(IF($AO240,INDEX(cpe!$C$2:$C$307,MATCH($AP240,cpe!$F$2:$F$307,0)),INDEX(cpe!$C$2:$C$307,MATCH($AP240,cpe!$D$2:$D$307,0))),"#N/D")</f>
        <v>#N/D</v>
      </c>
      <c r="G240" s="25" t="str">
        <f>IFERROR(IF($AO240,INDEX(cpe!$B$2:$B$307,MATCH($AP240,cpe!$F$2:$F$307,0)),INDEX(cpe!$B$2:$B$307,MATCH($AP240,cpe!$D$2:$D$307,0))),"#N/D")</f>
        <v>#N/D</v>
      </c>
      <c r="H240" s="26" t="str">
        <f>IF($AO240,"#N/D",IFERROR(INDEX(Olimpiadas!$B$2:$B$61,MATCH($AM240,Olimpiadas!$C$2:$C$61,0)),"#N/D"))</f>
        <v>La Estrella</v>
      </c>
      <c r="I240" s="26" t="str">
        <f>IF($AO240,"#N/D",IFERROR(INDEX(Olimpiadas!$A$2:$A$61,MATCH($AM240,Olimpiadas!$C$2:$C$61,0)),"#N/D"))</f>
        <v>INSTITUCIÓN EDUCATIVA JOSÉ ANTONIO GALÁN</v>
      </c>
      <c r="J240" s="26" t="str">
        <f>IF($AO240,"#N/D",IFERROR(INDEX(Minculturas!$A$2:$A$48,MATCH($AM240,Minculturas!$C$2:$C$48,0)),"#N/D"))</f>
        <v>#N/D</v>
      </c>
      <c r="K240" s="26" t="str">
        <f>IF($AO240,"#N/D",IFERROR(INDEX(Minculturas!$B$2:$B$48,MATCH($AM240,Minculturas!$C$2:$C$48,0)),"#N/D"))</f>
        <v>#N/D</v>
      </c>
      <c r="L240" s="27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7">
        <f>SUM(Tabla43[[#This Row],[Edificación colapsada]:[Robo]])</f>
        <v>0</v>
      </c>
      <c r="AF240" s="28"/>
      <c r="AG240" s="28"/>
      <c r="AH240" s="28">
        <v>9.1999999999999993</v>
      </c>
      <c r="AI240" s="28"/>
      <c r="AJ240" s="28"/>
      <c r="AK240" s="29" t="s">
        <v>657</v>
      </c>
      <c r="AM240" t="str">
        <f t="shared" si="12"/>
        <v>la estrella</v>
      </c>
      <c r="AN240" t="str">
        <f t="shared" si="13"/>
        <v>antioquia</v>
      </c>
      <c r="AO240" t="b">
        <f t="shared" si="14"/>
        <v>0</v>
      </c>
      <c r="AP240" t="str">
        <f t="shared" si="15"/>
        <v>la estrella</v>
      </c>
    </row>
    <row r="241" spans="1:42" ht="25.5" customHeight="1" x14ac:dyDescent="0.25">
      <c r="A241" s="33" t="s">
        <v>636</v>
      </c>
      <c r="B241" s="11" t="s">
        <v>24</v>
      </c>
      <c r="C241" s="34" t="s">
        <v>112</v>
      </c>
      <c r="D241" s="69"/>
      <c r="E241" s="11" t="s">
        <v>637</v>
      </c>
      <c r="F241" s="25" t="str">
        <f>IFERROR(IF($AO241,INDEX(cpe!$C$2:$C$307,MATCH($AP241,cpe!$F$2:$F$307,0)),INDEX(cpe!$C$2:$C$307,MATCH($AP241,cpe!$D$2:$D$307,0))),"#N/D")</f>
        <v>#N/D</v>
      </c>
      <c r="G241" s="25" t="str">
        <f>IFERROR(IF($AO241,INDEX(cpe!$B$2:$B$307,MATCH($AP241,cpe!$F$2:$F$307,0)),INDEX(cpe!$B$2:$B$307,MATCH($AP241,cpe!$D$2:$D$307,0))),"#N/D")</f>
        <v>#N/D</v>
      </c>
      <c r="H241" s="26" t="str">
        <f>IF($AO241,"#N/D",IFERROR(INDEX(Olimpiadas!$B$2:$B$61,MATCH($AM241,Olimpiadas!$C$2:$C$61,0)),"#N/D"))</f>
        <v>#N/D</v>
      </c>
      <c r="I241" s="26" t="str">
        <f>IF($AO241,"#N/D",IFERROR(INDEX(Olimpiadas!$A$2:$A$61,MATCH($AM241,Olimpiadas!$C$2:$C$61,0)),"#N/D"))</f>
        <v>#N/D</v>
      </c>
      <c r="J241" s="26" t="str">
        <f>IF($AO241,"#N/D",IFERROR(INDEX(Minculturas!$A$2:$A$48,MATCH($AM241,Minculturas!$C$2:$C$48,0)),"#N/D"))</f>
        <v>#N/D</v>
      </c>
      <c r="K241" s="26" t="str">
        <f>IF($AO241,"#N/D",IFERROR(INDEX(Minculturas!$B$2:$B$48,MATCH($AM241,Minculturas!$C$2:$C$48,0)),"#N/D"))</f>
        <v>#N/D</v>
      </c>
      <c r="L241" s="27">
        <v>1</v>
      </c>
      <c r="M241" s="28">
        <v>0</v>
      </c>
      <c r="N241" s="28">
        <v>0</v>
      </c>
      <c r="O241" s="28">
        <v>0</v>
      </c>
      <c r="P241" s="28">
        <v>0</v>
      </c>
      <c r="Q241" s="28">
        <v>1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7">
        <f>SUM(Tabla43[[#This Row],[Edificación colapsada]:[Robo]])</f>
        <v>1</v>
      </c>
      <c r="AF241" s="38" t="s">
        <v>638</v>
      </c>
      <c r="AG241" s="38" t="s">
        <v>638</v>
      </c>
      <c r="AH241" s="28">
        <v>34.5</v>
      </c>
      <c r="AI241" s="28"/>
      <c r="AJ241" s="28"/>
      <c r="AK241" s="29" t="s">
        <v>114</v>
      </c>
      <c r="AM241" t="str">
        <f t="shared" si="12"/>
        <v>la merced</v>
      </c>
      <c r="AN241" t="str">
        <f t="shared" si="13"/>
        <v>caldas</v>
      </c>
      <c r="AO241" t="b">
        <f t="shared" si="14"/>
        <v>0</v>
      </c>
      <c r="AP241" t="str">
        <f t="shared" si="15"/>
        <v>la merced</v>
      </c>
    </row>
    <row r="242" spans="1:42" ht="25.5" customHeight="1" x14ac:dyDescent="0.25">
      <c r="A242" s="33" t="s">
        <v>1207</v>
      </c>
      <c r="B242" s="11" t="s">
        <v>35</v>
      </c>
      <c r="C242" s="34" t="s">
        <v>112</v>
      </c>
      <c r="D242" s="69"/>
      <c r="E242" s="11" t="s">
        <v>1208</v>
      </c>
      <c r="F242" s="25" t="str">
        <f>IFERROR(IF($AO242,INDEX(cpe!$C$2:$C$307,MATCH($AP242,cpe!$F$2:$F$307,0)),INDEX(cpe!$C$2:$C$307,MATCH($AP242,cpe!$D$2:$D$307,0))),"#N/D")</f>
        <v>#N/D</v>
      </c>
      <c r="G242" s="25" t="str">
        <f>IFERROR(IF($AO242,INDEX(cpe!$B$2:$B$307,MATCH($AP242,cpe!$F$2:$F$307,0)),INDEX(cpe!$B$2:$B$307,MATCH($AP242,cpe!$D$2:$D$307,0))),"#N/D")</f>
        <v>#N/D</v>
      </c>
      <c r="H242" s="26" t="str">
        <f>IF($AO242,"#N/D",IFERROR(INDEX(Olimpiadas!$B$2:$B$61,MATCH($AM242,Olimpiadas!$C$2:$C$61,0)),"#N/D"))</f>
        <v>#N/D</v>
      </c>
      <c r="I242" s="26" t="str">
        <f>IF($AO242,"#N/D",IFERROR(INDEX(Olimpiadas!$A$2:$A$61,MATCH($AM242,Olimpiadas!$C$2:$C$61,0)),"#N/D"))</f>
        <v>#N/D</v>
      </c>
      <c r="J242" s="26" t="str">
        <f>IF($AO242,"#N/D",IFERROR(INDEX(Minculturas!$A$2:$A$48,MATCH($AM242,Minculturas!$C$2:$C$48,0)),"#N/D"))</f>
        <v>#N/D</v>
      </c>
      <c r="K242" s="26" t="str">
        <f>IF($AO242,"#N/D",IFERROR(INDEX(Minculturas!$B$2:$B$48,MATCH($AM242,Minculturas!$C$2:$C$48,0)),"#N/D"))</f>
        <v>#N/D</v>
      </c>
      <c r="L242" s="27">
        <v>1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1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7">
        <f>SUM(Tabla43[[#This Row],[Edificación colapsada]:[Robo]])</f>
        <v>1</v>
      </c>
      <c r="AF242" s="28"/>
      <c r="AG242" s="28"/>
      <c r="AH242" s="28">
        <v>18.3</v>
      </c>
      <c r="AI242" s="28"/>
      <c r="AJ242" s="28"/>
      <c r="AK242" s="29" t="s">
        <v>114</v>
      </c>
      <c r="AM242" t="str">
        <f t="shared" si="12"/>
        <v>la mesa</v>
      </c>
      <c r="AN242" t="str">
        <f t="shared" si="13"/>
        <v>cundinamarca</v>
      </c>
      <c r="AO242" t="b">
        <f t="shared" si="14"/>
        <v>0</v>
      </c>
      <c r="AP242" t="str">
        <f t="shared" si="15"/>
        <v>la mesa</v>
      </c>
    </row>
    <row r="243" spans="1:42" ht="25.5" customHeight="1" x14ac:dyDescent="0.25">
      <c r="A243" s="33" t="s">
        <v>1198</v>
      </c>
      <c r="B243" s="11" t="s">
        <v>35</v>
      </c>
      <c r="C243" s="34" t="s">
        <v>112</v>
      </c>
      <c r="D243" s="69"/>
      <c r="E243" s="11" t="s">
        <v>1199</v>
      </c>
      <c r="F243" s="25" t="str">
        <f>IFERROR(IF($AO243,INDEX(cpe!$C$2:$C$307,MATCH($AP243,cpe!$F$2:$F$307,0)),INDEX(cpe!$C$2:$C$307,MATCH($AP243,cpe!$D$2:$D$307,0))),"#N/D")</f>
        <v>Institucion Etnoeducativa #11</v>
      </c>
      <c r="G243" s="25" t="str">
        <f>IFERROR(IF($AO243,INDEX(cpe!$B$2:$B$307,MATCH($AP243,cpe!$F$2:$F$307,0)),INDEX(cpe!$B$2:$B$307,MATCH($AP243,cpe!$D$2:$D$307,0))),"#N/D")</f>
        <v>La Palma</v>
      </c>
      <c r="H243" s="26" t="str">
        <f>IF($AO243,"#N/D",IFERROR(INDEX(Olimpiadas!$B$2:$B$61,MATCH($AM243,Olimpiadas!$C$2:$C$61,0)),"#N/D"))</f>
        <v>#N/D</v>
      </c>
      <c r="I243" s="26" t="str">
        <f>IF($AO243,"#N/D",IFERROR(INDEX(Olimpiadas!$A$2:$A$61,MATCH($AM243,Olimpiadas!$C$2:$C$61,0)),"#N/D"))</f>
        <v>#N/D</v>
      </c>
      <c r="J243" s="26" t="str">
        <f>IF($AO243,"#N/D",IFERROR(INDEX(Minculturas!$A$2:$A$48,MATCH($AM243,Minculturas!$C$2:$C$48,0)),"#N/D"))</f>
        <v>#N/D</v>
      </c>
      <c r="K243" s="26" t="str">
        <f>IF($AO243,"#N/D",IFERROR(INDEX(Minculturas!$B$2:$B$48,MATCH($AM243,Minculturas!$C$2:$C$48,0)),"#N/D"))</f>
        <v>#N/D</v>
      </c>
      <c r="L243" s="27">
        <v>1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1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7">
        <f>SUM(Tabla43[[#This Row],[Edificación colapsada]:[Robo]])</f>
        <v>1</v>
      </c>
      <c r="AF243" s="28"/>
      <c r="AG243" s="28"/>
      <c r="AH243" s="28">
        <v>39.4</v>
      </c>
      <c r="AI243" s="28"/>
      <c r="AJ243" s="28"/>
      <c r="AK243" s="29" t="s">
        <v>114</v>
      </c>
      <c r="AM243" t="str">
        <f t="shared" si="12"/>
        <v>la palma</v>
      </c>
      <c r="AN243" t="str">
        <f t="shared" si="13"/>
        <v>cundinamarca</v>
      </c>
      <c r="AO243" t="b">
        <f t="shared" si="14"/>
        <v>0</v>
      </c>
      <c r="AP243" t="str">
        <f t="shared" si="15"/>
        <v>la palma</v>
      </c>
    </row>
    <row r="244" spans="1:42" ht="25.5" customHeight="1" x14ac:dyDescent="0.25">
      <c r="A244" s="33" t="s">
        <v>1063</v>
      </c>
      <c r="B244" s="11" t="s">
        <v>35</v>
      </c>
      <c r="C244" s="34" t="s">
        <v>112</v>
      </c>
      <c r="D244" s="69"/>
      <c r="E244" s="11" t="s">
        <v>1064</v>
      </c>
      <c r="F244" s="25" t="str">
        <f>IFERROR(IF($AO244,INDEX(cpe!$C$2:$C$307,MATCH($AP244,cpe!$F$2:$F$307,0)),INDEX(cpe!$C$2:$C$307,MATCH($AP244,cpe!$D$2:$D$307,0))),"#N/D")</f>
        <v>#N/D</v>
      </c>
      <c r="G244" s="25" t="str">
        <f>IFERROR(IF($AO244,INDEX(cpe!$B$2:$B$307,MATCH($AP244,cpe!$F$2:$F$307,0)),INDEX(cpe!$B$2:$B$307,MATCH($AP244,cpe!$D$2:$D$307,0))),"#N/D")</f>
        <v>#N/D</v>
      </c>
      <c r="H244" s="26" t="str">
        <f>IF($AO244,"#N/D",IFERROR(INDEX(Olimpiadas!$B$2:$B$61,MATCH($AM244,Olimpiadas!$C$2:$C$61,0)),"#N/D"))</f>
        <v>#N/D</v>
      </c>
      <c r="I244" s="26" t="str">
        <f>IF($AO244,"#N/D",IFERROR(INDEX(Olimpiadas!$A$2:$A$61,MATCH($AM244,Olimpiadas!$C$2:$C$61,0)),"#N/D"))</f>
        <v>#N/D</v>
      </c>
      <c r="J244" s="26" t="str">
        <f>IF($AO244,"#N/D",IFERROR(INDEX(Minculturas!$A$2:$A$48,MATCH($AM244,Minculturas!$C$2:$C$48,0)),"#N/D"))</f>
        <v>#N/D</v>
      </c>
      <c r="K244" s="26" t="str">
        <f>IF($AO244,"#N/D",IFERROR(INDEX(Minculturas!$B$2:$B$48,MATCH($AM244,Minculturas!$C$2:$C$48,0)),"#N/D"))</f>
        <v>#N/D</v>
      </c>
      <c r="L244" s="27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7">
        <f>SUM(Tabla43[[#This Row],[Edificación colapsada]:[Robo]])</f>
        <v>0</v>
      </c>
      <c r="AF244" s="28"/>
      <c r="AG244" s="28"/>
      <c r="AH244" s="28">
        <v>50.3</v>
      </c>
      <c r="AI244" s="28"/>
      <c r="AJ244" s="28"/>
      <c r="AK244" s="29" t="s">
        <v>246</v>
      </c>
      <c r="AM244" t="str">
        <f t="shared" si="12"/>
        <v>la pena</v>
      </c>
      <c r="AN244" t="str">
        <f t="shared" si="13"/>
        <v>cundinamarca</v>
      </c>
      <c r="AO244" t="b">
        <f t="shared" si="14"/>
        <v>0</v>
      </c>
      <c r="AP244" t="str">
        <f t="shared" si="15"/>
        <v>la pena</v>
      </c>
    </row>
    <row r="245" spans="1:42" ht="25.5" customHeight="1" x14ac:dyDescent="0.25">
      <c r="A245" s="33" t="s">
        <v>190</v>
      </c>
      <c r="B245" s="11" t="s">
        <v>10</v>
      </c>
      <c r="C245" s="34" t="s">
        <v>112</v>
      </c>
      <c r="D245" s="69"/>
      <c r="E245" s="11" t="s">
        <v>191</v>
      </c>
      <c r="F245" s="25" t="str">
        <f>IFERROR(IF($AO245,INDEX(cpe!$C$2:$C$307,MATCH($AP245,cpe!$F$2:$F$307,0)),INDEX(cpe!$C$2:$C$307,MATCH($AP245,cpe!$D$2:$D$307,0))),"#N/D")</f>
        <v>#N/D</v>
      </c>
      <c r="G245" s="25" t="str">
        <f>IFERROR(IF($AO245,INDEX(cpe!$B$2:$B$307,MATCH($AP245,cpe!$F$2:$F$307,0)),INDEX(cpe!$B$2:$B$307,MATCH($AP245,cpe!$D$2:$D$307,0))),"#N/D")</f>
        <v>#N/D</v>
      </c>
      <c r="H245" s="26" t="str">
        <f>IF($AO245,"#N/D",IFERROR(INDEX(Olimpiadas!$B$2:$B$61,MATCH($AM245,Olimpiadas!$C$2:$C$61,0)),"#N/D"))</f>
        <v>#N/D</v>
      </c>
      <c r="I245" s="26" t="str">
        <f>IF($AO245,"#N/D",IFERROR(INDEX(Olimpiadas!$A$2:$A$61,MATCH($AM245,Olimpiadas!$C$2:$C$61,0)),"#N/D"))</f>
        <v>#N/D</v>
      </c>
      <c r="J245" s="26" t="str">
        <f>IF($AO245,"#N/D",IFERROR(INDEX(Minculturas!$A$2:$A$48,MATCH($AM245,Minculturas!$C$2:$C$48,0)),"#N/D"))</f>
        <v>#N/D</v>
      </c>
      <c r="K245" s="26" t="str">
        <f>IF($AO245,"#N/D",IFERROR(INDEX(Minculturas!$B$2:$B$48,MATCH($AM245,Minculturas!$C$2:$C$48,0)),"#N/D"))</f>
        <v>#N/D</v>
      </c>
      <c r="L245" s="27">
        <v>7</v>
      </c>
      <c r="M245" s="28">
        <v>0</v>
      </c>
      <c r="N245" s="28">
        <v>2</v>
      </c>
      <c r="O245" s="28">
        <v>0</v>
      </c>
      <c r="P245" s="28">
        <v>0</v>
      </c>
      <c r="Q245" s="28">
        <v>4</v>
      </c>
      <c r="R245" s="28">
        <v>0</v>
      </c>
      <c r="S245" s="28">
        <v>0</v>
      </c>
      <c r="T245" s="28">
        <v>1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7">
        <f>SUM(Tabla43[[#This Row],[Edificación colapsada]:[Robo]])</f>
        <v>7</v>
      </c>
      <c r="AF245" s="28"/>
      <c r="AG245" s="28"/>
      <c r="AH245" s="28">
        <v>31.2</v>
      </c>
      <c r="AI245" s="28"/>
      <c r="AJ245" s="28"/>
      <c r="AK245" s="29" t="s">
        <v>114</v>
      </c>
      <c r="AM245" t="str">
        <f t="shared" si="12"/>
        <v>la pintada</v>
      </c>
      <c r="AN245" t="str">
        <f t="shared" si="13"/>
        <v>antioquia</v>
      </c>
      <c r="AO245" t="b">
        <f t="shared" si="14"/>
        <v>0</v>
      </c>
      <c r="AP245" t="str">
        <f t="shared" si="15"/>
        <v>la pintada</v>
      </c>
    </row>
    <row r="246" spans="1:42" ht="25.5" customHeight="1" x14ac:dyDescent="0.25">
      <c r="A246" s="33" t="s">
        <v>133</v>
      </c>
      <c r="B246" s="11" t="s">
        <v>37</v>
      </c>
      <c r="C246" s="34" t="s">
        <v>112</v>
      </c>
      <c r="D246" s="69"/>
      <c r="E246" s="11" t="s">
        <v>134</v>
      </c>
      <c r="F246" s="25" t="str">
        <f>IFERROR(IF($AO246,INDEX(cpe!$C$2:$C$307,MATCH($AP246,cpe!$F$2:$F$307,0)),INDEX(cpe!$C$2:$C$307,MATCH($AP246,cpe!$D$2:$D$307,0))),"#N/D")</f>
        <v>Institucion Educativa Zaragoza Tamarindo</v>
      </c>
      <c r="G246" s="25" t="str">
        <f>IFERROR(IF($AO246,INDEX(cpe!$B$2:$B$307,MATCH($AP246,cpe!$F$2:$F$307,0)),INDEX(cpe!$B$2:$B$307,MATCH($AP246,cpe!$D$2:$D$307,0))),"#N/D")</f>
        <v>La Plata</v>
      </c>
      <c r="H246" s="26" t="str">
        <f>IF($AO246,"#N/D",IFERROR(INDEX(Olimpiadas!$B$2:$B$61,MATCH($AM246,Olimpiadas!$C$2:$C$61,0)),"#N/D"))</f>
        <v>La Plata</v>
      </c>
      <c r="I246" s="26" t="str">
        <f>IF($AO246,"#N/D",IFERROR(INDEX(Olimpiadas!$A$2:$A$61,MATCH($AM246,Olimpiadas!$C$2:$C$61,0)),"#N/D"))</f>
        <v>INSTITUCIÓN EDUCATIVA EL CARMELO</v>
      </c>
      <c r="J246" s="26" t="str">
        <f>IF($AO246,"#N/D",IFERROR(INDEX(Minculturas!$A$2:$A$48,MATCH($AM246,Minculturas!$C$2:$C$48,0)),"#N/D"))</f>
        <v>#N/D</v>
      </c>
      <c r="K246" s="26" t="str">
        <f>IF($AO246,"#N/D",IFERROR(INDEX(Minculturas!$B$2:$B$48,MATCH($AM246,Minculturas!$C$2:$C$48,0)),"#N/D"))</f>
        <v>#N/D</v>
      </c>
      <c r="L246" s="27">
        <v>5</v>
      </c>
      <c r="M246" s="28">
        <v>0</v>
      </c>
      <c r="N246" s="28">
        <v>0</v>
      </c>
      <c r="O246" s="28">
        <v>3</v>
      </c>
      <c r="P246" s="28">
        <v>0</v>
      </c>
      <c r="Q246" s="28">
        <v>2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7">
        <f>SUM(Tabla43[[#This Row],[Edificación colapsada]:[Robo]])</f>
        <v>5</v>
      </c>
      <c r="AF246" s="28" t="s">
        <v>135</v>
      </c>
      <c r="AG246" s="28" t="s">
        <v>136</v>
      </c>
      <c r="AH246" s="28">
        <v>42.5</v>
      </c>
      <c r="AI246" s="28"/>
      <c r="AJ246" s="28"/>
      <c r="AK246" s="29" t="s">
        <v>114</v>
      </c>
      <c r="AM246" t="str">
        <f t="shared" si="12"/>
        <v>la plata</v>
      </c>
      <c r="AN246" t="str">
        <f t="shared" si="13"/>
        <v>huila</v>
      </c>
      <c r="AO246" t="b">
        <f t="shared" si="14"/>
        <v>0</v>
      </c>
      <c r="AP246" t="str">
        <f t="shared" si="15"/>
        <v>la plata</v>
      </c>
    </row>
    <row r="247" spans="1:42" ht="25.5" customHeight="1" x14ac:dyDescent="0.25">
      <c r="A247" s="33" t="s">
        <v>682</v>
      </c>
      <c r="B247" s="11" t="s">
        <v>28</v>
      </c>
      <c r="C247" s="34" t="s">
        <v>112</v>
      </c>
      <c r="D247" s="69"/>
      <c r="E247" s="11" t="s">
        <v>683</v>
      </c>
      <c r="F247" s="25" t="str">
        <f>IFERROR(IF($AO247,INDEX(cpe!$C$2:$C$307,MATCH($AP247,cpe!$F$2:$F$307,0)),INDEX(cpe!$C$2:$C$307,MATCH($AP247,cpe!$D$2:$D$307,0))),"#N/D")</f>
        <v>#N/D</v>
      </c>
      <c r="G247" s="25" t="str">
        <f>IFERROR(IF($AO247,INDEX(cpe!$B$2:$B$307,MATCH($AP247,cpe!$F$2:$F$307,0)),INDEX(cpe!$B$2:$B$307,MATCH($AP247,cpe!$D$2:$D$307,0))),"#N/D")</f>
        <v>#N/D</v>
      </c>
      <c r="H247" s="26" t="str">
        <f>IF($AO247,"#N/D",IFERROR(INDEX(Olimpiadas!$B$2:$B$61,MATCH($AM247,Olimpiadas!$C$2:$C$61,0)),"#N/D"))</f>
        <v>#N/D</v>
      </c>
      <c r="I247" s="26" t="str">
        <f>IF($AO247,"#N/D",IFERROR(INDEX(Olimpiadas!$A$2:$A$61,MATCH($AM247,Olimpiadas!$C$2:$C$61,0)),"#N/D"))</f>
        <v>#N/D</v>
      </c>
      <c r="J247" s="26" t="str">
        <f>IF($AO247,"#N/D",IFERROR(INDEX(Minculturas!$A$2:$A$48,MATCH($AM247,Minculturas!$C$2:$C$48,0)),"#N/D"))</f>
        <v>#N/D</v>
      </c>
      <c r="K247" s="26" t="str">
        <f>IF($AO247,"#N/D",IFERROR(INDEX(Minculturas!$B$2:$B$48,MATCH($AM247,Minculturas!$C$2:$C$48,0)),"#N/D"))</f>
        <v>#N/D</v>
      </c>
      <c r="L247" s="27">
        <v>1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1</v>
      </c>
      <c r="AA247" s="28">
        <v>0</v>
      </c>
      <c r="AB247" s="28">
        <v>0</v>
      </c>
      <c r="AC247" s="28">
        <v>0</v>
      </c>
      <c r="AD247" s="28">
        <v>0</v>
      </c>
      <c r="AE247" s="27">
        <f>SUM(Tabla43[[#This Row],[Edificación colapsada]:[Robo]])</f>
        <v>1</v>
      </c>
      <c r="AF247" s="28"/>
      <c r="AG247" s="28"/>
      <c r="AH247" s="28">
        <v>53.6</v>
      </c>
      <c r="AI247" s="28"/>
      <c r="AJ247" s="28"/>
      <c r="AK247" s="29" t="s">
        <v>114</v>
      </c>
      <c r="AM247" t="str">
        <f t="shared" si="12"/>
        <v>la sierra</v>
      </c>
      <c r="AN247" t="str">
        <f t="shared" si="13"/>
        <v>cauca</v>
      </c>
      <c r="AO247" t="b">
        <f t="shared" si="14"/>
        <v>0</v>
      </c>
      <c r="AP247" t="str">
        <f t="shared" si="15"/>
        <v>la sierra</v>
      </c>
    </row>
    <row r="248" spans="1:42" ht="25.5" customHeight="1" x14ac:dyDescent="0.25">
      <c r="A248" s="33" t="s">
        <v>155</v>
      </c>
      <c r="B248" s="11" t="s">
        <v>44</v>
      </c>
      <c r="C248" s="34" t="s">
        <v>112</v>
      </c>
      <c r="D248" s="69"/>
      <c r="E248" s="11" t="s">
        <v>156</v>
      </c>
      <c r="F248" s="25" t="str">
        <f>IFERROR(IF($AO248,INDEX(cpe!$C$2:$C$307,MATCH($AP248,cpe!$F$2:$F$307,0)),INDEX(cpe!$C$2:$C$307,MATCH($AP248,cpe!$D$2:$D$307,0))),"#N/D")</f>
        <v>Centro Educativo Puerto Lucas Margen Derecha</v>
      </c>
      <c r="G248" s="25" t="str">
        <f>IFERROR(IF($AO248,INDEX(cpe!$B$2:$B$307,MATCH($AP248,cpe!$F$2:$F$307,0)),INDEX(cpe!$B$2:$B$307,MATCH($AP248,cpe!$D$2:$D$307,0))),"#N/D")</f>
        <v>La Tebaida</v>
      </c>
      <c r="H248" s="26" t="str">
        <f>IF($AO248,"#N/D",IFERROR(INDEX(Olimpiadas!$B$2:$B$61,MATCH($AM248,Olimpiadas!$C$2:$C$61,0)),"#N/D"))</f>
        <v>#N/D</v>
      </c>
      <c r="I248" s="26" t="str">
        <f>IF($AO248,"#N/D",IFERROR(INDEX(Olimpiadas!$A$2:$A$61,MATCH($AM248,Olimpiadas!$C$2:$C$61,0)),"#N/D"))</f>
        <v>#N/D</v>
      </c>
      <c r="J248" s="26" t="str">
        <f>IF($AO248,"#N/D",IFERROR(INDEX(Minculturas!$A$2:$A$48,MATCH($AM248,Minculturas!$C$2:$C$48,0)),"#N/D"))</f>
        <v>#N/D</v>
      </c>
      <c r="K248" s="26" t="str">
        <f>IF($AO248,"#N/D",IFERROR(INDEX(Minculturas!$B$2:$B$48,MATCH($AM248,Minculturas!$C$2:$C$48,0)),"#N/D"))</f>
        <v>#N/D</v>
      </c>
      <c r="L248" s="27">
        <v>13</v>
      </c>
      <c r="M248" s="28">
        <v>0</v>
      </c>
      <c r="N248" s="28">
        <v>3</v>
      </c>
      <c r="O248" s="28">
        <v>2</v>
      </c>
      <c r="P248" s="28">
        <v>1</v>
      </c>
      <c r="Q248" s="28">
        <v>0</v>
      </c>
      <c r="R248" s="28">
        <v>0</v>
      </c>
      <c r="S248" s="28">
        <v>4</v>
      </c>
      <c r="T248" s="28">
        <v>1</v>
      </c>
      <c r="U248" s="28">
        <v>0</v>
      </c>
      <c r="V248" s="28">
        <v>0</v>
      </c>
      <c r="W248" s="28">
        <v>0</v>
      </c>
      <c r="X248" s="28">
        <v>0</v>
      </c>
      <c r="Y248" s="28">
        <v>2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7">
        <f>SUM(Tabla43[[#This Row],[Edificación colapsada]:[Robo]])</f>
        <v>13</v>
      </c>
      <c r="AF248" s="28" t="s">
        <v>157</v>
      </c>
      <c r="AG248" s="28" t="s">
        <v>158</v>
      </c>
      <c r="AH248" s="28">
        <v>27.4</v>
      </c>
      <c r="AI248" s="28"/>
      <c r="AJ248" s="28"/>
      <c r="AK248" s="29" t="s">
        <v>114</v>
      </c>
      <c r="AM248" t="str">
        <f t="shared" si="12"/>
        <v>la tebaida</v>
      </c>
      <c r="AN248" t="str">
        <f t="shared" si="13"/>
        <v>quindio</v>
      </c>
      <c r="AO248" t="b">
        <f t="shared" si="14"/>
        <v>0</v>
      </c>
      <c r="AP248" t="str">
        <f t="shared" si="15"/>
        <v>la tebaida</v>
      </c>
    </row>
    <row r="249" spans="1:42" ht="25.5" customHeight="1" x14ac:dyDescent="0.25">
      <c r="A249" s="33" t="s">
        <v>378</v>
      </c>
      <c r="B249" s="11" t="s">
        <v>10</v>
      </c>
      <c r="C249" s="34" t="s">
        <v>112</v>
      </c>
      <c r="D249" s="69"/>
      <c r="E249" s="11" t="s">
        <v>379</v>
      </c>
      <c r="F249" s="25" t="str">
        <f>IFERROR(IF($AO249,INDEX(cpe!$C$2:$C$307,MATCH($AP249,cpe!$F$2:$F$307,0)),INDEX(cpe!$C$2:$C$307,MATCH($AP249,cpe!$D$2:$D$307,0))),"#N/D")</f>
        <v>#N/D</v>
      </c>
      <c r="G249" s="25" t="str">
        <f>IFERROR(IF($AO249,INDEX(cpe!$B$2:$B$307,MATCH($AP249,cpe!$F$2:$F$307,0)),INDEX(cpe!$B$2:$B$307,MATCH($AP249,cpe!$D$2:$D$307,0))),"#N/D")</f>
        <v>#N/D</v>
      </c>
      <c r="H249" s="26" t="str">
        <f>IF($AO249,"#N/D",IFERROR(INDEX(Olimpiadas!$B$2:$B$61,MATCH($AM249,Olimpiadas!$C$2:$C$61,0)),"#N/D"))</f>
        <v>#N/D</v>
      </c>
      <c r="I249" s="26" t="str">
        <f>IF($AO249,"#N/D",IFERROR(INDEX(Olimpiadas!$A$2:$A$61,MATCH($AM249,Olimpiadas!$C$2:$C$61,0)),"#N/D"))</f>
        <v>#N/D</v>
      </c>
      <c r="J249" s="26" t="str">
        <f>IF($AO249,"#N/D",IFERROR(INDEX(Minculturas!$A$2:$A$48,MATCH($AM249,Minculturas!$C$2:$C$48,0)),"#N/D"))</f>
        <v>#N/D</v>
      </c>
      <c r="K249" s="26" t="str">
        <f>IF($AO249,"#N/D",IFERROR(INDEX(Minculturas!$B$2:$B$48,MATCH($AM249,Minculturas!$C$2:$C$48,0)),"#N/D"))</f>
        <v>#N/D</v>
      </c>
      <c r="L249" s="27">
        <v>3</v>
      </c>
      <c r="M249" s="28">
        <v>0</v>
      </c>
      <c r="N249" s="28">
        <v>2</v>
      </c>
      <c r="O249" s="28">
        <v>0</v>
      </c>
      <c r="P249" s="28">
        <v>0</v>
      </c>
      <c r="Q249" s="28">
        <v>0</v>
      </c>
      <c r="R249" s="28">
        <v>1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7">
        <f>SUM(Tabla43[[#This Row],[Edificación colapsada]:[Robo]])</f>
        <v>3</v>
      </c>
      <c r="AF249" s="28"/>
      <c r="AG249" s="28"/>
      <c r="AH249" s="28">
        <v>23</v>
      </c>
      <c r="AI249" s="28"/>
      <c r="AJ249" s="28"/>
      <c r="AK249" s="29" t="s">
        <v>114</v>
      </c>
      <c r="AM249" t="str">
        <f t="shared" si="12"/>
        <v>la union</v>
      </c>
      <c r="AN249" t="str">
        <f t="shared" si="13"/>
        <v>antioquia</v>
      </c>
      <c r="AO249" t="b">
        <f t="shared" si="14"/>
        <v>1</v>
      </c>
      <c r="AP249" t="str">
        <f t="shared" si="15"/>
        <v>la union|antioquia</v>
      </c>
    </row>
    <row r="250" spans="1:42" ht="25.5" customHeight="1" x14ac:dyDescent="0.25">
      <c r="A250" s="33" t="s">
        <v>684</v>
      </c>
      <c r="B250" s="11" t="s">
        <v>28</v>
      </c>
      <c r="C250" s="34" t="s">
        <v>112</v>
      </c>
      <c r="D250" s="69"/>
      <c r="E250" s="11" t="s">
        <v>685</v>
      </c>
      <c r="F250" s="25" t="str">
        <f>IFERROR(IF($AO250,INDEX(cpe!$C$2:$C$307,MATCH($AP250,cpe!$F$2:$F$307,0)),INDEX(cpe!$C$2:$C$307,MATCH($AP250,cpe!$D$2:$D$307,0))),"#N/D")</f>
        <v>#N/D</v>
      </c>
      <c r="G250" s="25" t="str">
        <f>IFERROR(IF($AO250,INDEX(cpe!$B$2:$B$307,MATCH($AP250,cpe!$F$2:$F$307,0)),INDEX(cpe!$B$2:$B$307,MATCH($AP250,cpe!$D$2:$D$307,0))),"#N/D")</f>
        <v>#N/D</v>
      </c>
      <c r="H250" s="26" t="str">
        <f>IF($AO250,"#N/D",IFERROR(INDEX(Olimpiadas!$B$2:$B$61,MATCH($AM250,Olimpiadas!$C$2:$C$61,0)),"#N/D"))</f>
        <v>#N/D</v>
      </c>
      <c r="I250" s="26" t="str">
        <f>IF($AO250,"#N/D",IFERROR(INDEX(Olimpiadas!$A$2:$A$61,MATCH($AM250,Olimpiadas!$C$2:$C$61,0)),"#N/D"))</f>
        <v>#N/D</v>
      </c>
      <c r="J250" s="26" t="str">
        <f>IF($AO250,"#N/D",IFERROR(INDEX(Minculturas!$A$2:$A$48,MATCH($AM250,Minculturas!$C$2:$C$48,0)),"#N/D"))</f>
        <v>#N/D</v>
      </c>
      <c r="K250" s="26" t="str">
        <f>IF($AO250,"#N/D",IFERROR(INDEX(Minculturas!$B$2:$B$48,MATCH($AM250,Minculturas!$C$2:$C$48,0)),"#N/D"))</f>
        <v>#N/D</v>
      </c>
      <c r="L250" s="27">
        <v>1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1</v>
      </c>
      <c r="AA250" s="28">
        <v>0</v>
      </c>
      <c r="AB250" s="28">
        <v>0</v>
      </c>
      <c r="AC250" s="28">
        <v>0</v>
      </c>
      <c r="AD250" s="28">
        <v>0</v>
      </c>
      <c r="AE250" s="27">
        <f>SUM(Tabla43[[#This Row],[Edificación colapsada]:[Robo]])</f>
        <v>1</v>
      </c>
      <c r="AF250" s="28"/>
      <c r="AG250" s="28"/>
      <c r="AH250" s="28">
        <v>56.7</v>
      </c>
      <c r="AI250" s="28"/>
      <c r="AJ250" s="28"/>
      <c r="AK250" s="29" t="s">
        <v>114</v>
      </c>
      <c r="AM250" t="str">
        <f t="shared" si="12"/>
        <v>la vega</v>
      </c>
      <c r="AN250" t="str">
        <f t="shared" si="13"/>
        <v>cauca</v>
      </c>
      <c r="AO250" t="b">
        <f t="shared" si="14"/>
        <v>0</v>
      </c>
      <c r="AP250" t="str">
        <f t="shared" si="15"/>
        <v>la vega</v>
      </c>
    </row>
    <row r="251" spans="1:42" ht="25.5" customHeight="1" x14ac:dyDescent="0.25">
      <c r="A251" s="33" t="s">
        <v>1009</v>
      </c>
      <c r="B251" s="11" t="s">
        <v>49</v>
      </c>
      <c r="C251" s="34" t="s">
        <v>112</v>
      </c>
      <c r="D251" s="69"/>
      <c r="E251" s="11" t="s">
        <v>1010</v>
      </c>
      <c r="F251" s="25" t="str">
        <f>IFERROR(IF($AO251,INDEX(cpe!$C$2:$C$307,MATCH($AP251,cpe!$F$2:$F$307,0)),INDEX(cpe!$C$2:$C$307,MATCH($AP251,cpe!$D$2:$D$307,0))),"#N/D")</f>
        <v>Institucion Educativa Rural Departamental Limoncitos</v>
      </c>
      <c r="G251" s="25" t="str">
        <f>IFERROR(IF($AO251,INDEX(cpe!$B$2:$B$307,MATCH($AP251,cpe!$F$2:$F$307,0)),INDEX(cpe!$B$2:$B$307,MATCH($AP251,cpe!$D$2:$D$307,0))),"#N/D")</f>
        <v>La Victoria</v>
      </c>
      <c r="H251" s="26" t="str">
        <f>IF($AO251,"#N/D",IFERROR(INDEX(Olimpiadas!$B$2:$B$61,MATCH($AM251,Olimpiadas!$C$2:$C$61,0)),"#N/D"))</f>
        <v>#N/D</v>
      </c>
      <c r="I251" s="26" t="str">
        <f>IF($AO251,"#N/D",IFERROR(INDEX(Olimpiadas!$A$2:$A$61,MATCH($AM251,Olimpiadas!$C$2:$C$61,0)),"#N/D"))</f>
        <v>#N/D</v>
      </c>
      <c r="J251" s="26" t="str">
        <f>IF($AO251,"#N/D",IFERROR(INDEX(Minculturas!$A$2:$A$48,MATCH($AM251,Minculturas!$C$2:$C$48,0)),"#N/D"))</f>
        <v>#N/D</v>
      </c>
      <c r="K251" s="26" t="str">
        <f>IF($AO251,"#N/D",IFERROR(INDEX(Minculturas!$B$2:$B$48,MATCH($AM251,Minculturas!$C$2:$C$48,0)),"#N/D"))</f>
        <v>#N/D</v>
      </c>
      <c r="L251" s="27">
        <v>12</v>
      </c>
      <c r="M251" s="28">
        <v>0</v>
      </c>
      <c r="N251" s="28">
        <v>2</v>
      </c>
      <c r="O251" s="28">
        <v>1</v>
      </c>
      <c r="P251" s="28">
        <v>1</v>
      </c>
      <c r="Q251" s="28">
        <v>1</v>
      </c>
      <c r="R251" s="28">
        <v>1</v>
      </c>
      <c r="S251" s="28">
        <v>4</v>
      </c>
      <c r="T251" s="28">
        <v>0</v>
      </c>
      <c r="U251" s="28">
        <v>0</v>
      </c>
      <c r="V251" s="28">
        <v>0</v>
      </c>
      <c r="W251" s="28">
        <v>1</v>
      </c>
      <c r="X251" s="28">
        <v>0</v>
      </c>
      <c r="Y251" s="28">
        <v>0</v>
      </c>
      <c r="Z251" s="28">
        <v>0</v>
      </c>
      <c r="AA251" s="28">
        <v>1</v>
      </c>
      <c r="AB251" s="28">
        <v>0</v>
      </c>
      <c r="AC251" s="28">
        <v>0</v>
      </c>
      <c r="AD251" s="28">
        <v>0</v>
      </c>
      <c r="AE251" s="27">
        <f>SUM(Tabla43[[#This Row],[Edificación colapsada]:[Robo]])</f>
        <v>12</v>
      </c>
      <c r="AF251" s="28" t="s">
        <v>1011</v>
      </c>
      <c r="AG251" s="28" t="s">
        <v>790</v>
      </c>
      <c r="AH251" s="28">
        <v>22.9</v>
      </c>
      <c r="AI251" s="28"/>
      <c r="AJ251" s="28"/>
      <c r="AK251" s="29" t="s">
        <v>114</v>
      </c>
      <c r="AM251" t="str">
        <f t="shared" si="12"/>
        <v>la victoria</v>
      </c>
      <c r="AN251" t="str">
        <f t="shared" si="13"/>
        <v>valle del cauca</v>
      </c>
      <c r="AO251" t="b">
        <f t="shared" si="14"/>
        <v>0</v>
      </c>
      <c r="AP251" t="str">
        <f t="shared" si="15"/>
        <v>la victoria</v>
      </c>
    </row>
    <row r="252" spans="1:42" ht="25.5" customHeight="1" x14ac:dyDescent="0.25">
      <c r="A252" s="33" t="s">
        <v>1065</v>
      </c>
      <c r="B252" s="11" t="s">
        <v>45</v>
      </c>
      <c r="C252" s="34" t="s">
        <v>112</v>
      </c>
      <c r="D252" s="69"/>
      <c r="E252" s="11" t="s">
        <v>1066</v>
      </c>
      <c r="F252" s="25" t="str">
        <f>IFERROR(IF($AO252,INDEX(cpe!$C$2:$C$307,MATCH($AP252,cpe!$F$2:$F$307,0)),INDEX(cpe!$C$2:$C$307,MATCH($AP252,cpe!$D$2:$D$307,0))),"#N/D")</f>
        <v>#N/D</v>
      </c>
      <c r="G252" s="25" t="str">
        <f>IFERROR(IF($AO252,INDEX(cpe!$B$2:$B$307,MATCH($AP252,cpe!$F$2:$F$307,0)),INDEX(cpe!$B$2:$B$307,MATCH($AP252,cpe!$D$2:$D$307,0))),"#N/D")</f>
        <v>#N/D</v>
      </c>
      <c r="H252" s="26" t="str">
        <f>IF($AO252,"#N/D",IFERROR(INDEX(Olimpiadas!$B$2:$B$61,MATCH($AM252,Olimpiadas!$C$2:$C$61,0)),"#N/D"))</f>
        <v>#N/D</v>
      </c>
      <c r="I252" s="26" t="str">
        <f>IF($AO252,"#N/D",IFERROR(INDEX(Olimpiadas!$A$2:$A$61,MATCH($AM252,Olimpiadas!$C$2:$C$61,0)),"#N/D"))</f>
        <v>#N/D</v>
      </c>
      <c r="J252" s="26" t="str">
        <f>IF($AO252,"#N/D",IFERROR(INDEX(Minculturas!$A$2:$A$48,MATCH($AM252,Minculturas!$C$2:$C$48,0)),"#N/D"))</f>
        <v>#N/D</v>
      </c>
      <c r="K252" s="26" t="str">
        <f>IF($AO252,"#N/D",IFERROR(INDEX(Minculturas!$B$2:$B$48,MATCH($AM252,Minculturas!$C$2:$C$48,0)),"#N/D"))</f>
        <v>#N/D</v>
      </c>
      <c r="L252" s="27">
        <v>13</v>
      </c>
      <c r="M252" s="28">
        <v>1</v>
      </c>
      <c r="N252" s="28">
        <v>1</v>
      </c>
      <c r="O252" s="28">
        <v>0</v>
      </c>
      <c r="P252" s="28">
        <v>1</v>
      </c>
      <c r="Q252" s="28">
        <v>2</v>
      </c>
      <c r="R252" s="28">
        <v>1</v>
      </c>
      <c r="S252" s="28">
        <v>4</v>
      </c>
      <c r="T252" s="28">
        <v>0</v>
      </c>
      <c r="U252" s="28">
        <v>0</v>
      </c>
      <c r="V252" s="28">
        <v>1</v>
      </c>
      <c r="W252" s="28">
        <v>1</v>
      </c>
      <c r="X252" s="28">
        <v>0</v>
      </c>
      <c r="Y252" s="28">
        <v>1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7">
        <f>SUM(Tabla43[[#This Row],[Edificación colapsada]:[Robo]])</f>
        <v>13</v>
      </c>
      <c r="AF252" s="28" t="s">
        <v>1067</v>
      </c>
      <c r="AG252" s="28" t="s">
        <v>1068</v>
      </c>
      <c r="AH252" s="28">
        <v>19</v>
      </c>
      <c r="AI252" s="28"/>
      <c r="AJ252" s="28"/>
      <c r="AK252" s="29" t="s">
        <v>114</v>
      </c>
      <c r="AM252" t="str">
        <f t="shared" si="12"/>
        <v>la virginia</v>
      </c>
      <c r="AN252" t="str">
        <f t="shared" si="13"/>
        <v>risaralda</v>
      </c>
      <c r="AO252" t="b">
        <f t="shared" si="14"/>
        <v>0</v>
      </c>
      <c r="AP252" t="str">
        <f t="shared" si="15"/>
        <v>la virginia</v>
      </c>
    </row>
    <row r="253" spans="1:42" ht="25.5" customHeight="1" x14ac:dyDescent="0.25">
      <c r="A253" s="33" t="s">
        <v>560</v>
      </c>
      <c r="B253" s="11" t="s">
        <v>48</v>
      </c>
      <c r="C253" s="34" t="s">
        <v>112</v>
      </c>
      <c r="D253" s="69"/>
      <c r="E253" s="11" t="s">
        <v>561</v>
      </c>
      <c r="F253" s="25" t="str">
        <f>IFERROR(IF($AO253,INDEX(cpe!$C$2:$C$307,MATCH($AP253,cpe!$F$2:$F$307,0)),INDEX(cpe!$C$2:$C$307,MATCH($AP253,cpe!$D$2:$D$307,0))),"#N/D")</f>
        <v>#N/D</v>
      </c>
      <c r="G253" s="25" t="str">
        <f>IFERROR(IF($AO253,INDEX(cpe!$B$2:$B$307,MATCH($AP253,cpe!$F$2:$F$307,0)),INDEX(cpe!$B$2:$B$307,MATCH($AP253,cpe!$D$2:$D$307,0))),"#N/D")</f>
        <v>#N/D</v>
      </c>
      <c r="H253" s="26" t="str">
        <f>IF($AO253,"#N/D",IFERROR(INDEX(Olimpiadas!$B$2:$B$61,MATCH($AM253,Olimpiadas!$C$2:$C$61,0)),"#N/D"))</f>
        <v>#N/D</v>
      </c>
      <c r="I253" s="26" t="str">
        <f>IF($AO253,"#N/D",IFERROR(INDEX(Olimpiadas!$A$2:$A$61,MATCH($AM253,Olimpiadas!$C$2:$C$61,0)),"#N/D"))</f>
        <v>#N/D</v>
      </c>
      <c r="J253" s="26" t="str">
        <f>IF($AO253,"#N/D",IFERROR(INDEX(Minculturas!$A$2:$A$48,MATCH($AM253,Minculturas!$C$2:$C$48,0)),"#N/D"))</f>
        <v>#N/D</v>
      </c>
      <c r="K253" s="26" t="str">
        <f>IF($AO253,"#N/D",IFERROR(INDEX(Minculturas!$B$2:$B$48,MATCH($AM253,Minculturas!$C$2:$C$48,0)),"#N/D"))</f>
        <v>#N/D</v>
      </c>
      <c r="L253" s="27">
        <v>1</v>
      </c>
      <c r="M253" s="28">
        <v>0</v>
      </c>
      <c r="N253" s="28">
        <v>1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7">
        <f>SUM(Tabla43[[#This Row],[Edificación colapsada]:[Robo]])</f>
        <v>1</v>
      </c>
      <c r="AF253" s="28"/>
      <c r="AG253" s="28"/>
      <c r="AH253" s="28">
        <v>28.1</v>
      </c>
      <c r="AI253" s="28"/>
      <c r="AJ253" s="28"/>
      <c r="AK253" s="29" t="s">
        <v>114</v>
      </c>
      <c r="AM253" t="str">
        <f t="shared" si="12"/>
        <v>lerida</v>
      </c>
      <c r="AN253" t="str">
        <f t="shared" si="13"/>
        <v>tolima</v>
      </c>
      <c r="AO253" t="b">
        <f t="shared" si="14"/>
        <v>0</v>
      </c>
      <c r="AP253" t="str">
        <f t="shared" si="15"/>
        <v>lerida</v>
      </c>
    </row>
    <row r="254" spans="1:42" ht="25.5" customHeight="1" x14ac:dyDescent="0.25">
      <c r="A254" s="33" t="s">
        <v>492</v>
      </c>
      <c r="B254" s="11" t="s">
        <v>48</v>
      </c>
      <c r="C254" s="34" t="s">
        <v>112</v>
      </c>
      <c r="D254" s="69"/>
      <c r="E254" s="11" t="s">
        <v>493</v>
      </c>
      <c r="F254" s="25" t="str">
        <f>IFERROR(IF($AO254,INDEX(cpe!$C$2:$C$307,MATCH($AP254,cpe!$F$2:$F$307,0)),INDEX(cpe!$C$2:$C$307,MATCH($AP254,cpe!$D$2:$D$307,0))),"#N/D")</f>
        <v>Institucion Educativa Municipal Tecnico de Accion Comunal</v>
      </c>
      <c r="G254" s="25" t="str">
        <f>IFERROR(IF($AO254,INDEX(cpe!$B$2:$B$307,MATCH($AP254,cpe!$F$2:$F$307,0)),INDEX(cpe!$B$2:$B$307,MATCH($AP254,cpe!$D$2:$D$307,0))),"#N/D")</f>
        <v>Líbano</v>
      </c>
      <c r="H254" s="26" t="str">
        <f>IF($AO254,"#N/D",IFERROR(INDEX(Olimpiadas!$B$2:$B$61,MATCH($AM254,Olimpiadas!$C$2:$C$61,0)),"#N/D"))</f>
        <v>#N/D</v>
      </c>
      <c r="I254" s="26" t="str">
        <f>IF($AO254,"#N/D",IFERROR(INDEX(Olimpiadas!$A$2:$A$61,MATCH($AM254,Olimpiadas!$C$2:$C$61,0)),"#N/D"))</f>
        <v>#N/D</v>
      </c>
      <c r="J254" s="26" t="str">
        <f>IF($AO254,"#N/D",IFERROR(INDEX(Minculturas!$A$2:$A$48,MATCH($AM254,Minculturas!$C$2:$C$48,0)),"#N/D"))</f>
        <v>#N/D</v>
      </c>
      <c r="K254" s="26" t="str">
        <f>IF($AO254,"#N/D",IFERROR(INDEX(Minculturas!$B$2:$B$48,MATCH($AM254,Minculturas!$C$2:$C$48,0)),"#N/D"))</f>
        <v>#N/D</v>
      </c>
      <c r="L254" s="27">
        <v>1</v>
      </c>
      <c r="M254" s="28">
        <v>0</v>
      </c>
      <c r="N254" s="28">
        <v>0</v>
      </c>
      <c r="O254" s="28">
        <v>0</v>
      </c>
      <c r="P254" s="28">
        <v>1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7">
        <f>SUM(Tabla43[[#This Row],[Edificación colapsada]:[Robo]])</f>
        <v>1</v>
      </c>
      <c r="AF254" s="28"/>
      <c r="AG254" s="28"/>
      <c r="AH254" s="28">
        <v>33.4</v>
      </c>
      <c r="AI254" s="28"/>
      <c r="AJ254" s="28"/>
      <c r="AK254" s="29" t="s">
        <v>114</v>
      </c>
      <c r="AM254" t="str">
        <f t="shared" si="12"/>
        <v>libano</v>
      </c>
      <c r="AN254" t="str">
        <f t="shared" si="13"/>
        <v>tolima</v>
      </c>
      <c r="AO254" t="b">
        <f t="shared" si="14"/>
        <v>0</v>
      </c>
      <c r="AP254" t="str">
        <f t="shared" si="15"/>
        <v>libano</v>
      </c>
    </row>
    <row r="255" spans="1:42" ht="25.5" customHeight="1" x14ac:dyDescent="0.25">
      <c r="A255" s="33" t="s">
        <v>929</v>
      </c>
      <c r="B255" s="11" t="s">
        <v>10</v>
      </c>
      <c r="C255" s="34" t="s">
        <v>112</v>
      </c>
      <c r="D255" s="69"/>
      <c r="E255" s="11" t="s">
        <v>930</v>
      </c>
      <c r="F255" s="25" t="str">
        <f>IFERROR(IF($AO255,INDEX(cpe!$C$2:$C$307,MATCH($AP255,cpe!$F$2:$F$307,0)),INDEX(cpe!$C$2:$C$307,MATCH($AP255,cpe!$D$2:$D$307,0))),"#N/D")</f>
        <v>#N/D</v>
      </c>
      <c r="G255" s="25" t="str">
        <f>IFERROR(IF($AO255,INDEX(cpe!$B$2:$B$307,MATCH($AP255,cpe!$F$2:$F$307,0)),INDEX(cpe!$B$2:$B$307,MATCH($AP255,cpe!$D$2:$D$307,0))),"#N/D")</f>
        <v>#N/D</v>
      </c>
      <c r="H255" s="26" t="str">
        <f>IF($AO255,"#N/D",IFERROR(INDEX(Olimpiadas!$B$2:$B$61,MATCH($AM255,Olimpiadas!$C$2:$C$61,0)),"#N/D"))</f>
        <v>#N/D</v>
      </c>
      <c r="I255" s="26" t="str">
        <f>IF($AO255,"#N/D",IFERROR(INDEX(Olimpiadas!$A$2:$A$61,MATCH($AM255,Olimpiadas!$C$2:$C$61,0)),"#N/D"))</f>
        <v>#N/D</v>
      </c>
      <c r="J255" s="26" t="str">
        <f>IF($AO255,"#N/D",IFERROR(INDEX(Minculturas!$A$2:$A$48,MATCH($AM255,Minculturas!$C$2:$C$48,0)),"#N/D"))</f>
        <v>#N/D</v>
      </c>
      <c r="K255" s="26" t="str">
        <f>IF($AO255,"#N/D",IFERROR(INDEX(Minculturas!$B$2:$B$48,MATCH($AM255,Minculturas!$C$2:$C$48,0)),"#N/D"))</f>
        <v>#N/D</v>
      </c>
      <c r="L255" s="27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7">
        <f>SUM(Tabla43[[#This Row],[Edificación colapsada]:[Robo]])</f>
        <v>0</v>
      </c>
      <c r="AF255" s="28"/>
      <c r="AG255" s="28"/>
      <c r="AH255" s="28">
        <v>43.3</v>
      </c>
      <c r="AI255" s="28"/>
      <c r="AJ255" s="28"/>
      <c r="AK255" s="29" t="s">
        <v>365</v>
      </c>
      <c r="AM255" t="str">
        <f t="shared" si="12"/>
        <v>liborina</v>
      </c>
      <c r="AN255" t="str">
        <f t="shared" si="13"/>
        <v>antioquia</v>
      </c>
      <c r="AO255" t="b">
        <f t="shared" si="14"/>
        <v>0</v>
      </c>
      <c r="AP255" t="str">
        <f t="shared" si="15"/>
        <v>liborina</v>
      </c>
    </row>
    <row r="256" spans="1:42" ht="25.5" customHeight="1" x14ac:dyDescent="0.25">
      <c r="A256" s="33" t="s">
        <v>429</v>
      </c>
      <c r="B256" s="11" t="s">
        <v>31</v>
      </c>
      <c r="C256" s="34" t="s">
        <v>112</v>
      </c>
      <c r="D256" s="69"/>
      <c r="E256" s="11" t="s">
        <v>430</v>
      </c>
      <c r="F256" s="25" t="str">
        <f>IFERROR(IF($AO256,INDEX(cpe!$C$2:$C$307,MATCH($AP256,cpe!$F$2:$F$307,0)),INDEX(cpe!$C$2:$C$307,MATCH($AP256,cpe!$D$2:$D$307,0))),"#N/D")</f>
        <v>#N/D</v>
      </c>
      <c r="G256" s="25" t="str">
        <f>IFERROR(IF($AO256,INDEX(cpe!$B$2:$B$307,MATCH($AP256,cpe!$F$2:$F$307,0)),INDEX(cpe!$B$2:$B$307,MATCH($AP256,cpe!$D$2:$D$307,0))),"#N/D")</f>
        <v>#N/D</v>
      </c>
      <c r="H256" s="26" t="str">
        <f>IF($AO256,"#N/D",IFERROR(INDEX(Olimpiadas!$B$2:$B$61,MATCH($AM256,Olimpiadas!$C$2:$C$61,0)),"#N/D"))</f>
        <v>#N/D</v>
      </c>
      <c r="I256" s="26" t="str">
        <f>IF($AO256,"#N/D",IFERROR(INDEX(Olimpiadas!$A$2:$A$61,MATCH($AM256,Olimpiadas!$C$2:$C$61,0)),"#N/D"))</f>
        <v>#N/D</v>
      </c>
      <c r="J256" s="26" t="str">
        <f>IF($AO256,"#N/D",IFERROR(INDEX(Minculturas!$A$2:$A$48,MATCH($AM256,Minculturas!$C$2:$C$48,0)),"#N/D"))</f>
        <v>#N/D</v>
      </c>
      <c r="K256" s="26" t="str">
        <f>IF($AO256,"#N/D",IFERROR(INDEX(Minculturas!$B$2:$B$48,MATCH($AM256,Minculturas!$C$2:$C$48,0)),"#N/D"))</f>
        <v>#N/D</v>
      </c>
      <c r="L256" s="27">
        <v>2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1</v>
      </c>
      <c r="W256" s="28">
        <v>0</v>
      </c>
      <c r="X256" s="28">
        <v>1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7">
        <f>SUM(Tabla43[[#This Row],[Edificación colapsada]:[Robo]])</f>
        <v>2</v>
      </c>
      <c r="AF256" s="28" t="s">
        <v>431</v>
      </c>
      <c r="AG256" s="28" t="s">
        <v>201</v>
      </c>
      <c r="AH256" s="28">
        <v>74.400000000000006</v>
      </c>
      <c r="AI256" s="28"/>
      <c r="AJ256" s="28"/>
      <c r="AK256" s="29" t="s">
        <v>114</v>
      </c>
      <c r="AM256" t="str">
        <f t="shared" si="12"/>
        <v>lloro</v>
      </c>
      <c r="AN256" t="str">
        <f t="shared" si="13"/>
        <v>choco</v>
      </c>
      <c r="AO256" t="b">
        <f t="shared" si="14"/>
        <v>0</v>
      </c>
      <c r="AP256" t="str">
        <f t="shared" si="15"/>
        <v>lloro</v>
      </c>
    </row>
    <row r="257" spans="1:42" ht="25.5" customHeight="1" x14ac:dyDescent="0.25">
      <c r="A257" s="33" t="s">
        <v>686</v>
      </c>
      <c r="B257" s="11" t="s">
        <v>28</v>
      </c>
      <c r="C257" s="34" t="s">
        <v>112</v>
      </c>
      <c r="D257" s="69"/>
      <c r="E257" s="11" t="s">
        <v>687</v>
      </c>
      <c r="F257" s="25" t="str">
        <f>IFERROR(IF($AO257,INDEX(cpe!$C$2:$C$307,MATCH($AP257,cpe!$F$2:$F$307,0)),INDEX(cpe!$C$2:$C$307,MATCH($AP257,cpe!$D$2:$D$307,0))),"#N/D")</f>
        <v>#N/D</v>
      </c>
      <c r="G257" s="25" t="str">
        <f>IFERROR(IF($AO257,INDEX(cpe!$B$2:$B$307,MATCH($AP257,cpe!$F$2:$F$307,0)),INDEX(cpe!$B$2:$B$307,MATCH($AP257,cpe!$D$2:$D$307,0))),"#N/D")</f>
        <v>#N/D</v>
      </c>
      <c r="H257" s="26" t="str">
        <f>IF($AO257,"#N/D",IFERROR(INDEX(Olimpiadas!$B$2:$B$61,MATCH($AM257,Olimpiadas!$C$2:$C$61,0)),"#N/D"))</f>
        <v>#N/D</v>
      </c>
      <c r="I257" s="26" t="str">
        <f>IF($AO257,"#N/D",IFERROR(INDEX(Olimpiadas!$A$2:$A$61,MATCH($AM257,Olimpiadas!$C$2:$C$61,0)),"#N/D"))</f>
        <v>#N/D</v>
      </c>
      <c r="J257" s="26" t="str">
        <f>IF($AO257,"#N/D",IFERROR(INDEX(Minculturas!$A$2:$A$48,MATCH($AM257,Minculturas!$C$2:$C$48,0)),"#N/D"))</f>
        <v>#N/D</v>
      </c>
      <c r="K257" s="26" t="str">
        <f>IF($AO257,"#N/D",IFERROR(INDEX(Minculturas!$B$2:$B$48,MATCH($AM257,Minculturas!$C$2:$C$48,0)),"#N/D"))</f>
        <v>#N/D</v>
      </c>
      <c r="L257" s="27">
        <v>1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1</v>
      </c>
      <c r="AA257" s="28">
        <v>0</v>
      </c>
      <c r="AB257" s="28">
        <v>0</v>
      </c>
      <c r="AC257" s="28">
        <v>0</v>
      </c>
      <c r="AD257" s="28">
        <v>0</v>
      </c>
      <c r="AE257" s="27">
        <f>SUM(Tabla43[[#This Row],[Edificación colapsada]:[Robo]])</f>
        <v>1</v>
      </c>
      <c r="AF257" s="28"/>
      <c r="AG257" s="28"/>
      <c r="AH257" s="28">
        <v>81.2</v>
      </c>
      <c r="AI257" s="28"/>
      <c r="AJ257" s="28"/>
      <c r="AK257" s="29" t="s">
        <v>114</v>
      </c>
      <c r="AM257" t="str">
        <f t="shared" si="12"/>
        <v>lopez de micay</v>
      </c>
      <c r="AN257" t="str">
        <f t="shared" si="13"/>
        <v>cauca</v>
      </c>
      <c r="AO257" t="b">
        <f t="shared" si="14"/>
        <v>0</v>
      </c>
      <c r="AP257" t="str">
        <f t="shared" si="15"/>
        <v>lopez de micay</v>
      </c>
    </row>
    <row r="258" spans="1:42" ht="25.5" customHeight="1" x14ac:dyDescent="0.25">
      <c r="A258" s="33" t="s">
        <v>432</v>
      </c>
      <c r="B258" s="11" t="s">
        <v>41</v>
      </c>
      <c r="C258" s="34" t="s">
        <v>112</v>
      </c>
      <c r="D258" s="69"/>
      <c r="E258" s="11" t="s">
        <v>433</v>
      </c>
      <c r="F258" s="25" t="str">
        <f>IFERROR(IF($AO258,INDEX(cpe!$C$2:$C$307,MATCH($AP258,cpe!$F$2:$F$307,0)),INDEX(cpe!$C$2:$C$307,MATCH($AP258,cpe!$D$2:$D$307,0))),"#N/D")</f>
        <v>#N/D</v>
      </c>
      <c r="G258" s="25" t="str">
        <f>IFERROR(IF($AO258,INDEX(cpe!$B$2:$B$307,MATCH($AP258,cpe!$F$2:$F$307,0)),INDEX(cpe!$B$2:$B$307,MATCH($AP258,cpe!$D$2:$D$307,0))),"#N/D")</f>
        <v>#N/D</v>
      </c>
      <c r="H258" s="26" t="str">
        <f>IF($AO258,"#N/D",IFERROR(INDEX(Olimpiadas!$B$2:$B$61,MATCH($AM258,Olimpiadas!$C$2:$C$61,0)),"#N/D"))</f>
        <v>#N/D</v>
      </c>
      <c r="I258" s="26" t="str">
        <f>IF($AO258,"#N/D",IFERROR(INDEX(Olimpiadas!$A$2:$A$61,MATCH($AM258,Olimpiadas!$C$2:$C$61,0)),"#N/D"))</f>
        <v>#N/D</v>
      </c>
      <c r="J258" s="26" t="str">
        <f>IF($AO258,"#N/D",IFERROR(INDEX(Minculturas!$A$2:$A$48,MATCH($AM258,Minculturas!$C$2:$C$48,0)),"#N/D"))</f>
        <v>#N/D</v>
      </c>
      <c r="K258" s="26" t="str">
        <f>IF($AO258,"#N/D",IFERROR(INDEX(Minculturas!$B$2:$B$48,MATCH($AM258,Minculturas!$C$2:$C$48,0)),"#N/D"))</f>
        <v>#N/D</v>
      </c>
      <c r="L258" s="27">
        <v>1</v>
      </c>
      <c r="M258" s="28">
        <v>0</v>
      </c>
      <c r="N258" s="28">
        <v>0</v>
      </c>
      <c r="O258" s="28">
        <v>1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7">
        <f>SUM(Tabla43[[#This Row],[Edificación colapsada]:[Robo]])</f>
        <v>1</v>
      </c>
      <c r="AF258" s="28"/>
      <c r="AG258" s="28"/>
      <c r="AH258" s="28">
        <v>44.9</v>
      </c>
      <c r="AI258" s="28"/>
      <c r="AJ258" s="28"/>
      <c r="AK258" s="29" t="s">
        <v>114</v>
      </c>
      <c r="AM258" t="str">
        <f t="shared" ref="AM258:AM321" si="16">TRIM(SUBSTITUTE(SUBSTITUTE(SUBSTITUTE(SUBSTITUTE(SUBSTITUTE(SUBSTITUTE(SUBSTITUTE(SUBSTITUTE(SUBSTITUTE(LOWER(E258),"á","a"),"é","e"),"í","i"),"ó","o"),"ú","u"),"ñ","n"),"-"," "),","," "),"."," "))</f>
        <v>los andes</v>
      </c>
      <c r="AN258" t="str">
        <f t="shared" ref="AN258:AN321" si="17">TRIM(SUBSTITUTE(SUBSTITUTE(SUBSTITUTE(SUBSTITUTE(SUBSTITUTE(SUBSTITUTE(SUBSTITUTE(SUBSTITUTE(SUBSTITUTE(LOWER(B258),"á","a"),"é","e"),"í","i"),"ó","o"),"ú","u"),"ñ","n"),"-"," "),","," "),"."," "))</f>
        <v>narino</v>
      </c>
      <c r="AO258" t="b">
        <f t="shared" ref="AO258:AO321" si="18">COUNTIF($AM$2:$AM$433,AM258)&gt;COUNTIFS($AM$2:$AM$433,AM258,$AN$2:$AN$433,AN258)</f>
        <v>0</v>
      </c>
      <c r="AP258" t="str">
        <f t="shared" ref="AP258:AP321" si="19">IF(AO258,AM258&amp;"|"&amp;AN258,AM258)</f>
        <v>los andes</v>
      </c>
    </row>
    <row r="259" spans="1:42" ht="25.5" customHeight="1" x14ac:dyDescent="0.25">
      <c r="A259" s="33" t="s">
        <v>688</v>
      </c>
      <c r="B259" s="11" t="s">
        <v>42</v>
      </c>
      <c r="C259" s="34" t="s">
        <v>112</v>
      </c>
      <c r="D259" s="69"/>
      <c r="E259" s="11" t="s">
        <v>689</v>
      </c>
      <c r="F259" s="25" t="str">
        <f>IFERROR(IF($AO259,INDEX(cpe!$C$2:$C$307,MATCH($AP259,cpe!$F$2:$F$307,0)),INDEX(cpe!$C$2:$C$307,MATCH($AP259,cpe!$D$2:$D$307,0))),"#N/D")</f>
        <v>#N/D</v>
      </c>
      <c r="G259" s="25" t="str">
        <f>IFERROR(IF($AO259,INDEX(cpe!$B$2:$B$307,MATCH($AP259,cpe!$F$2:$F$307,0)),INDEX(cpe!$B$2:$B$307,MATCH($AP259,cpe!$D$2:$D$307,0))),"#N/D")</f>
        <v>#N/D</v>
      </c>
      <c r="H259" s="26" t="str">
        <f>IF($AO259,"#N/D",IFERROR(INDEX(Olimpiadas!$B$2:$B$61,MATCH($AM259,Olimpiadas!$C$2:$C$61,0)),"#N/D"))</f>
        <v>#N/D</v>
      </c>
      <c r="I259" s="26" t="str">
        <f>IF($AO259,"#N/D",IFERROR(INDEX(Olimpiadas!$A$2:$A$61,MATCH($AM259,Olimpiadas!$C$2:$C$61,0)),"#N/D"))</f>
        <v>#N/D</v>
      </c>
      <c r="J259" s="26" t="str">
        <f>IF($AO259,"#N/D",IFERROR(INDEX(Minculturas!$A$2:$A$48,MATCH($AM259,Minculturas!$C$2:$C$48,0)),"#N/D"))</f>
        <v>#N/D</v>
      </c>
      <c r="K259" s="26" t="str">
        <f>IF($AO259,"#N/D",IFERROR(INDEX(Minculturas!$B$2:$B$48,MATCH($AM259,Minculturas!$C$2:$C$48,0)),"#N/D"))</f>
        <v>#N/D</v>
      </c>
      <c r="L259" s="27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7">
        <f>SUM(Tabla43[[#This Row],[Edificación colapsada]:[Robo]])</f>
        <v>0</v>
      </c>
      <c r="AF259" s="28"/>
      <c r="AG259" s="28"/>
      <c r="AH259" s="28">
        <v>21.4</v>
      </c>
      <c r="AI259" s="28"/>
      <c r="AJ259" s="28"/>
      <c r="AK259" s="29" t="s">
        <v>246</v>
      </c>
      <c r="AM259" t="str">
        <f t="shared" si="16"/>
        <v>los patios</v>
      </c>
      <c r="AN259" t="str">
        <f t="shared" si="17"/>
        <v>norte de santander</v>
      </c>
      <c r="AO259" t="b">
        <f t="shared" si="18"/>
        <v>0</v>
      </c>
      <c r="AP259" t="str">
        <f t="shared" si="19"/>
        <v>los patios</v>
      </c>
    </row>
    <row r="260" spans="1:42" ht="25.5" customHeight="1" x14ac:dyDescent="0.25">
      <c r="A260" s="33" t="s">
        <v>434</v>
      </c>
      <c r="B260" s="11" t="s">
        <v>42</v>
      </c>
      <c r="C260" s="34" t="s">
        <v>112</v>
      </c>
      <c r="D260" s="69"/>
      <c r="E260" s="11" t="s">
        <v>435</v>
      </c>
      <c r="F260" s="25" t="str">
        <f>IFERROR(IF($AO260,INDEX(cpe!$C$2:$C$307,MATCH($AP260,cpe!$F$2:$F$307,0)),INDEX(cpe!$C$2:$C$307,MATCH($AP260,cpe!$D$2:$D$307,0))),"#N/D")</f>
        <v>#N/D</v>
      </c>
      <c r="G260" s="25" t="str">
        <f>IFERROR(IF($AO260,INDEX(cpe!$B$2:$B$307,MATCH($AP260,cpe!$F$2:$F$307,0)),INDEX(cpe!$B$2:$B$307,MATCH($AP260,cpe!$D$2:$D$307,0))),"#N/D")</f>
        <v>#N/D</v>
      </c>
      <c r="H260" s="26" t="str">
        <f>IF($AO260,"#N/D",IFERROR(INDEX(Olimpiadas!$B$2:$B$61,MATCH($AM260,Olimpiadas!$C$2:$C$61,0)),"#N/D"))</f>
        <v>#N/D</v>
      </c>
      <c r="I260" s="26" t="str">
        <f>IF($AO260,"#N/D",IFERROR(INDEX(Olimpiadas!$A$2:$A$61,MATCH($AM260,Olimpiadas!$C$2:$C$61,0)),"#N/D"))</f>
        <v>#N/D</v>
      </c>
      <c r="J260" s="26" t="str">
        <f>IF($AO260,"#N/D",IFERROR(INDEX(Minculturas!$A$2:$A$48,MATCH($AM260,Minculturas!$C$2:$C$48,0)),"#N/D"))</f>
        <v>#N/D</v>
      </c>
      <c r="K260" s="26" t="str">
        <f>IF($AO260,"#N/D",IFERROR(INDEX(Minculturas!$B$2:$B$48,MATCH($AM260,Minculturas!$C$2:$C$48,0)),"#N/D"))</f>
        <v>#N/D</v>
      </c>
      <c r="L260" s="27">
        <v>1</v>
      </c>
      <c r="M260" s="28">
        <v>0</v>
      </c>
      <c r="N260" s="28">
        <v>0</v>
      </c>
      <c r="O260" s="28">
        <v>0</v>
      </c>
      <c r="P260" s="28">
        <v>0</v>
      </c>
      <c r="Q260" s="28">
        <v>1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7">
        <f>SUM(Tabla43[[#This Row],[Edificación colapsada]:[Robo]])</f>
        <v>1</v>
      </c>
      <c r="AF260" s="28"/>
      <c r="AG260" s="28"/>
      <c r="AH260" s="28">
        <v>45.3</v>
      </c>
      <c r="AI260" s="28"/>
      <c r="AJ260" s="28"/>
      <c r="AK260" s="29" t="s">
        <v>114</v>
      </c>
      <c r="AM260" t="str">
        <f t="shared" si="16"/>
        <v>lourdes</v>
      </c>
      <c r="AN260" t="str">
        <f t="shared" si="17"/>
        <v>norte de santander</v>
      </c>
      <c r="AO260" t="b">
        <f t="shared" si="18"/>
        <v>0</v>
      </c>
      <c r="AP260" t="str">
        <f t="shared" si="19"/>
        <v>lourdes</v>
      </c>
    </row>
    <row r="261" spans="1:42" ht="25.5" customHeight="1" x14ac:dyDescent="0.25">
      <c r="A261" s="33" t="s">
        <v>931</v>
      </c>
      <c r="B261" s="11" t="s">
        <v>24</v>
      </c>
      <c r="C261" s="34" t="s">
        <v>112</v>
      </c>
      <c r="D261" s="69"/>
      <c r="E261" s="11" t="s">
        <v>932</v>
      </c>
      <c r="F261" s="25" t="str">
        <f>IFERROR(IF($AO261,INDEX(cpe!$C$2:$C$307,MATCH($AP261,cpe!$F$2:$F$307,0)),INDEX(cpe!$C$2:$C$307,MATCH($AP261,cpe!$D$2:$D$307,0))),"#N/D")</f>
        <v>#N/D</v>
      </c>
      <c r="G261" s="25" t="str">
        <f>IFERROR(IF($AO261,INDEX(cpe!$B$2:$B$307,MATCH($AP261,cpe!$F$2:$F$307,0)),INDEX(cpe!$B$2:$B$307,MATCH($AP261,cpe!$D$2:$D$307,0))),"#N/D")</f>
        <v>#N/D</v>
      </c>
      <c r="H261" s="26" t="str">
        <f>IF($AO261,"#N/D",IFERROR(INDEX(Olimpiadas!$B$2:$B$61,MATCH($AM261,Olimpiadas!$C$2:$C$61,0)),"#N/D"))</f>
        <v>#N/D</v>
      </c>
      <c r="I261" s="26" t="str">
        <f>IF($AO261,"#N/D",IFERROR(INDEX(Olimpiadas!$A$2:$A$61,MATCH($AM261,Olimpiadas!$C$2:$C$61,0)),"#N/D"))</f>
        <v>#N/D</v>
      </c>
      <c r="J261" s="26" t="str">
        <f>IF($AO261,"#N/D",IFERROR(INDEX(Minculturas!$A$2:$A$48,MATCH($AM261,Minculturas!$C$2:$C$48,0)),"#N/D"))</f>
        <v>#N/D</v>
      </c>
      <c r="K261" s="26" t="str">
        <f>IF($AO261,"#N/D",IFERROR(INDEX(Minculturas!$B$2:$B$48,MATCH($AM261,Minculturas!$C$2:$C$48,0)),"#N/D"))</f>
        <v>#N/D</v>
      </c>
      <c r="L261" s="27">
        <v>10</v>
      </c>
      <c r="M261" s="28">
        <v>0</v>
      </c>
      <c r="N261" s="28">
        <v>4</v>
      </c>
      <c r="O261" s="28">
        <v>0</v>
      </c>
      <c r="P261" s="28">
        <v>0</v>
      </c>
      <c r="Q261" s="28">
        <v>3</v>
      </c>
      <c r="R261" s="28">
        <v>1</v>
      </c>
      <c r="S261" s="28">
        <v>0</v>
      </c>
      <c r="T261" s="28">
        <v>1</v>
      </c>
      <c r="U261" s="28">
        <v>0</v>
      </c>
      <c r="V261" s="28">
        <v>0</v>
      </c>
      <c r="W261" s="28">
        <v>1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7">
        <f>SUM(Tabla43[[#This Row],[Edificación colapsada]:[Robo]])</f>
        <v>10</v>
      </c>
      <c r="AF261" s="28"/>
      <c r="AG261" s="28"/>
      <c r="AH261" s="28">
        <v>37.5</v>
      </c>
      <c r="AI261" s="28"/>
      <c r="AJ261" s="28"/>
      <c r="AK261" s="29" t="s">
        <v>114</v>
      </c>
      <c r="AM261" t="str">
        <f t="shared" si="16"/>
        <v>manzanares</v>
      </c>
      <c r="AN261" t="str">
        <f t="shared" si="17"/>
        <v>caldas</v>
      </c>
      <c r="AO261" t="b">
        <f t="shared" si="18"/>
        <v>0</v>
      </c>
      <c r="AP261" t="str">
        <f t="shared" si="19"/>
        <v>manzanares</v>
      </c>
    </row>
    <row r="262" spans="1:42" ht="25.5" customHeight="1" x14ac:dyDescent="0.25">
      <c r="A262" s="33" t="s">
        <v>1190</v>
      </c>
      <c r="B262" s="11" t="s">
        <v>10</v>
      </c>
      <c r="C262" s="34" t="s">
        <v>112</v>
      </c>
      <c r="D262" s="69"/>
      <c r="E262" s="11" t="s">
        <v>1191</v>
      </c>
      <c r="F262" s="25" t="str">
        <f>IFERROR(IF($AO262,INDEX(cpe!$C$2:$C$307,MATCH($AP262,cpe!$F$2:$F$307,0)),INDEX(cpe!$C$2:$C$307,MATCH($AP262,cpe!$D$2:$D$307,0))),"#N/D")</f>
        <v>#N/D</v>
      </c>
      <c r="G262" s="25" t="str">
        <f>IFERROR(IF($AO262,INDEX(cpe!$B$2:$B$307,MATCH($AP262,cpe!$F$2:$F$307,0)),INDEX(cpe!$B$2:$B$307,MATCH($AP262,cpe!$D$2:$D$307,0))),"#N/D")</f>
        <v>#N/D</v>
      </c>
      <c r="H262" s="26" t="str">
        <f>IF($AO262,"#N/D",IFERROR(INDEX(Olimpiadas!$B$2:$B$61,MATCH($AM262,Olimpiadas!$C$2:$C$61,0)),"#N/D"))</f>
        <v>#N/D</v>
      </c>
      <c r="I262" s="26" t="str">
        <f>IF($AO262,"#N/D",IFERROR(INDEX(Olimpiadas!$A$2:$A$61,MATCH($AM262,Olimpiadas!$C$2:$C$61,0)),"#N/D"))</f>
        <v>#N/D</v>
      </c>
      <c r="J262" s="26" t="str">
        <f>IF($AO262,"#N/D",IFERROR(INDEX(Minculturas!$A$2:$A$48,MATCH($AM262,Minculturas!$C$2:$C$48,0)),"#N/D"))</f>
        <v>#N/D</v>
      </c>
      <c r="K262" s="26" t="str">
        <f>IF($AO262,"#N/D",IFERROR(INDEX(Minculturas!$B$2:$B$48,MATCH($AM262,Minculturas!$C$2:$C$48,0)),"#N/D"))</f>
        <v>#N/D</v>
      </c>
      <c r="L262" s="27">
        <v>2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1</v>
      </c>
      <c r="X262" s="28">
        <v>0</v>
      </c>
      <c r="Y262" s="28">
        <v>0</v>
      </c>
      <c r="Z262" s="28">
        <v>1</v>
      </c>
      <c r="AA262" s="28">
        <v>0</v>
      </c>
      <c r="AB262" s="28">
        <v>0</v>
      </c>
      <c r="AC262" s="28">
        <v>0</v>
      </c>
      <c r="AD262" s="28">
        <v>0</v>
      </c>
      <c r="AE262" s="27">
        <f>SUM(Tabla43[[#This Row],[Edificación colapsada]:[Robo]])</f>
        <v>2</v>
      </c>
      <c r="AF262" s="28"/>
      <c r="AG262" s="28"/>
      <c r="AH262" s="28">
        <v>15.4</v>
      </c>
      <c r="AI262" s="28"/>
      <c r="AJ262" s="28"/>
      <c r="AK262" s="29" t="s">
        <v>114</v>
      </c>
      <c r="AM262" t="str">
        <f t="shared" si="16"/>
        <v>marinilla</v>
      </c>
      <c r="AN262" t="str">
        <f t="shared" si="17"/>
        <v>antioquia</v>
      </c>
      <c r="AO262" t="b">
        <f t="shared" si="18"/>
        <v>0</v>
      </c>
      <c r="AP262" t="str">
        <f t="shared" si="19"/>
        <v>marinilla</v>
      </c>
    </row>
    <row r="263" spans="1:42" ht="25.5" customHeight="1" x14ac:dyDescent="0.25">
      <c r="A263" s="33" t="s">
        <v>562</v>
      </c>
      <c r="B263" s="11" t="s">
        <v>48</v>
      </c>
      <c r="C263" s="34" t="s">
        <v>112</v>
      </c>
      <c r="D263" s="69"/>
      <c r="E263" s="11" t="s">
        <v>563</v>
      </c>
      <c r="F263" s="25" t="str">
        <f>IFERROR(IF($AO263,INDEX(cpe!$C$2:$C$307,MATCH($AP263,cpe!$F$2:$F$307,0)),INDEX(cpe!$C$2:$C$307,MATCH($AP263,cpe!$D$2:$D$307,0))),"#N/D")</f>
        <v>#N/D</v>
      </c>
      <c r="G263" s="25" t="str">
        <f>IFERROR(IF($AO263,INDEX(cpe!$B$2:$B$307,MATCH($AP263,cpe!$F$2:$F$307,0)),INDEX(cpe!$B$2:$B$307,MATCH($AP263,cpe!$D$2:$D$307,0))),"#N/D")</f>
        <v>#N/D</v>
      </c>
      <c r="H263" s="26" t="str">
        <f>IF($AO263,"#N/D",IFERROR(INDEX(Olimpiadas!$B$2:$B$61,MATCH($AM263,Olimpiadas!$C$2:$C$61,0)),"#N/D"))</f>
        <v>#N/D</v>
      </c>
      <c r="I263" s="26" t="str">
        <f>IF($AO263,"#N/D",IFERROR(INDEX(Olimpiadas!$A$2:$A$61,MATCH($AM263,Olimpiadas!$C$2:$C$61,0)),"#N/D"))</f>
        <v>#N/D</v>
      </c>
      <c r="J263" s="26" t="str">
        <f>IF($AO263,"#N/D",IFERROR(INDEX(Minculturas!$A$2:$A$48,MATCH($AM263,Minculturas!$C$2:$C$48,0)),"#N/D"))</f>
        <v>#N/D</v>
      </c>
      <c r="K263" s="26" t="str">
        <f>IF($AO263,"#N/D",IFERROR(INDEX(Minculturas!$B$2:$B$48,MATCH($AM263,Minculturas!$C$2:$C$48,0)),"#N/D"))</f>
        <v>#N/D</v>
      </c>
      <c r="L263" s="27">
        <v>1</v>
      </c>
      <c r="M263" s="28">
        <v>0</v>
      </c>
      <c r="N263" s="28">
        <v>1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7">
        <f>SUM(Tabla43[[#This Row],[Edificación colapsada]:[Robo]])</f>
        <v>1</v>
      </c>
      <c r="AF263" s="28"/>
      <c r="AG263" s="28"/>
      <c r="AH263" s="28">
        <v>27.1</v>
      </c>
      <c r="AI263" s="28"/>
      <c r="AJ263" s="28"/>
      <c r="AK263" s="29" t="s">
        <v>114</v>
      </c>
      <c r="AM263" t="str">
        <f t="shared" si="16"/>
        <v>mariquita</v>
      </c>
      <c r="AN263" t="str">
        <f t="shared" si="17"/>
        <v>tolima</v>
      </c>
      <c r="AO263" t="b">
        <f t="shared" si="18"/>
        <v>0</v>
      </c>
      <c r="AP263" t="str">
        <f t="shared" si="19"/>
        <v>mariquita</v>
      </c>
    </row>
    <row r="264" spans="1:42" ht="25.5" customHeight="1" x14ac:dyDescent="0.25">
      <c r="A264" s="33" t="s">
        <v>639</v>
      </c>
      <c r="B264" s="11" t="s">
        <v>24</v>
      </c>
      <c r="C264" s="34" t="s">
        <v>112</v>
      </c>
      <c r="D264" s="69"/>
      <c r="E264" s="11" t="s">
        <v>640</v>
      </c>
      <c r="F264" s="25" t="str">
        <f>IFERROR(IF($AO264,INDEX(cpe!$C$2:$C$307,MATCH($AP264,cpe!$F$2:$F$307,0)),INDEX(cpe!$C$2:$C$307,MATCH($AP264,cpe!$D$2:$D$307,0))),"#N/D")</f>
        <v>#N/D</v>
      </c>
      <c r="G264" s="25" t="str">
        <f>IFERROR(IF($AO264,INDEX(cpe!$B$2:$B$307,MATCH($AP264,cpe!$F$2:$F$307,0)),INDEX(cpe!$B$2:$B$307,MATCH($AP264,cpe!$D$2:$D$307,0))),"#N/D")</f>
        <v>#N/D</v>
      </c>
      <c r="H264" s="26" t="str">
        <f>IF($AO264,"#N/D",IFERROR(INDEX(Olimpiadas!$B$2:$B$61,MATCH($AM264,Olimpiadas!$C$2:$C$61,0)),"#N/D"))</f>
        <v>#N/D</v>
      </c>
      <c r="I264" s="26" t="str">
        <f>IF($AO264,"#N/D",IFERROR(INDEX(Olimpiadas!$A$2:$A$61,MATCH($AM264,Olimpiadas!$C$2:$C$61,0)),"#N/D"))</f>
        <v>#N/D</v>
      </c>
      <c r="J264" s="26" t="str">
        <f>IF($AO264,"#N/D",IFERROR(INDEX(Minculturas!$A$2:$A$48,MATCH($AM264,Minculturas!$C$2:$C$48,0)),"#N/D"))</f>
        <v>#N/D</v>
      </c>
      <c r="K264" s="26" t="str">
        <f>IF($AO264,"#N/D",IFERROR(INDEX(Minculturas!$B$2:$B$48,MATCH($AM264,Minculturas!$C$2:$C$48,0)),"#N/D"))</f>
        <v>#N/D</v>
      </c>
      <c r="L264" s="27">
        <v>2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1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1</v>
      </c>
      <c r="AA264" s="28">
        <v>0</v>
      </c>
      <c r="AB264" s="28">
        <v>0</v>
      </c>
      <c r="AC264" s="28">
        <v>0</v>
      </c>
      <c r="AD264" s="28">
        <v>0</v>
      </c>
      <c r="AE264" s="27">
        <f>SUM(Tabla43[[#This Row],[Edificación colapsada]:[Robo]])</f>
        <v>2</v>
      </c>
      <c r="AF264" s="28"/>
      <c r="AG264" s="28"/>
      <c r="AH264" s="28">
        <v>40.700000000000003</v>
      </c>
      <c r="AI264" s="28"/>
      <c r="AJ264" s="28"/>
      <c r="AK264" s="29" t="s">
        <v>114</v>
      </c>
      <c r="AM264" t="str">
        <f t="shared" si="16"/>
        <v>marquetalia</v>
      </c>
      <c r="AN264" t="str">
        <f t="shared" si="17"/>
        <v>caldas</v>
      </c>
      <c r="AO264" t="b">
        <f t="shared" si="18"/>
        <v>0</v>
      </c>
      <c r="AP264" t="str">
        <f t="shared" si="19"/>
        <v>marquetalia</v>
      </c>
    </row>
    <row r="265" spans="1:42" ht="25.5" customHeight="1" x14ac:dyDescent="0.25">
      <c r="A265" s="33" t="s">
        <v>535</v>
      </c>
      <c r="B265" s="11" t="s">
        <v>45</v>
      </c>
      <c r="C265" s="34" t="s">
        <v>112</v>
      </c>
      <c r="D265" s="69"/>
      <c r="E265" s="11" t="s">
        <v>536</v>
      </c>
      <c r="F265" s="25" t="str">
        <f>IFERROR(IF($AO265,INDEX(cpe!$C$2:$C$307,MATCH($AP265,cpe!$F$2:$F$307,0)),INDEX(cpe!$C$2:$C$307,MATCH($AP265,cpe!$D$2:$D$307,0))),"#N/D")</f>
        <v>#N/D</v>
      </c>
      <c r="G265" s="25" t="str">
        <f>IFERROR(IF($AO265,INDEX(cpe!$B$2:$B$307,MATCH($AP265,cpe!$F$2:$F$307,0)),INDEX(cpe!$B$2:$B$307,MATCH($AP265,cpe!$D$2:$D$307,0))),"#N/D")</f>
        <v>#N/D</v>
      </c>
      <c r="H265" s="26" t="str">
        <f>IF($AO265,"#N/D",IFERROR(INDEX(Olimpiadas!$B$2:$B$61,MATCH($AM265,Olimpiadas!$C$2:$C$61,0)),"#N/D"))</f>
        <v>#N/D</v>
      </c>
      <c r="I265" s="26" t="str">
        <f>IF($AO265,"#N/D",IFERROR(INDEX(Olimpiadas!$A$2:$A$61,MATCH($AM265,Olimpiadas!$C$2:$C$61,0)),"#N/D"))</f>
        <v>#N/D</v>
      </c>
      <c r="J265" s="26" t="str">
        <f>IF($AO265,"#N/D",IFERROR(INDEX(Minculturas!$A$2:$A$48,MATCH($AM265,Minculturas!$C$2:$C$48,0)),"#N/D"))</f>
        <v>#N/D</v>
      </c>
      <c r="K265" s="26" t="str">
        <f>IF($AO265,"#N/D",IFERROR(INDEX(Minculturas!$B$2:$B$48,MATCH($AM265,Minculturas!$C$2:$C$48,0)),"#N/D"))</f>
        <v>#N/D</v>
      </c>
      <c r="L265" s="27">
        <v>4</v>
      </c>
      <c r="M265" s="28">
        <v>0</v>
      </c>
      <c r="N265" s="28">
        <v>1</v>
      </c>
      <c r="O265" s="28">
        <v>0</v>
      </c>
      <c r="P265" s="28">
        <v>0</v>
      </c>
      <c r="Q265" s="28">
        <v>0</v>
      </c>
      <c r="R265" s="28">
        <v>3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7">
        <f>SUM(Tabla43[[#This Row],[Edificación colapsada]:[Robo]])</f>
        <v>4</v>
      </c>
      <c r="AF265" s="28" t="s">
        <v>537</v>
      </c>
      <c r="AG265" s="28" t="s">
        <v>538</v>
      </c>
      <c r="AH265" s="28">
        <v>33.299999999999997</v>
      </c>
      <c r="AI265" s="28"/>
      <c r="AJ265" s="28"/>
      <c r="AK265" s="29" t="s">
        <v>246</v>
      </c>
      <c r="AM265" t="str">
        <f t="shared" si="16"/>
        <v>marsella</v>
      </c>
      <c r="AN265" t="str">
        <f t="shared" si="17"/>
        <v>risaralda</v>
      </c>
      <c r="AO265" t="b">
        <f t="shared" si="18"/>
        <v>0</v>
      </c>
      <c r="AP265" t="str">
        <f t="shared" si="19"/>
        <v>marsella</v>
      </c>
    </row>
    <row r="266" spans="1:42" ht="25.5" customHeight="1" x14ac:dyDescent="0.25">
      <c r="A266" s="33" t="s">
        <v>380</v>
      </c>
      <c r="B266" s="11" t="s">
        <v>24</v>
      </c>
      <c r="C266" s="34" t="s">
        <v>112</v>
      </c>
      <c r="D266" s="69"/>
      <c r="E266" s="11" t="s">
        <v>381</v>
      </c>
      <c r="F266" s="25" t="str">
        <f>IFERROR(IF($AO266,INDEX(cpe!$C$2:$C$307,MATCH($AP266,cpe!$F$2:$F$307,0)),INDEX(cpe!$C$2:$C$307,MATCH($AP266,cpe!$D$2:$D$307,0))),"#N/D")</f>
        <v>#N/D</v>
      </c>
      <c r="G266" s="25" t="str">
        <f>IFERROR(IF($AO266,INDEX(cpe!$B$2:$B$307,MATCH($AP266,cpe!$F$2:$F$307,0)),INDEX(cpe!$B$2:$B$307,MATCH($AP266,cpe!$D$2:$D$307,0))),"#N/D")</f>
        <v>#N/D</v>
      </c>
      <c r="H266" s="26" t="str">
        <f>IF($AO266,"#N/D",IFERROR(INDEX(Olimpiadas!$B$2:$B$61,MATCH($AM266,Olimpiadas!$C$2:$C$61,0)),"#N/D"))</f>
        <v>#N/D</v>
      </c>
      <c r="I266" s="26" t="str">
        <f>IF($AO266,"#N/D",IFERROR(INDEX(Olimpiadas!$A$2:$A$61,MATCH($AM266,Olimpiadas!$C$2:$C$61,0)),"#N/D"))</f>
        <v>#N/D</v>
      </c>
      <c r="J266" s="26" t="str">
        <f>IF($AO266,"#N/D",IFERROR(INDEX(Minculturas!$A$2:$A$48,MATCH($AM266,Minculturas!$C$2:$C$48,0)),"#N/D"))</f>
        <v>#N/D</v>
      </c>
      <c r="K266" s="26" t="str">
        <f>IF($AO266,"#N/D",IFERROR(INDEX(Minculturas!$B$2:$B$48,MATCH($AM266,Minculturas!$C$2:$C$48,0)),"#N/D"))</f>
        <v>#N/D</v>
      </c>
      <c r="L266" s="27">
        <v>3</v>
      </c>
      <c r="M266" s="28">
        <v>0</v>
      </c>
      <c r="N266" s="28">
        <v>2</v>
      </c>
      <c r="O266" s="28">
        <v>0</v>
      </c>
      <c r="P266" s="28">
        <v>0</v>
      </c>
      <c r="Q266" s="28">
        <v>1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7">
        <f>SUM(Tabla43[[#This Row],[Edificación colapsada]:[Robo]])</f>
        <v>3</v>
      </c>
      <c r="AF266" s="26" t="s">
        <v>382</v>
      </c>
      <c r="AG266" s="26" t="s">
        <v>383</v>
      </c>
      <c r="AH266" s="28">
        <v>34.6</v>
      </c>
      <c r="AI266" s="28"/>
      <c r="AJ266" s="28"/>
      <c r="AK266" s="29" t="s">
        <v>384</v>
      </c>
      <c r="AM266" t="str">
        <f t="shared" si="16"/>
        <v>marulanda</v>
      </c>
      <c r="AN266" t="str">
        <f t="shared" si="17"/>
        <v>caldas</v>
      </c>
      <c r="AO266" t="b">
        <f t="shared" si="18"/>
        <v>0</v>
      </c>
      <c r="AP266" t="str">
        <f t="shared" si="19"/>
        <v>marulanda</v>
      </c>
    </row>
    <row r="267" spans="1:42" ht="25.5" customHeight="1" x14ac:dyDescent="0.25">
      <c r="A267" s="33" t="s">
        <v>837</v>
      </c>
      <c r="B267" s="11" t="s">
        <v>10</v>
      </c>
      <c r="C267" s="34" t="s">
        <v>112</v>
      </c>
      <c r="D267" s="69"/>
      <c r="E267" s="11" t="s">
        <v>838</v>
      </c>
      <c r="F267" s="25" t="str">
        <f>IFERROR(IF($AO267,INDEX(cpe!$C$2:$C$307,MATCH($AP267,cpe!$F$2:$F$307,0)),INDEX(cpe!$C$2:$C$307,MATCH($AP267,cpe!$D$2:$D$307,0))),"#N/D")</f>
        <v>#N/D</v>
      </c>
      <c r="G267" s="25" t="str">
        <f>IFERROR(IF($AO267,INDEX(cpe!$B$2:$B$307,MATCH($AP267,cpe!$F$2:$F$307,0)),INDEX(cpe!$B$2:$B$307,MATCH($AP267,cpe!$D$2:$D$307,0))),"#N/D")</f>
        <v>#N/D</v>
      </c>
      <c r="H267" s="26" t="str">
        <f>IF($AO267,"#N/D",IFERROR(INDEX(Olimpiadas!$B$2:$B$61,MATCH($AM267,Olimpiadas!$C$2:$C$61,0)),"#N/D"))</f>
        <v>Medellín</v>
      </c>
      <c r="I267" s="26" t="str">
        <f>IF($AO267,"#N/D",IFERROR(INDEX(Olimpiadas!$A$2:$A$61,MATCH($AM267,Olimpiadas!$C$2:$C$61,0)),"#N/D"))</f>
        <v>INSTITUCIÓN EDUCATIVA RAFAEL URIBE URIBE</v>
      </c>
      <c r="J267" s="26" t="str">
        <f>IF($AO267,"#N/D",IFERROR(INDEX(Minculturas!$A$2:$A$48,MATCH($AM267,Minculturas!$C$2:$C$48,0)),"#N/D"))</f>
        <v>#N/D</v>
      </c>
      <c r="K267" s="26" t="str">
        <f>IF($AO267,"#N/D",IFERROR(INDEX(Minculturas!$B$2:$B$48,MATCH($AM267,Minculturas!$C$2:$C$48,0)),"#N/D"))</f>
        <v>#N/D</v>
      </c>
      <c r="L267" s="27">
        <v>60</v>
      </c>
      <c r="M267" s="28">
        <v>1</v>
      </c>
      <c r="N267" s="28">
        <v>12</v>
      </c>
      <c r="O267" s="28">
        <v>0</v>
      </c>
      <c r="P267" s="28">
        <v>3</v>
      </c>
      <c r="Q267" s="28">
        <v>6</v>
      </c>
      <c r="R267" s="28">
        <v>0</v>
      </c>
      <c r="S267" s="28">
        <v>5</v>
      </c>
      <c r="T267" s="28">
        <v>0</v>
      </c>
      <c r="U267" s="28">
        <v>0</v>
      </c>
      <c r="V267" s="28">
        <v>1</v>
      </c>
      <c r="W267" s="28">
        <v>29</v>
      </c>
      <c r="X267" s="28">
        <v>2</v>
      </c>
      <c r="Y267" s="28">
        <v>0</v>
      </c>
      <c r="Z267" s="28">
        <v>0</v>
      </c>
      <c r="AA267" s="28">
        <v>1</v>
      </c>
      <c r="AB267" s="28">
        <v>0</v>
      </c>
      <c r="AC267" s="28">
        <v>0</v>
      </c>
      <c r="AD267" s="28">
        <v>0</v>
      </c>
      <c r="AE267" s="27">
        <f>SUM(Tabla43[[#This Row],[Edificación colapsada]:[Robo]])</f>
        <v>60</v>
      </c>
      <c r="AF267" s="28"/>
      <c r="AG267" s="28"/>
      <c r="AH267" s="28">
        <v>11.41</v>
      </c>
      <c r="AI267" s="28"/>
      <c r="AJ267" s="28"/>
      <c r="AK267" s="29" t="s">
        <v>114</v>
      </c>
      <c r="AM267" t="str">
        <f t="shared" si="16"/>
        <v>medellin</v>
      </c>
      <c r="AN267" t="str">
        <f t="shared" si="17"/>
        <v>antioquia</v>
      </c>
      <c r="AO267" t="b">
        <f t="shared" si="18"/>
        <v>0</v>
      </c>
      <c r="AP267" t="str">
        <f t="shared" si="19"/>
        <v>medellin</v>
      </c>
    </row>
    <row r="268" spans="1:42" ht="25.5" customHeight="1" x14ac:dyDescent="0.25">
      <c r="A268" s="33" t="s">
        <v>803</v>
      </c>
      <c r="B268" s="11" t="s">
        <v>35</v>
      </c>
      <c r="C268" s="34" t="s">
        <v>112</v>
      </c>
      <c r="D268" s="69"/>
      <c r="E268" s="11" t="s">
        <v>804</v>
      </c>
      <c r="F268" s="25" t="str">
        <f>IFERROR(IF($AO268,INDEX(cpe!$C$2:$C$307,MATCH($AP268,cpe!$F$2:$F$307,0)),INDEX(cpe!$C$2:$C$307,MATCH($AP268,cpe!$D$2:$D$307,0))),"#N/D")</f>
        <v>#N/D</v>
      </c>
      <c r="G268" s="25" t="str">
        <f>IFERROR(IF($AO268,INDEX(cpe!$B$2:$B$307,MATCH($AP268,cpe!$F$2:$F$307,0)),INDEX(cpe!$B$2:$B$307,MATCH($AP268,cpe!$D$2:$D$307,0))),"#N/D")</f>
        <v>#N/D</v>
      </c>
      <c r="H268" s="26" t="str">
        <f>IF($AO268,"#N/D",IFERROR(INDEX(Olimpiadas!$B$2:$B$61,MATCH($AM268,Olimpiadas!$C$2:$C$61,0)),"#N/D"))</f>
        <v>#N/D</v>
      </c>
      <c r="I268" s="26" t="str">
        <f>IF($AO268,"#N/D",IFERROR(INDEX(Olimpiadas!$A$2:$A$61,MATCH($AM268,Olimpiadas!$C$2:$C$61,0)),"#N/D"))</f>
        <v>#N/D</v>
      </c>
      <c r="J268" s="26" t="str">
        <f>IF($AO268,"#N/D",IFERROR(INDEX(Minculturas!$A$2:$A$48,MATCH($AM268,Minculturas!$C$2:$C$48,0)),"#N/D"))</f>
        <v>#N/D</v>
      </c>
      <c r="K268" s="26" t="str">
        <f>IF($AO268,"#N/D",IFERROR(INDEX(Minculturas!$B$2:$B$48,MATCH($AM268,Minculturas!$C$2:$C$48,0)),"#N/D"))</f>
        <v>#N/D</v>
      </c>
      <c r="L268" s="27">
        <v>1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1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7">
        <f>SUM(Tabla43[[#This Row],[Edificación colapsada]:[Robo]])</f>
        <v>1</v>
      </c>
      <c r="AF268" s="28"/>
      <c r="AG268" s="28"/>
      <c r="AH268" s="28">
        <v>38.5</v>
      </c>
      <c r="AI268" s="28"/>
      <c r="AJ268" s="28"/>
      <c r="AK268" s="29" t="s">
        <v>114</v>
      </c>
      <c r="AM268" t="str">
        <f t="shared" si="16"/>
        <v>medina</v>
      </c>
      <c r="AN268" t="str">
        <f t="shared" si="17"/>
        <v>cundinamarca</v>
      </c>
      <c r="AO268" t="b">
        <f t="shared" si="18"/>
        <v>0</v>
      </c>
      <c r="AP268" t="str">
        <f t="shared" si="19"/>
        <v>medina</v>
      </c>
    </row>
    <row r="269" spans="1:42" ht="25.5" customHeight="1" x14ac:dyDescent="0.25">
      <c r="A269" s="33" t="s">
        <v>436</v>
      </c>
      <c r="B269" s="11" t="s">
        <v>31</v>
      </c>
      <c r="C269" s="34" t="s">
        <v>112</v>
      </c>
      <c r="D269" s="69"/>
      <c r="E269" s="11" t="s">
        <v>437</v>
      </c>
      <c r="F269" s="25" t="str">
        <f>IFERROR(IF($AO269,INDEX(cpe!$C$2:$C$307,MATCH($AP269,cpe!$F$2:$F$307,0)),INDEX(cpe!$C$2:$C$307,MATCH($AP269,cpe!$D$2:$D$307,0))),"#N/D")</f>
        <v>#N/D</v>
      </c>
      <c r="G269" s="25" t="str">
        <f>IFERROR(IF($AO269,INDEX(cpe!$B$2:$B$307,MATCH($AP269,cpe!$F$2:$F$307,0)),INDEX(cpe!$B$2:$B$307,MATCH($AP269,cpe!$D$2:$D$307,0))),"#N/D")</f>
        <v>#N/D</v>
      </c>
      <c r="H269" s="26" t="str">
        <f>IF($AO269,"#N/D",IFERROR(INDEX(Olimpiadas!$B$2:$B$61,MATCH($AM269,Olimpiadas!$C$2:$C$61,0)),"#N/D"))</f>
        <v>#N/D</v>
      </c>
      <c r="I269" s="26" t="str">
        <f>IF($AO269,"#N/D",IFERROR(INDEX(Olimpiadas!$A$2:$A$61,MATCH($AM269,Olimpiadas!$C$2:$C$61,0)),"#N/D"))</f>
        <v>#N/D</v>
      </c>
      <c r="J269" s="26" t="str">
        <f>IF($AO269,"#N/D",IFERROR(INDEX(Minculturas!$A$2:$A$48,MATCH($AM269,Minculturas!$C$2:$C$48,0)),"#N/D"))</f>
        <v>#N/D</v>
      </c>
      <c r="K269" s="26" t="str">
        <f>IF($AO269,"#N/D",IFERROR(INDEX(Minculturas!$B$2:$B$48,MATCH($AM269,Minculturas!$C$2:$C$48,0)),"#N/D"))</f>
        <v>#N/D</v>
      </c>
      <c r="L269" s="27">
        <v>1</v>
      </c>
      <c r="M269" s="28">
        <v>0</v>
      </c>
      <c r="N269" s="28">
        <v>0</v>
      </c>
      <c r="O269" s="28">
        <v>1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7">
        <f>SUM(Tabla43[[#This Row],[Edificación colapsada]:[Robo]])</f>
        <v>1</v>
      </c>
      <c r="AF269" s="28" t="s">
        <v>438</v>
      </c>
      <c r="AG269" s="28" t="s">
        <v>439</v>
      </c>
      <c r="AH269" s="28">
        <v>76.599999999999994</v>
      </c>
      <c r="AI269" s="28"/>
      <c r="AJ269" s="28"/>
      <c r="AK269" s="29" t="s">
        <v>246</v>
      </c>
      <c r="AM269" t="str">
        <f t="shared" si="16"/>
        <v>medio atrato</v>
      </c>
      <c r="AN269" t="str">
        <f t="shared" si="17"/>
        <v>choco</v>
      </c>
      <c r="AO269" t="b">
        <f t="shared" si="18"/>
        <v>0</v>
      </c>
      <c r="AP269" t="str">
        <f t="shared" si="19"/>
        <v>medio atrato</v>
      </c>
    </row>
    <row r="270" spans="1:42" ht="25.5" customHeight="1" x14ac:dyDescent="0.25">
      <c r="A270" s="33" t="s">
        <v>161</v>
      </c>
      <c r="B270" s="11" t="s">
        <v>31</v>
      </c>
      <c r="C270" s="34" t="s">
        <v>112</v>
      </c>
      <c r="D270" s="69"/>
      <c r="E270" s="11" t="s">
        <v>162</v>
      </c>
      <c r="F270" s="25" t="str">
        <f>IFERROR(IF($AO270,INDEX(cpe!$C$2:$C$307,MATCH($AP270,cpe!$F$2:$F$307,0)),INDEX(cpe!$C$2:$C$307,MATCH($AP270,cpe!$D$2:$D$307,0))),"#N/D")</f>
        <v>Institucion Educativa Santa Teresa de Pachaquiaro</v>
      </c>
      <c r="G270" s="25" t="str">
        <f>IFERROR(IF($AO270,INDEX(cpe!$B$2:$B$307,MATCH($AP270,cpe!$F$2:$F$307,0)),INDEX(cpe!$B$2:$B$307,MATCH($AP270,cpe!$D$2:$D$307,0))),"#N/D")</f>
        <v>Medio Baudó</v>
      </c>
      <c r="H270" s="26" t="str">
        <f>IF($AO270,"#N/D",IFERROR(INDEX(Olimpiadas!$B$2:$B$61,MATCH($AM270,Olimpiadas!$C$2:$C$61,0)),"#N/D"))</f>
        <v>#N/D</v>
      </c>
      <c r="I270" s="26" t="str">
        <f>IF($AO270,"#N/D",IFERROR(INDEX(Olimpiadas!$A$2:$A$61,MATCH($AM270,Olimpiadas!$C$2:$C$61,0)),"#N/D"))</f>
        <v>#N/D</v>
      </c>
      <c r="J270" s="26" t="str">
        <f>IF($AO270,"#N/D",IFERROR(INDEX(Minculturas!$A$2:$A$48,MATCH($AM270,Minculturas!$C$2:$C$48,0)),"#N/D"))</f>
        <v>#N/D</v>
      </c>
      <c r="K270" s="26" t="str">
        <f>IF($AO270,"#N/D",IFERROR(INDEX(Minculturas!$B$2:$B$48,MATCH($AM270,Minculturas!$C$2:$C$48,0)),"#N/D"))</f>
        <v>#N/D</v>
      </c>
      <c r="L270" s="27">
        <v>3</v>
      </c>
      <c r="M270" s="28">
        <v>0</v>
      </c>
      <c r="N270" s="28">
        <v>1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1</v>
      </c>
      <c r="W270" s="28">
        <v>0</v>
      </c>
      <c r="X270" s="28">
        <v>0</v>
      </c>
      <c r="Y270" s="28">
        <v>0</v>
      </c>
      <c r="Z270" s="28">
        <v>1</v>
      </c>
      <c r="AA270" s="28">
        <v>0</v>
      </c>
      <c r="AB270" s="28">
        <v>0</v>
      </c>
      <c r="AC270" s="28">
        <v>0</v>
      </c>
      <c r="AD270" s="28">
        <v>0</v>
      </c>
      <c r="AE270" s="27">
        <f>SUM(Tabla43[[#This Row],[Edificación colapsada]:[Robo]])</f>
        <v>3</v>
      </c>
      <c r="AF270" s="28" t="s">
        <v>163</v>
      </c>
      <c r="AG270" s="28" t="s">
        <v>164</v>
      </c>
      <c r="AH270" s="28">
        <v>80.2</v>
      </c>
      <c r="AI270" s="28"/>
      <c r="AJ270" s="28"/>
      <c r="AK270" s="29" t="s">
        <v>114</v>
      </c>
      <c r="AM270" t="str">
        <f t="shared" si="16"/>
        <v>medio baudo</v>
      </c>
      <c r="AN270" t="str">
        <f t="shared" si="17"/>
        <v>choco</v>
      </c>
      <c r="AO270" t="b">
        <f t="shared" si="18"/>
        <v>0</v>
      </c>
      <c r="AP270" t="str">
        <f t="shared" si="19"/>
        <v>medio baudo</v>
      </c>
    </row>
    <row r="271" spans="1:42" ht="25.5" customHeight="1" x14ac:dyDescent="0.25">
      <c r="A271" s="33" t="s">
        <v>603</v>
      </c>
      <c r="B271" s="11" t="s">
        <v>31</v>
      </c>
      <c r="C271" s="34" t="s">
        <v>112</v>
      </c>
      <c r="D271" s="69"/>
      <c r="E271" s="11" t="s">
        <v>604</v>
      </c>
      <c r="F271" s="25" t="str">
        <f>IFERROR(IF($AO271,INDEX(cpe!$C$2:$C$307,MATCH($AP271,cpe!$F$2:$F$307,0)),INDEX(cpe!$C$2:$C$307,MATCH($AP271,cpe!$D$2:$D$307,0))),"#N/D")</f>
        <v>Institucion Educativa Jose Ignacio Ospina</v>
      </c>
      <c r="G271" s="25" t="str">
        <f>IFERROR(IF($AO271,INDEX(cpe!$B$2:$B$307,MATCH($AP271,cpe!$F$2:$F$307,0)),INDEX(cpe!$B$2:$B$307,MATCH($AP271,cpe!$D$2:$D$307,0))),"#N/D")</f>
        <v>Medio San Juan</v>
      </c>
      <c r="H271" s="26" t="str">
        <f>IF($AO271,"#N/D",IFERROR(INDEX(Olimpiadas!$B$2:$B$61,MATCH($AM271,Olimpiadas!$C$2:$C$61,0)),"#N/D"))</f>
        <v>#N/D</v>
      </c>
      <c r="I271" s="26" t="str">
        <f>IF($AO271,"#N/D",IFERROR(INDEX(Olimpiadas!$A$2:$A$61,MATCH($AM271,Olimpiadas!$C$2:$C$61,0)),"#N/D"))</f>
        <v>#N/D</v>
      </c>
      <c r="J271" s="26" t="str">
        <f>IF($AO271,"#N/D",IFERROR(INDEX(Minculturas!$A$2:$A$48,MATCH($AM271,Minculturas!$C$2:$C$48,0)),"#N/D"))</f>
        <v>#N/D</v>
      </c>
      <c r="K271" s="26" t="str">
        <f>IF($AO271,"#N/D",IFERROR(INDEX(Minculturas!$B$2:$B$48,MATCH($AM271,Minculturas!$C$2:$C$48,0)),"#N/D"))</f>
        <v>#N/D</v>
      </c>
      <c r="L271" s="27">
        <v>16</v>
      </c>
      <c r="M271" s="28">
        <v>0</v>
      </c>
      <c r="N271" s="28">
        <v>1</v>
      </c>
      <c r="O271" s="28">
        <v>1</v>
      </c>
      <c r="P271" s="28">
        <v>1</v>
      </c>
      <c r="Q271" s="28">
        <v>1</v>
      </c>
      <c r="R271" s="28">
        <v>0</v>
      </c>
      <c r="S271" s="28">
        <v>1</v>
      </c>
      <c r="T271" s="28">
        <v>0</v>
      </c>
      <c r="U271" s="28">
        <v>0</v>
      </c>
      <c r="V271" s="28">
        <v>2</v>
      </c>
      <c r="W271" s="28">
        <v>2</v>
      </c>
      <c r="X271" s="28">
        <v>0</v>
      </c>
      <c r="Y271" s="28">
        <v>0</v>
      </c>
      <c r="Z271" s="28">
        <v>7</v>
      </c>
      <c r="AA271" s="28">
        <v>0</v>
      </c>
      <c r="AB271" s="28">
        <v>0</v>
      </c>
      <c r="AC271" s="28">
        <v>0</v>
      </c>
      <c r="AD271" s="28">
        <v>0</v>
      </c>
      <c r="AE271" s="27">
        <f>SUM(Tabla43[[#This Row],[Edificación colapsada]:[Robo]])</f>
        <v>16</v>
      </c>
      <c r="AF271" s="28" t="s">
        <v>605</v>
      </c>
      <c r="AG271" s="28" t="s">
        <v>606</v>
      </c>
      <c r="AH271" s="28">
        <v>69.7</v>
      </c>
      <c r="AI271" s="28"/>
      <c r="AJ271" s="28"/>
      <c r="AK271" s="29" t="s">
        <v>114</v>
      </c>
      <c r="AM271" t="str">
        <f t="shared" si="16"/>
        <v>medio san juan</v>
      </c>
      <c r="AN271" t="str">
        <f t="shared" si="17"/>
        <v>choco</v>
      </c>
      <c r="AO271" t="b">
        <f t="shared" si="18"/>
        <v>0</v>
      </c>
      <c r="AP271" t="str">
        <f t="shared" si="19"/>
        <v>medio san juan</v>
      </c>
    </row>
    <row r="272" spans="1:42" ht="25.5" customHeight="1" x14ac:dyDescent="0.25">
      <c r="A272" s="33" t="s">
        <v>494</v>
      </c>
      <c r="B272" s="11" t="s">
        <v>48</v>
      </c>
      <c r="C272" s="34" t="s">
        <v>112</v>
      </c>
      <c r="D272" s="69"/>
      <c r="E272" s="11" t="s">
        <v>495</v>
      </c>
      <c r="F272" s="25" t="str">
        <f>IFERROR(IF($AO272,INDEX(cpe!$C$2:$C$307,MATCH($AP272,cpe!$F$2:$F$307,0)),INDEX(cpe!$C$2:$C$307,MATCH($AP272,cpe!$D$2:$D$307,0))),"#N/D")</f>
        <v>Institucion Educativa Maria Mandiguagua</v>
      </c>
      <c r="G272" s="25" t="str">
        <f>IFERROR(IF($AO272,INDEX(cpe!$B$2:$B$307,MATCH($AP272,cpe!$F$2:$F$307,0)),INDEX(cpe!$B$2:$B$307,MATCH($AP272,cpe!$D$2:$D$307,0))),"#N/D")</f>
        <v>Melgar</v>
      </c>
      <c r="H272" s="26" t="str">
        <f>IF($AO272,"#N/D",IFERROR(INDEX(Olimpiadas!$B$2:$B$61,MATCH($AM272,Olimpiadas!$C$2:$C$61,0)),"#N/D"))</f>
        <v>#N/D</v>
      </c>
      <c r="I272" s="26" t="str">
        <f>IF($AO272,"#N/D",IFERROR(INDEX(Olimpiadas!$A$2:$A$61,MATCH($AM272,Olimpiadas!$C$2:$C$61,0)),"#N/D"))</f>
        <v>#N/D</v>
      </c>
      <c r="J272" s="26" t="str">
        <f>IF($AO272,"#N/D",IFERROR(INDEX(Minculturas!$A$2:$A$48,MATCH($AM272,Minculturas!$C$2:$C$48,0)),"#N/D"))</f>
        <v>#N/D</v>
      </c>
      <c r="K272" s="26" t="str">
        <f>IF($AO272,"#N/D",IFERROR(INDEX(Minculturas!$B$2:$B$48,MATCH($AM272,Minculturas!$C$2:$C$48,0)),"#N/D"))</f>
        <v>#N/D</v>
      </c>
      <c r="L272" s="27">
        <v>2</v>
      </c>
      <c r="M272" s="28">
        <v>0</v>
      </c>
      <c r="N272" s="28">
        <v>1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1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7">
        <f>SUM(Tabla43[[#This Row],[Edificación colapsada]:[Robo]])</f>
        <v>2</v>
      </c>
      <c r="AF272" s="28"/>
      <c r="AG272" s="28"/>
      <c r="AH272" s="28">
        <v>19.7</v>
      </c>
      <c r="AI272" s="28"/>
      <c r="AJ272" s="28"/>
      <c r="AK272" s="29" t="s">
        <v>114</v>
      </c>
      <c r="AM272" t="str">
        <f t="shared" si="16"/>
        <v>melgar</v>
      </c>
      <c r="AN272" t="str">
        <f t="shared" si="17"/>
        <v>tolima</v>
      </c>
      <c r="AO272" t="b">
        <f t="shared" si="18"/>
        <v>0</v>
      </c>
      <c r="AP272" t="str">
        <f t="shared" si="19"/>
        <v>melgar</v>
      </c>
    </row>
    <row r="273" spans="1:42" ht="25.5" customHeight="1" x14ac:dyDescent="0.25">
      <c r="A273" s="33" t="s">
        <v>690</v>
      </c>
      <c r="B273" s="11" t="s">
        <v>28</v>
      </c>
      <c r="C273" s="34" t="s">
        <v>112</v>
      </c>
      <c r="D273" s="69"/>
      <c r="E273" s="11" t="s">
        <v>691</v>
      </c>
      <c r="F273" s="25" t="str">
        <f>IFERROR(IF($AO273,INDEX(cpe!$C$2:$C$307,MATCH($AP273,cpe!$F$2:$F$307,0)),INDEX(cpe!$C$2:$C$307,MATCH($AP273,cpe!$D$2:$D$307,0))),"#N/D")</f>
        <v>#N/D</v>
      </c>
      <c r="G273" s="25" t="str">
        <f>IFERROR(IF($AO273,INDEX(cpe!$B$2:$B$307,MATCH($AP273,cpe!$F$2:$F$307,0)),INDEX(cpe!$B$2:$B$307,MATCH($AP273,cpe!$D$2:$D$307,0))),"#N/D")</f>
        <v>#N/D</v>
      </c>
      <c r="H273" s="26" t="str">
        <f>IF($AO273,"#N/D",IFERROR(INDEX(Olimpiadas!$B$2:$B$61,MATCH($AM273,Olimpiadas!$C$2:$C$61,0)),"#N/D"))</f>
        <v>#N/D</v>
      </c>
      <c r="I273" s="26" t="str">
        <f>IF($AO273,"#N/D",IFERROR(INDEX(Olimpiadas!$A$2:$A$61,MATCH($AM273,Olimpiadas!$C$2:$C$61,0)),"#N/D"))</f>
        <v>#N/D</v>
      </c>
      <c r="J273" s="26" t="str">
        <f>IF($AO273,"#N/D",IFERROR(INDEX(Minculturas!$A$2:$A$48,MATCH($AM273,Minculturas!$C$2:$C$48,0)),"#N/D"))</f>
        <v>#N/D</v>
      </c>
      <c r="K273" s="26" t="str">
        <f>IF($AO273,"#N/D",IFERROR(INDEX(Minculturas!$B$2:$B$48,MATCH($AM273,Minculturas!$C$2:$C$48,0)),"#N/D"))</f>
        <v>#N/D</v>
      </c>
      <c r="L273" s="27">
        <v>1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1</v>
      </c>
      <c r="AA273" s="28">
        <v>0</v>
      </c>
      <c r="AB273" s="28">
        <v>0</v>
      </c>
      <c r="AC273" s="28">
        <v>0</v>
      </c>
      <c r="AD273" s="28">
        <v>0</v>
      </c>
      <c r="AE273" s="27">
        <f>SUM(Tabla43[[#This Row],[Edificación colapsada]:[Robo]])</f>
        <v>1</v>
      </c>
      <c r="AF273" s="28"/>
      <c r="AG273" s="28"/>
      <c r="AH273" s="28">
        <v>46.6</v>
      </c>
      <c r="AI273" s="28"/>
      <c r="AJ273" s="28"/>
      <c r="AK273" s="29" t="s">
        <v>114</v>
      </c>
      <c r="AM273" t="str">
        <f t="shared" si="16"/>
        <v>mercaderes</v>
      </c>
      <c r="AN273" t="str">
        <f t="shared" si="17"/>
        <v>cauca</v>
      </c>
      <c r="AO273" t="b">
        <f t="shared" si="18"/>
        <v>0</v>
      </c>
      <c r="AP273" t="str">
        <f t="shared" si="19"/>
        <v>mercaderes</v>
      </c>
    </row>
    <row r="274" spans="1:42" ht="25.5" customHeight="1" x14ac:dyDescent="0.25">
      <c r="A274" s="33" t="s">
        <v>692</v>
      </c>
      <c r="B274" s="11" t="s">
        <v>28</v>
      </c>
      <c r="C274" s="34" t="s">
        <v>112</v>
      </c>
      <c r="D274" s="69"/>
      <c r="E274" s="11" t="s">
        <v>693</v>
      </c>
      <c r="F274" s="25" t="str">
        <f>IFERROR(IF($AO274,INDEX(cpe!$C$2:$C$307,MATCH($AP274,cpe!$F$2:$F$307,0)),INDEX(cpe!$C$2:$C$307,MATCH($AP274,cpe!$D$2:$D$307,0))),"#N/D")</f>
        <v>#N/D</v>
      </c>
      <c r="G274" s="25" t="str">
        <f>IFERROR(IF($AO274,INDEX(cpe!$B$2:$B$307,MATCH($AP274,cpe!$F$2:$F$307,0)),INDEX(cpe!$B$2:$B$307,MATCH($AP274,cpe!$D$2:$D$307,0))),"#N/D")</f>
        <v>#N/D</v>
      </c>
      <c r="H274" s="26" t="str">
        <f>IF($AO274,"#N/D",IFERROR(INDEX(Olimpiadas!$B$2:$B$61,MATCH($AM274,Olimpiadas!$C$2:$C$61,0)),"#N/D"))</f>
        <v>#N/D</v>
      </c>
      <c r="I274" s="26" t="str">
        <f>IF($AO274,"#N/D",IFERROR(INDEX(Olimpiadas!$A$2:$A$61,MATCH($AM274,Olimpiadas!$C$2:$C$61,0)),"#N/D"))</f>
        <v>#N/D</v>
      </c>
      <c r="J274" s="26" t="str">
        <f>IF($AO274,"#N/D",IFERROR(INDEX(Minculturas!$A$2:$A$48,MATCH($AM274,Minculturas!$C$2:$C$48,0)),"#N/D"))</f>
        <v>#N/D</v>
      </c>
      <c r="K274" s="26" t="str">
        <f>IF($AO274,"#N/D",IFERROR(INDEX(Minculturas!$B$2:$B$48,MATCH($AM274,Minculturas!$C$2:$C$48,0)),"#N/D"))</f>
        <v>#N/D</v>
      </c>
      <c r="L274" s="27">
        <v>1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1</v>
      </c>
      <c r="AA274" s="28">
        <v>0</v>
      </c>
      <c r="AB274" s="28">
        <v>0</v>
      </c>
      <c r="AC274" s="28">
        <v>0</v>
      </c>
      <c r="AD274" s="28">
        <v>0</v>
      </c>
      <c r="AE274" s="27">
        <f>SUM(Tabla43[[#This Row],[Edificación colapsada]:[Robo]])</f>
        <v>1</v>
      </c>
      <c r="AF274" s="28"/>
      <c r="AG274" s="28"/>
      <c r="AH274" s="28">
        <v>21.6</v>
      </c>
      <c r="AI274" s="28"/>
      <c r="AJ274" s="28"/>
      <c r="AK274" s="29" t="s">
        <v>114</v>
      </c>
      <c r="AM274" t="str">
        <f t="shared" si="16"/>
        <v>miranda</v>
      </c>
      <c r="AN274" t="str">
        <f t="shared" si="17"/>
        <v>cauca</v>
      </c>
      <c r="AO274" t="b">
        <f t="shared" si="18"/>
        <v>0</v>
      </c>
      <c r="AP274" t="str">
        <f t="shared" si="19"/>
        <v>miranda</v>
      </c>
    </row>
    <row r="275" spans="1:42" ht="25.5" customHeight="1" x14ac:dyDescent="0.25">
      <c r="A275" s="33" t="s">
        <v>1069</v>
      </c>
      <c r="B275" s="11" t="s">
        <v>45</v>
      </c>
      <c r="C275" s="34" t="s">
        <v>112</v>
      </c>
      <c r="D275" s="69"/>
      <c r="E275" s="11" t="s">
        <v>1070</v>
      </c>
      <c r="F275" s="25" t="str">
        <f>IFERROR(IF($AO275,INDEX(cpe!$C$2:$C$307,MATCH($AP275,cpe!$F$2:$F$307,0)),INDEX(cpe!$C$2:$C$307,MATCH($AP275,cpe!$D$2:$D$307,0))),"#N/D")</f>
        <v>#N/D</v>
      </c>
      <c r="G275" s="25" t="str">
        <f>IFERROR(IF($AO275,INDEX(cpe!$B$2:$B$307,MATCH($AP275,cpe!$F$2:$F$307,0)),INDEX(cpe!$B$2:$B$307,MATCH($AP275,cpe!$D$2:$D$307,0))),"#N/D")</f>
        <v>#N/D</v>
      </c>
      <c r="H275" s="26" t="str">
        <f>IF($AO275,"#N/D",IFERROR(INDEX(Olimpiadas!$B$2:$B$61,MATCH($AM275,Olimpiadas!$C$2:$C$61,0)),"#N/D"))</f>
        <v>#N/D</v>
      </c>
      <c r="I275" s="26" t="str">
        <f>IF($AO275,"#N/D",IFERROR(INDEX(Olimpiadas!$A$2:$A$61,MATCH($AM275,Olimpiadas!$C$2:$C$61,0)),"#N/D"))</f>
        <v>#N/D</v>
      </c>
      <c r="J275" s="26" t="str">
        <f>IF($AO275,"#N/D",IFERROR(INDEX(Minculturas!$A$2:$A$48,MATCH($AM275,Minculturas!$C$2:$C$48,0)),"#N/D"))</f>
        <v>#N/D</v>
      </c>
      <c r="K275" s="26" t="str">
        <f>IF($AO275,"#N/D",IFERROR(INDEX(Minculturas!$B$2:$B$48,MATCH($AM275,Minculturas!$C$2:$C$48,0)),"#N/D"))</f>
        <v>#N/D</v>
      </c>
      <c r="L275" s="27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7">
        <f>SUM(Tabla43[[#This Row],[Edificación colapsada]:[Robo]])</f>
        <v>0</v>
      </c>
      <c r="AF275" s="28" t="s">
        <v>1071</v>
      </c>
      <c r="AG275" s="28" t="s">
        <v>1072</v>
      </c>
      <c r="AH275" s="28">
        <v>65.3</v>
      </c>
      <c r="AI275" s="28"/>
      <c r="AJ275" s="28"/>
      <c r="AK275" s="29" t="s">
        <v>246</v>
      </c>
      <c r="AM275" t="str">
        <f t="shared" si="16"/>
        <v>mistrato</v>
      </c>
      <c r="AN275" t="str">
        <f t="shared" si="17"/>
        <v>risaralda</v>
      </c>
      <c r="AO275" t="b">
        <f t="shared" si="18"/>
        <v>0</v>
      </c>
      <c r="AP275" t="str">
        <f t="shared" si="19"/>
        <v>mistrato</v>
      </c>
    </row>
    <row r="276" spans="1:42" ht="25.5" customHeight="1" x14ac:dyDescent="0.25">
      <c r="A276" s="33" t="s">
        <v>1133</v>
      </c>
      <c r="B276" s="11" t="s">
        <v>43</v>
      </c>
      <c r="C276" s="34" t="s">
        <v>112</v>
      </c>
      <c r="D276" s="69"/>
      <c r="E276" s="11" t="s">
        <v>1134</v>
      </c>
      <c r="F276" s="25" t="str">
        <f>IFERROR(IF($AO276,INDEX(cpe!$C$2:$C$307,MATCH($AP276,cpe!$F$2:$F$307,0)),INDEX(cpe!$C$2:$C$307,MATCH($AP276,cpe!$D$2:$D$307,0))),"#N/D")</f>
        <v>#N/D</v>
      </c>
      <c r="G276" s="25" t="str">
        <f>IFERROR(IF($AO276,INDEX(cpe!$B$2:$B$307,MATCH($AP276,cpe!$F$2:$F$307,0)),INDEX(cpe!$B$2:$B$307,MATCH($AP276,cpe!$D$2:$D$307,0))),"#N/D")</f>
        <v>#N/D</v>
      </c>
      <c r="H276" s="26" t="str">
        <f>IF($AO276,"#N/D",IFERROR(INDEX(Olimpiadas!$B$2:$B$61,MATCH($AM276,Olimpiadas!$C$2:$C$61,0)),"#N/D"))</f>
        <v>Mocoa</v>
      </c>
      <c r="I276" s="26" t="str">
        <f>IF($AO276,"#N/D",IFERROR(INDEX(Olimpiadas!$A$2:$A$61,MATCH($AM276,Olimpiadas!$C$2:$C$61,0)),"#N/D"))</f>
        <v>CENTRO EDUCATIVO RURAL PUEBLO VIEJO</v>
      </c>
      <c r="J276" s="26" t="str">
        <f>IF($AO276,"#N/D",IFERROR(INDEX(Minculturas!$A$2:$A$48,MATCH($AM276,Minculturas!$C$2:$C$48,0)),"#N/D"))</f>
        <v>#N/D</v>
      </c>
      <c r="K276" s="26" t="str">
        <f>IF($AO276,"#N/D",IFERROR(INDEX(Minculturas!$B$2:$B$48,MATCH($AM276,Minculturas!$C$2:$C$48,0)),"#N/D"))</f>
        <v>#N/D</v>
      </c>
      <c r="L276" s="27">
        <v>1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1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7">
        <f>SUM(Tabla43[[#This Row],[Edificación colapsada]:[Robo]])</f>
        <v>1</v>
      </c>
      <c r="AF276" s="28"/>
      <c r="AG276" s="28"/>
      <c r="AH276" s="28">
        <v>24.8</v>
      </c>
      <c r="AI276" s="28"/>
      <c r="AJ276" s="28"/>
      <c r="AK276" s="29" t="s">
        <v>114</v>
      </c>
      <c r="AM276" t="str">
        <f t="shared" si="16"/>
        <v>mocoa</v>
      </c>
      <c r="AN276" t="str">
        <f t="shared" si="17"/>
        <v>putumayo</v>
      </c>
      <c r="AO276" t="b">
        <f t="shared" si="18"/>
        <v>0</v>
      </c>
      <c r="AP276" t="str">
        <f t="shared" si="19"/>
        <v>mocoa</v>
      </c>
    </row>
    <row r="277" spans="1:42" ht="25.5" customHeight="1" x14ac:dyDescent="0.25">
      <c r="A277" s="33" t="s">
        <v>641</v>
      </c>
      <c r="B277" s="11" t="s">
        <v>10</v>
      </c>
      <c r="C277" s="34" t="s">
        <v>112</v>
      </c>
      <c r="D277" s="69"/>
      <c r="E277" s="11" t="s">
        <v>642</v>
      </c>
      <c r="F277" s="25" t="str">
        <f>IFERROR(IF($AO277,INDEX(cpe!$C$2:$C$307,MATCH($AP277,cpe!$F$2:$F$307,0)),INDEX(cpe!$C$2:$C$307,MATCH($AP277,cpe!$D$2:$D$307,0))),"#N/D")</f>
        <v>#N/D</v>
      </c>
      <c r="G277" s="25" t="str">
        <f>IFERROR(IF($AO277,INDEX(cpe!$B$2:$B$307,MATCH($AP277,cpe!$F$2:$F$307,0)),INDEX(cpe!$B$2:$B$307,MATCH($AP277,cpe!$D$2:$D$307,0))),"#N/D")</f>
        <v>#N/D</v>
      </c>
      <c r="H277" s="26" t="str">
        <f>IF($AO277,"#N/D",IFERROR(INDEX(Olimpiadas!$B$2:$B$61,MATCH($AM277,Olimpiadas!$C$2:$C$61,0)),"#N/D"))</f>
        <v>#N/D</v>
      </c>
      <c r="I277" s="26" t="str">
        <f>IF($AO277,"#N/D",IFERROR(INDEX(Olimpiadas!$A$2:$A$61,MATCH($AM277,Olimpiadas!$C$2:$C$61,0)),"#N/D"))</f>
        <v>#N/D</v>
      </c>
      <c r="J277" s="26" t="str">
        <f>IF($AO277,"#N/D",IFERROR(INDEX(Minculturas!$A$2:$A$48,MATCH($AM277,Minculturas!$C$2:$C$48,0)),"#N/D"))</f>
        <v>#N/D</v>
      </c>
      <c r="K277" s="26" t="str">
        <f>IF($AO277,"#N/D",IFERROR(INDEX(Minculturas!$B$2:$B$48,MATCH($AM277,Minculturas!$C$2:$C$48,0)),"#N/D"))</f>
        <v>#N/D</v>
      </c>
      <c r="L277" s="27">
        <v>1</v>
      </c>
      <c r="M277" s="28">
        <v>0</v>
      </c>
      <c r="N277" s="28">
        <v>0</v>
      </c>
      <c r="O277" s="28">
        <v>0</v>
      </c>
      <c r="P277" s="28">
        <v>1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7">
        <f>SUM(Tabla43[[#This Row],[Edificación colapsada]:[Robo]])</f>
        <v>1</v>
      </c>
      <c r="AF277" s="28"/>
      <c r="AG277" s="28"/>
      <c r="AH277" s="28">
        <v>39.5</v>
      </c>
      <c r="AI277" s="28"/>
      <c r="AJ277" s="28"/>
      <c r="AK277" s="29" t="s">
        <v>114</v>
      </c>
      <c r="AM277" t="str">
        <f t="shared" si="16"/>
        <v>montebello</v>
      </c>
      <c r="AN277" t="str">
        <f t="shared" si="17"/>
        <v>antioquia</v>
      </c>
      <c r="AO277" t="b">
        <f t="shared" si="18"/>
        <v>0</v>
      </c>
      <c r="AP277" t="str">
        <f t="shared" si="19"/>
        <v>montebello</v>
      </c>
    </row>
    <row r="278" spans="1:42" ht="25.5" customHeight="1" x14ac:dyDescent="0.25">
      <c r="A278" s="33" t="s">
        <v>839</v>
      </c>
      <c r="B278" s="11" t="s">
        <v>44</v>
      </c>
      <c r="C278" s="34" t="s">
        <v>112</v>
      </c>
      <c r="D278" s="69"/>
      <c r="E278" s="11" t="s">
        <v>840</v>
      </c>
      <c r="F278" s="25" t="str">
        <f>IFERROR(IF($AO278,INDEX(cpe!$C$2:$C$307,MATCH($AP278,cpe!$F$2:$F$307,0)),INDEX(cpe!$C$2:$C$307,MATCH($AP278,cpe!$D$2:$D$307,0))),"#N/D")</f>
        <v>Institucion Educativa Departamental Mariano Santamaria</v>
      </c>
      <c r="G278" s="25" t="str">
        <f>IFERROR(IF($AO278,INDEX(cpe!$B$2:$B$307,MATCH($AP278,cpe!$F$2:$F$307,0)),INDEX(cpe!$B$2:$B$307,MATCH($AP278,cpe!$D$2:$D$307,0))),"#N/D")</f>
        <v>Montenegro</v>
      </c>
      <c r="H278" s="26" t="str">
        <f>IF($AO278,"#N/D",IFERROR(INDEX(Olimpiadas!$B$2:$B$61,MATCH($AM278,Olimpiadas!$C$2:$C$61,0)),"#N/D"))</f>
        <v>#N/D</v>
      </c>
      <c r="I278" s="26" t="str">
        <f>IF($AO278,"#N/D",IFERROR(INDEX(Olimpiadas!$A$2:$A$61,MATCH($AM278,Olimpiadas!$C$2:$C$61,0)),"#N/D"))</f>
        <v>#N/D</v>
      </c>
      <c r="J278" s="26" t="str">
        <f>IF($AO278,"#N/D",IFERROR(INDEX(Minculturas!$A$2:$A$48,MATCH($AM278,Minculturas!$C$2:$C$48,0)),"#N/D"))</f>
        <v>#N/D</v>
      </c>
      <c r="K278" s="26" t="str">
        <f>IF($AO278,"#N/D",IFERROR(INDEX(Minculturas!$B$2:$B$48,MATCH($AM278,Minculturas!$C$2:$C$48,0)),"#N/D"))</f>
        <v>#N/D</v>
      </c>
      <c r="L278" s="27">
        <v>44</v>
      </c>
      <c r="M278" s="28">
        <v>0</v>
      </c>
      <c r="N278" s="28">
        <v>10</v>
      </c>
      <c r="O278" s="28">
        <v>10</v>
      </c>
      <c r="P278" s="28">
        <v>1</v>
      </c>
      <c r="Q278" s="28">
        <v>8</v>
      </c>
      <c r="R278" s="28">
        <v>3</v>
      </c>
      <c r="S278" s="28">
        <v>3</v>
      </c>
      <c r="T278" s="28">
        <v>1</v>
      </c>
      <c r="U278" s="28">
        <v>3</v>
      </c>
      <c r="V278" s="28">
        <v>0</v>
      </c>
      <c r="W278" s="28">
        <v>1</v>
      </c>
      <c r="X278" s="28">
        <v>0</v>
      </c>
      <c r="Y278" s="28">
        <v>1</v>
      </c>
      <c r="Z278" s="28">
        <v>3</v>
      </c>
      <c r="AA278" s="28">
        <v>0</v>
      </c>
      <c r="AB278" s="28">
        <v>0</v>
      </c>
      <c r="AC278" s="28">
        <v>0</v>
      </c>
      <c r="AD278" s="28">
        <v>0</v>
      </c>
      <c r="AE278" s="27">
        <f>SUM(Tabla43[[#This Row],[Edificación colapsada]:[Robo]])</f>
        <v>44</v>
      </c>
      <c r="AF278" s="28" t="s">
        <v>175</v>
      </c>
      <c r="AG278" s="28" t="s">
        <v>408</v>
      </c>
      <c r="AH278" s="28">
        <v>25.8</v>
      </c>
      <c r="AI278" s="28"/>
      <c r="AJ278" s="28"/>
      <c r="AK278" s="29" t="s">
        <v>114</v>
      </c>
      <c r="AM278" t="str">
        <f t="shared" si="16"/>
        <v>montenegro</v>
      </c>
      <c r="AN278" t="str">
        <f t="shared" si="17"/>
        <v>quindio</v>
      </c>
      <c r="AO278" t="b">
        <f t="shared" si="18"/>
        <v>0</v>
      </c>
      <c r="AP278" t="str">
        <f t="shared" si="19"/>
        <v>montenegro</v>
      </c>
    </row>
    <row r="279" spans="1:42" ht="25.5" customHeight="1" x14ac:dyDescent="0.25">
      <c r="A279" s="33" t="s">
        <v>1135</v>
      </c>
      <c r="B279" s="11" t="s">
        <v>33</v>
      </c>
      <c r="C279" s="34" t="s">
        <v>112</v>
      </c>
      <c r="D279" s="69"/>
      <c r="E279" s="11" t="s">
        <v>1136</v>
      </c>
      <c r="F279" s="25" t="str">
        <f>IFERROR(IF($AO279,INDEX(cpe!$C$2:$C$307,MATCH($AP279,cpe!$F$2:$F$307,0)),INDEX(cpe!$C$2:$C$307,MATCH($AP279,cpe!$D$2:$D$307,0))),"#N/D")</f>
        <v>#N/D</v>
      </c>
      <c r="G279" s="25" t="str">
        <f>IFERROR(IF($AO279,INDEX(cpe!$B$2:$B$307,MATCH($AP279,cpe!$F$2:$F$307,0)),INDEX(cpe!$B$2:$B$307,MATCH($AP279,cpe!$D$2:$D$307,0))),"#N/D")</f>
        <v>#N/D</v>
      </c>
      <c r="H279" s="26" t="str">
        <f>IF($AO279,"#N/D",IFERROR(INDEX(Olimpiadas!$B$2:$B$61,MATCH($AM279,Olimpiadas!$C$2:$C$61,0)),"#N/D"))</f>
        <v>Montería</v>
      </c>
      <c r="I279" s="26" t="str">
        <f>IF($AO279,"#N/D",IFERROR(INDEX(Olimpiadas!$A$2:$A$61,MATCH($AM279,Olimpiadas!$C$2:$C$61,0)),"#N/D"))</f>
        <v>INSTITUCIÓN EDUCATIVA PATIO BONITO</v>
      </c>
      <c r="J279" s="26" t="str">
        <f>IF($AO279,"#N/D",IFERROR(INDEX(Minculturas!$A$2:$A$48,MATCH($AM279,Minculturas!$C$2:$C$48,0)),"#N/D"))</f>
        <v>#N/D</v>
      </c>
      <c r="K279" s="26" t="str">
        <f>IF($AO279,"#N/D",IFERROR(INDEX(Minculturas!$B$2:$B$48,MATCH($AM279,Minculturas!$C$2:$C$48,0)),"#N/D"))</f>
        <v>#N/D</v>
      </c>
      <c r="L279" s="27">
        <v>3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3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7">
        <f>SUM(Tabla43[[#This Row],[Edificación colapsada]:[Robo]])</f>
        <v>3</v>
      </c>
      <c r="AF279" s="28"/>
      <c r="AG279" s="28"/>
      <c r="AH279" s="28">
        <v>27.1</v>
      </c>
      <c r="AI279" s="28"/>
      <c r="AJ279" s="28"/>
      <c r="AK279" s="29" t="s">
        <v>114</v>
      </c>
      <c r="AM279" t="str">
        <f t="shared" si="16"/>
        <v>monteria</v>
      </c>
      <c r="AN279" t="str">
        <f t="shared" si="17"/>
        <v>cordoba</v>
      </c>
      <c r="AO279" t="b">
        <f t="shared" si="18"/>
        <v>0</v>
      </c>
      <c r="AP279" t="str">
        <f t="shared" si="19"/>
        <v>monteria</v>
      </c>
    </row>
    <row r="280" spans="1:42" ht="25.5" customHeight="1" x14ac:dyDescent="0.25">
      <c r="A280" s="33" t="s">
        <v>238</v>
      </c>
      <c r="B280" s="11" t="s">
        <v>28</v>
      </c>
      <c r="C280" s="34" t="s">
        <v>112</v>
      </c>
      <c r="D280" s="69"/>
      <c r="E280" s="11" t="s">
        <v>239</v>
      </c>
      <c r="F280" s="25" t="str">
        <f>IFERROR(IF($AO280,INDEX(cpe!$C$2:$C$307,MATCH($AP280,cpe!$F$2:$F$307,0)),INDEX(cpe!$C$2:$C$307,MATCH($AP280,cpe!$D$2:$D$307,0))),"#N/D")</f>
        <v>#N/D</v>
      </c>
      <c r="G280" s="25" t="str">
        <f>IFERROR(IF($AO280,INDEX(cpe!$B$2:$B$307,MATCH($AP280,cpe!$F$2:$F$307,0)),INDEX(cpe!$B$2:$B$307,MATCH($AP280,cpe!$D$2:$D$307,0))),"#N/D")</f>
        <v>#N/D</v>
      </c>
      <c r="H280" s="26" t="str">
        <f>IF($AO280,"#N/D",IFERROR(INDEX(Olimpiadas!$B$2:$B$61,MATCH($AM280,Olimpiadas!$C$2:$C$61,0)),"#N/D"))</f>
        <v>#N/D</v>
      </c>
      <c r="I280" s="26" t="str">
        <f>IF($AO280,"#N/D",IFERROR(INDEX(Olimpiadas!$A$2:$A$61,MATCH($AM280,Olimpiadas!$C$2:$C$61,0)),"#N/D"))</f>
        <v>#N/D</v>
      </c>
      <c r="J280" s="26" t="str">
        <f>IF($AO280,"#N/D",IFERROR(INDEX(Minculturas!$A$2:$A$48,MATCH($AM280,Minculturas!$C$2:$C$48,0)),"#N/D"))</f>
        <v>#N/D</v>
      </c>
      <c r="K280" s="26" t="str">
        <f>IF($AO280,"#N/D",IFERROR(INDEX(Minculturas!$B$2:$B$48,MATCH($AM280,Minculturas!$C$2:$C$48,0)),"#N/D"))</f>
        <v>#N/D</v>
      </c>
      <c r="L280" s="27">
        <v>2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1</v>
      </c>
      <c r="S280" s="28">
        <v>0</v>
      </c>
      <c r="T280" s="28">
        <v>0</v>
      </c>
      <c r="U280" s="28">
        <v>0</v>
      </c>
      <c r="V280" s="28">
        <v>1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7">
        <f>SUM(Tabla43[[#This Row],[Edificación colapsada]:[Robo]])</f>
        <v>2</v>
      </c>
      <c r="AF280" s="28"/>
      <c r="AG280" s="28"/>
      <c r="AH280" s="28">
        <v>48.7</v>
      </c>
      <c r="AI280" s="28"/>
      <c r="AJ280" s="28"/>
      <c r="AK280" s="29" t="s">
        <v>114</v>
      </c>
      <c r="AM280" t="str">
        <f t="shared" si="16"/>
        <v>morales</v>
      </c>
      <c r="AN280" t="str">
        <f t="shared" si="17"/>
        <v>cauca</v>
      </c>
      <c r="AO280" t="b">
        <f t="shared" si="18"/>
        <v>0</v>
      </c>
      <c r="AP280" t="str">
        <f t="shared" si="19"/>
        <v>morales</v>
      </c>
    </row>
    <row r="281" spans="1:42" ht="25.5" customHeight="1" x14ac:dyDescent="0.25">
      <c r="A281" s="33" t="s">
        <v>240</v>
      </c>
      <c r="B281" s="11" t="s">
        <v>41</v>
      </c>
      <c r="C281" s="34" t="s">
        <v>112</v>
      </c>
      <c r="D281" s="69"/>
      <c r="E281" s="11" t="s">
        <v>241</v>
      </c>
      <c r="F281" s="25" t="str">
        <f>IFERROR(IF($AO281,INDEX(cpe!$C$2:$C$307,MATCH($AP281,cpe!$F$2:$F$307,0)),INDEX(cpe!$C$2:$C$307,MATCH($AP281,cpe!$D$2:$D$307,0))),"#N/D")</f>
        <v>#N/D</v>
      </c>
      <c r="G281" s="25" t="str">
        <f>IFERROR(IF($AO281,INDEX(cpe!$B$2:$B$307,MATCH($AP281,cpe!$F$2:$F$307,0)),INDEX(cpe!$B$2:$B$307,MATCH($AP281,cpe!$D$2:$D$307,0))),"#N/D")</f>
        <v>#N/D</v>
      </c>
      <c r="H281" s="26" t="str">
        <f>IF($AO281,"#N/D",IFERROR(INDEX(Olimpiadas!$B$2:$B$61,MATCH($AM281,Olimpiadas!$C$2:$C$61,0)),"#N/D"))</f>
        <v>#N/D</v>
      </c>
      <c r="I281" s="26" t="str">
        <f>IF($AO281,"#N/D",IFERROR(INDEX(Olimpiadas!$A$2:$A$61,MATCH($AM281,Olimpiadas!$C$2:$C$61,0)),"#N/D"))</f>
        <v>#N/D</v>
      </c>
      <c r="J281" s="26" t="str">
        <f>IF($AO281,"#N/D",IFERROR(INDEX(Minculturas!$A$2:$A$48,MATCH($AM281,Minculturas!$C$2:$C$48,0)),"#N/D"))</f>
        <v>#N/D</v>
      </c>
      <c r="K281" s="26" t="str">
        <f>IF($AO281,"#N/D",IFERROR(INDEX(Minculturas!$B$2:$B$48,MATCH($AM281,Minculturas!$C$2:$C$48,0)),"#N/D"))</f>
        <v>#N/D</v>
      </c>
      <c r="L281" s="27">
        <v>2</v>
      </c>
      <c r="M281" s="28">
        <v>0</v>
      </c>
      <c r="N281" s="28">
        <v>1</v>
      </c>
      <c r="O281" s="28">
        <v>0</v>
      </c>
      <c r="P281" s="28">
        <v>0</v>
      </c>
      <c r="Q281" s="28">
        <v>0</v>
      </c>
      <c r="R281" s="28">
        <v>0</v>
      </c>
      <c r="S281" s="28">
        <v>1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7">
        <f>SUM(Tabla43[[#This Row],[Edificación colapsada]:[Robo]])</f>
        <v>2</v>
      </c>
      <c r="AF281" s="28"/>
      <c r="AG281" s="28"/>
      <c r="AH281" s="28">
        <v>9.6</v>
      </c>
      <c r="AI281" s="28"/>
      <c r="AJ281" s="28"/>
      <c r="AK281" s="29" t="s">
        <v>114</v>
      </c>
      <c r="AM281" t="str">
        <f t="shared" si="16"/>
        <v>mosquera</v>
      </c>
      <c r="AN281" t="str">
        <f t="shared" si="17"/>
        <v>narino</v>
      </c>
      <c r="AO281" t="b">
        <f t="shared" si="18"/>
        <v>1</v>
      </c>
      <c r="AP281" t="str">
        <f t="shared" si="19"/>
        <v>mosquera|narino</v>
      </c>
    </row>
    <row r="282" spans="1:42" ht="25.5" customHeight="1" x14ac:dyDescent="0.25">
      <c r="A282" s="33" t="s">
        <v>564</v>
      </c>
      <c r="B282" s="11" t="s">
        <v>48</v>
      </c>
      <c r="C282" s="34" t="s">
        <v>112</v>
      </c>
      <c r="D282" s="69"/>
      <c r="E282" s="11" t="s">
        <v>565</v>
      </c>
      <c r="F282" s="25" t="str">
        <f>IFERROR(IF($AO282,INDEX(cpe!$C$2:$C$307,MATCH($AP282,cpe!$F$2:$F$307,0)),INDEX(cpe!$C$2:$C$307,MATCH($AP282,cpe!$D$2:$D$307,0))),"#N/D")</f>
        <v>#N/D</v>
      </c>
      <c r="G282" s="25" t="str">
        <f>IFERROR(IF($AO282,INDEX(cpe!$B$2:$B$307,MATCH($AP282,cpe!$F$2:$F$307,0)),INDEX(cpe!$B$2:$B$307,MATCH($AP282,cpe!$D$2:$D$307,0))),"#N/D")</f>
        <v>#N/D</v>
      </c>
      <c r="H282" s="26" t="str">
        <f>IF($AO282,"#N/D",IFERROR(INDEX(Olimpiadas!$B$2:$B$61,MATCH($AM282,Olimpiadas!$C$2:$C$61,0)),"#N/D"))</f>
        <v>#N/D</v>
      </c>
      <c r="I282" s="26" t="str">
        <f>IF($AO282,"#N/D",IFERROR(INDEX(Olimpiadas!$A$2:$A$61,MATCH($AM282,Olimpiadas!$C$2:$C$61,0)),"#N/D"))</f>
        <v>#N/D</v>
      </c>
      <c r="J282" s="26" t="str">
        <f>IF($AO282,"#N/D",IFERROR(INDEX(Minculturas!$A$2:$A$48,MATCH($AM282,Minculturas!$C$2:$C$48,0)),"#N/D"))</f>
        <v>#N/D</v>
      </c>
      <c r="K282" s="26" t="str">
        <f>IF($AO282,"#N/D",IFERROR(INDEX(Minculturas!$B$2:$B$48,MATCH($AM282,Minculturas!$C$2:$C$48,0)),"#N/D"))</f>
        <v>#N/D</v>
      </c>
      <c r="L282" s="27">
        <v>1</v>
      </c>
      <c r="M282" s="28">
        <v>0</v>
      </c>
      <c r="N282" s="28">
        <v>1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7">
        <f>SUM(Tabla43[[#This Row],[Edificación colapsada]:[Robo]])</f>
        <v>1</v>
      </c>
      <c r="AF282" s="28"/>
      <c r="AG282" s="28"/>
      <c r="AH282" s="28">
        <v>50.4</v>
      </c>
      <c r="AI282" s="28"/>
      <c r="AJ282" s="28"/>
      <c r="AK282" s="29" t="s">
        <v>114</v>
      </c>
      <c r="AM282" t="str">
        <f t="shared" si="16"/>
        <v>murillo</v>
      </c>
      <c r="AN282" t="str">
        <f t="shared" si="17"/>
        <v>tolima</v>
      </c>
      <c r="AO282" t="b">
        <f t="shared" si="18"/>
        <v>0</v>
      </c>
      <c r="AP282" t="str">
        <f t="shared" si="19"/>
        <v>murillo</v>
      </c>
    </row>
    <row r="283" spans="1:42" ht="25.5" customHeight="1" x14ac:dyDescent="0.25">
      <c r="A283" s="33" t="s">
        <v>933</v>
      </c>
      <c r="B283" s="11" t="s">
        <v>10</v>
      </c>
      <c r="C283" s="34" t="s">
        <v>112</v>
      </c>
      <c r="D283" s="69"/>
      <c r="E283" s="11" t="s">
        <v>41</v>
      </c>
      <c r="F283" s="25" t="str">
        <f>IFERROR(IF($AO283,INDEX(cpe!$C$2:$C$307,MATCH($AP283,cpe!$F$2:$F$307,0)),INDEX(cpe!$C$2:$C$307,MATCH($AP283,cpe!$D$2:$D$307,0))),"#N/D")</f>
        <v>#N/D</v>
      </c>
      <c r="G283" s="25" t="str">
        <f>IFERROR(IF($AO283,INDEX(cpe!$B$2:$B$307,MATCH($AP283,cpe!$F$2:$F$307,0)),INDEX(cpe!$B$2:$B$307,MATCH($AP283,cpe!$D$2:$D$307,0))),"#N/D")</f>
        <v>#N/D</v>
      </c>
      <c r="H283" s="26" t="str">
        <f>IF($AO283,"#N/D",IFERROR(INDEX(Olimpiadas!$B$2:$B$61,MATCH($AM283,Olimpiadas!$C$2:$C$61,0)),"#N/D"))</f>
        <v>#N/D</v>
      </c>
      <c r="I283" s="26" t="str">
        <f>IF($AO283,"#N/D",IFERROR(INDEX(Olimpiadas!$A$2:$A$61,MATCH($AM283,Olimpiadas!$C$2:$C$61,0)),"#N/D"))</f>
        <v>#N/D</v>
      </c>
      <c r="J283" s="26" t="str">
        <f>IF($AO283,"#N/D",IFERROR(INDEX(Minculturas!$A$2:$A$48,MATCH($AM283,Minculturas!$C$2:$C$48,0)),"#N/D"))</f>
        <v>#N/D</v>
      </c>
      <c r="K283" s="26" t="str">
        <f>IF($AO283,"#N/D",IFERROR(INDEX(Minculturas!$B$2:$B$48,MATCH($AM283,Minculturas!$C$2:$C$48,0)),"#N/D"))</f>
        <v>#N/D</v>
      </c>
      <c r="L283" s="27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7">
        <f>SUM(Tabla43[[#This Row],[Edificación colapsada]:[Robo]])</f>
        <v>0</v>
      </c>
      <c r="AF283" s="28"/>
      <c r="AG283" s="28"/>
      <c r="AH283" s="28">
        <v>51.8</v>
      </c>
      <c r="AI283" s="28"/>
      <c r="AJ283" s="28"/>
      <c r="AK283" s="29" t="s">
        <v>365</v>
      </c>
      <c r="AM283" t="str">
        <f t="shared" si="16"/>
        <v>narino</v>
      </c>
      <c r="AN283" t="str">
        <f t="shared" si="17"/>
        <v>antioquia</v>
      </c>
      <c r="AO283" t="b">
        <f t="shared" si="18"/>
        <v>0</v>
      </c>
      <c r="AP283" t="str">
        <f t="shared" si="19"/>
        <v>narino</v>
      </c>
    </row>
    <row r="284" spans="1:42" ht="25.5" customHeight="1" x14ac:dyDescent="0.25">
      <c r="A284" s="33" t="s">
        <v>496</v>
      </c>
      <c r="B284" s="11" t="s">
        <v>48</v>
      </c>
      <c r="C284" s="34" t="s">
        <v>112</v>
      </c>
      <c r="D284" s="69"/>
      <c r="E284" s="11" t="s">
        <v>497</v>
      </c>
      <c r="F284" s="25" t="str">
        <f>IFERROR(IF($AO284,INDEX(cpe!$C$2:$C$307,MATCH($AP284,cpe!$F$2:$F$307,0)),INDEX(cpe!$C$2:$C$307,MATCH($AP284,cpe!$D$2:$D$307,0))),"#N/D")</f>
        <v>Institucion Educativa Altozano</v>
      </c>
      <c r="G284" s="25" t="str">
        <f>IFERROR(IF($AO284,INDEX(cpe!$B$2:$B$307,MATCH($AP284,cpe!$F$2:$F$307,0)),INDEX(cpe!$B$2:$B$307,MATCH($AP284,cpe!$D$2:$D$307,0))),"#N/D")</f>
        <v>Natagaima</v>
      </c>
      <c r="H284" s="26" t="str">
        <f>IF($AO284,"#N/D",IFERROR(INDEX(Olimpiadas!$B$2:$B$61,MATCH($AM284,Olimpiadas!$C$2:$C$61,0)),"#N/D"))</f>
        <v>#N/D</v>
      </c>
      <c r="I284" s="26" t="str">
        <f>IF($AO284,"#N/D",IFERROR(INDEX(Olimpiadas!$A$2:$A$61,MATCH($AM284,Olimpiadas!$C$2:$C$61,0)),"#N/D"))</f>
        <v>#N/D</v>
      </c>
      <c r="J284" s="26" t="str">
        <f>IF($AO284,"#N/D",IFERROR(INDEX(Minculturas!$A$2:$A$48,MATCH($AM284,Minculturas!$C$2:$C$48,0)),"#N/D"))</f>
        <v>#N/D</v>
      </c>
      <c r="K284" s="26" t="str">
        <f>IF($AO284,"#N/D",IFERROR(INDEX(Minculturas!$B$2:$B$48,MATCH($AM284,Minculturas!$C$2:$C$48,0)),"#N/D"))</f>
        <v>#N/D</v>
      </c>
      <c r="L284" s="27">
        <v>1</v>
      </c>
      <c r="M284" s="28">
        <v>0</v>
      </c>
      <c r="N284" s="28">
        <v>0</v>
      </c>
      <c r="O284" s="28">
        <v>1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7">
        <f>SUM(Tabla43[[#This Row],[Edificación colapsada]:[Robo]])</f>
        <v>1</v>
      </c>
      <c r="AF284" s="28"/>
      <c r="AG284" s="28"/>
      <c r="AH284" s="28">
        <v>42.1</v>
      </c>
      <c r="AI284" s="28"/>
      <c r="AJ284" s="28"/>
      <c r="AK284" s="29" t="s">
        <v>246</v>
      </c>
      <c r="AM284" t="str">
        <f t="shared" si="16"/>
        <v>natagaima</v>
      </c>
      <c r="AN284" t="str">
        <f t="shared" si="17"/>
        <v>tolima</v>
      </c>
      <c r="AO284" t="b">
        <f t="shared" si="18"/>
        <v>0</v>
      </c>
      <c r="AP284" t="str">
        <f t="shared" si="19"/>
        <v>natagaima</v>
      </c>
    </row>
    <row r="285" spans="1:42" ht="25.5" customHeight="1" x14ac:dyDescent="0.25">
      <c r="A285" s="33" t="s">
        <v>729</v>
      </c>
      <c r="B285" s="11" t="s">
        <v>37</v>
      </c>
      <c r="C285" s="34" t="s">
        <v>112</v>
      </c>
      <c r="D285" s="69"/>
      <c r="E285" s="11" t="s">
        <v>730</v>
      </c>
      <c r="F285" s="25" t="str">
        <f>IFERROR(IF($AO285,INDEX(cpe!$C$2:$C$307,MATCH($AP285,cpe!$F$2:$F$307,0)),INDEX(cpe!$C$2:$C$307,MATCH($AP285,cpe!$D$2:$D$307,0))),"#N/D")</f>
        <v>Institucion Educativa Jose Celestino Mutis</v>
      </c>
      <c r="G285" s="25" t="str">
        <f>IFERROR(IF($AO285,INDEX(cpe!$B$2:$B$307,MATCH($AP285,cpe!$F$2:$F$307,0)),INDEX(cpe!$B$2:$B$307,MATCH($AP285,cpe!$D$2:$D$307,0))),"#N/D")</f>
        <v>Neiva</v>
      </c>
      <c r="H285" s="26" t="str">
        <f>IF($AO285,"#N/D",IFERROR(INDEX(Olimpiadas!$B$2:$B$61,MATCH($AM285,Olimpiadas!$C$2:$C$61,0)),"#N/D"))</f>
        <v>Neiva</v>
      </c>
      <c r="I285" s="26" t="str">
        <f>IF($AO285,"#N/D",IFERROR(INDEX(Olimpiadas!$A$2:$A$61,MATCH($AM285,Olimpiadas!$C$2:$C$61,0)),"#N/D"))</f>
        <v>INSTITUCIÓN EDUCATIVA SAN ANTONIO DE ANACONIA</v>
      </c>
      <c r="J285" s="26" t="str">
        <f>IF($AO285,"#N/D",IFERROR(INDEX(Minculturas!$A$2:$A$48,MATCH($AM285,Minculturas!$C$2:$C$48,0)),"#N/D"))</f>
        <v>#N/D</v>
      </c>
      <c r="K285" s="26" t="str">
        <f>IF($AO285,"#N/D",IFERROR(INDEX(Minculturas!$B$2:$B$48,MATCH($AM285,Minculturas!$C$2:$C$48,0)),"#N/D"))</f>
        <v>#N/D</v>
      </c>
      <c r="L285" s="27">
        <v>12</v>
      </c>
      <c r="M285" s="28">
        <v>0</v>
      </c>
      <c r="N285" s="28">
        <v>1</v>
      </c>
      <c r="O285" s="28">
        <v>1</v>
      </c>
      <c r="P285" s="28">
        <v>0</v>
      </c>
      <c r="Q285" s="28">
        <v>3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2</v>
      </c>
      <c r="X285" s="28">
        <v>0</v>
      </c>
      <c r="Y285" s="28">
        <v>1</v>
      </c>
      <c r="Z285" s="28">
        <v>4</v>
      </c>
      <c r="AA285" s="28">
        <v>0</v>
      </c>
      <c r="AB285" s="28">
        <v>0</v>
      </c>
      <c r="AC285" s="28">
        <v>0</v>
      </c>
      <c r="AD285" s="28">
        <v>0</v>
      </c>
      <c r="AE285" s="27">
        <f>SUM(Tabla43[[#This Row],[Edificación colapsada]:[Robo]])</f>
        <v>12</v>
      </c>
      <c r="AF285" s="28"/>
      <c r="AG285" s="28"/>
      <c r="AH285" s="28">
        <v>17.600000000000001</v>
      </c>
      <c r="AI285" s="28"/>
      <c r="AJ285" s="28"/>
      <c r="AK285" s="29" t="s">
        <v>114</v>
      </c>
      <c r="AM285" t="str">
        <f t="shared" si="16"/>
        <v>neiva</v>
      </c>
      <c r="AN285" t="str">
        <f t="shared" si="17"/>
        <v>huila</v>
      </c>
      <c r="AO285" t="b">
        <f t="shared" si="18"/>
        <v>0</v>
      </c>
      <c r="AP285" t="str">
        <f t="shared" si="19"/>
        <v>neiva</v>
      </c>
    </row>
    <row r="286" spans="1:42" ht="25.5" customHeight="1" x14ac:dyDescent="0.25">
      <c r="A286" s="33" t="s">
        <v>1073</v>
      </c>
      <c r="B286" s="11" t="s">
        <v>35</v>
      </c>
      <c r="C286" s="34" t="s">
        <v>112</v>
      </c>
      <c r="D286" s="69"/>
      <c r="E286" s="11" t="s">
        <v>1074</v>
      </c>
      <c r="F286" s="25" t="str">
        <f>IFERROR(IF($AO286,INDEX(cpe!$C$2:$C$307,MATCH($AP286,cpe!$F$2:$F$307,0)),INDEX(cpe!$C$2:$C$307,MATCH($AP286,cpe!$D$2:$D$307,0))),"#N/D")</f>
        <v>#N/D</v>
      </c>
      <c r="G286" s="25" t="str">
        <f>IFERROR(IF($AO286,INDEX(cpe!$B$2:$B$307,MATCH($AP286,cpe!$F$2:$F$307,0)),INDEX(cpe!$B$2:$B$307,MATCH($AP286,cpe!$D$2:$D$307,0))),"#N/D")</f>
        <v>#N/D</v>
      </c>
      <c r="H286" s="26" t="str">
        <f>IF($AO286,"#N/D",IFERROR(INDEX(Olimpiadas!$B$2:$B$61,MATCH($AM286,Olimpiadas!$C$2:$C$61,0)),"#N/D"))</f>
        <v>#N/D</v>
      </c>
      <c r="I286" s="26" t="str">
        <f>IF($AO286,"#N/D",IFERROR(INDEX(Olimpiadas!$A$2:$A$61,MATCH($AM286,Olimpiadas!$C$2:$C$61,0)),"#N/D"))</f>
        <v>#N/D</v>
      </c>
      <c r="J286" s="26" t="str">
        <f>IF($AO286,"#N/D",IFERROR(INDEX(Minculturas!$A$2:$A$48,MATCH($AM286,Minculturas!$C$2:$C$48,0)),"#N/D"))</f>
        <v>#N/D</v>
      </c>
      <c r="K286" s="26" t="str">
        <f>IF($AO286,"#N/D",IFERROR(INDEX(Minculturas!$B$2:$B$48,MATCH($AM286,Minculturas!$C$2:$C$48,0)),"#N/D"))</f>
        <v>#N/D</v>
      </c>
      <c r="L286" s="27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7">
        <f>SUM(Tabla43[[#This Row],[Edificación colapsada]:[Robo]])</f>
        <v>0</v>
      </c>
      <c r="AF286" s="28"/>
      <c r="AG286" s="28"/>
      <c r="AH286" s="28">
        <v>30.2</v>
      </c>
      <c r="AI286" s="28"/>
      <c r="AJ286" s="28"/>
      <c r="AK286" s="29" t="s">
        <v>246</v>
      </c>
      <c r="AM286" t="str">
        <f t="shared" si="16"/>
        <v>nimaima</v>
      </c>
      <c r="AN286" t="str">
        <f t="shared" si="17"/>
        <v>cundinamarca</v>
      </c>
      <c r="AO286" t="b">
        <f t="shared" si="18"/>
        <v>0</v>
      </c>
      <c r="AP286" t="str">
        <f t="shared" si="19"/>
        <v>nimaima</v>
      </c>
    </row>
    <row r="287" spans="1:42" ht="25.5" customHeight="1" x14ac:dyDescent="0.25">
      <c r="A287" s="33" t="s">
        <v>1075</v>
      </c>
      <c r="B287" s="11" t="s">
        <v>35</v>
      </c>
      <c r="C287" s="34" t="s">
        <v>112</v>
      </c>
      <c r="D287" s="69"/>
      <c r="E287" s="11" t="s">
        <v>1076</v>
      </c>
      <c r="F287" s="25" t="str">
        <f>IFERROR(IF($AO287,INDEX(cpe!$C$2:$C$307,MATCH($AP287,cpe!$F$2:$F$307,0)),INDEX(cpe!$C$2:$C$307,MATCH($AP287,cpe!$D$2:$D$307,0))),"#N/D")</f>
        <v>#N/D</v>
      </c>
      <c r="G287" s="25" t="str">
        <f>IFERROR(IF($AO287,INDEX(cpe!$B$2:$B$307,MATCH($AP287,cpe!$F$2:$F$307,0)),INDEX(cpe!$B$2:$B$307,MATCH($AP287,cpe!$D$2:$D$307,0))),"#N/D")</f>
        <v>#N/D</v>
      </c>
      <c r="H287" s="26" t="str">
        <f>IF($AO287,"#N/D",IFERROR(INDEX(Olimpiadas!$B$2:$B$61,MATCH($AM287,Olimpiadas!$C$2:$C$61,0)),"#N/D"))</f>
        <v>#N/D</v>
      </c>
      <c r="I287" s="26" t="str">
        <f>IF($AO287,"#N/D",IFERROR(INDEX(Olimpiadas!$A$2:$A$61,MATCH($AM287,Olimpiadas!$C$2:$C$61,0)),"#N/D"))</f>
        <v>#N/D</v>
      </c>
      <c r="J287" s="26" t="str">
        <f>IF($AO287,"#N/D",IFERROR(INDEX(Minculturas!$A$2:$A$48,MATCH($AM287,Minculturas!$C$2:$C$48,0)),"#N/D"))</f>
        <v>#N/D</v>
      </c>
      <c r="K287" s="26" t="str">
        <f>IF($AO287,"#N/D",IFERROR(INDEX(Minculturas!$B$2:$B$48,MATCH($AM287,Minculturas!$C$2:$C$48,0)),"#N/D"))</f>
        <v>#N/D</v>
      </c>
      <c r="L287" s="27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7">
        <f>SUM(Tabla43[[#This Row],[Edificación colapsada]:[Robo]])</f>
        <v>0</v>
      </c>
      <c r="AF287" s="28"/>
      <c r="AG287" s="28"/>
      <c r="AH287" s="28">
        <v>26.2</v>
      </c>
      <c r="AI287" s="28"/>
      <c r="AJ287" s="28"/>
      <c r="AK287" s="29" t="s">
        <v>246</v>
      </c>
      <c r="AM287" t="str">
        <f t="shared" si="16"/>
        <v>nocaima</v>
      </c>
      <c r="AN287" t="str">
        <f t="shared" si="17"/>
        <v>cundinamarca</v>
      </c>
      <c r="AO287" t="b">
        <f t="shared" si="18"/>
        <v>0</v>
      </c>
      <c r="AP287" t="str">
        <f t="shared" si="19"/>
        <v>nocaima</v>
      </c>
    </row>
    <row r="288" spans="1:42" ht="25.5" customHeight="1" x14ac:dyDescent="0.25">
      <c r="A288" s="33" t="s">
        <v>385</v>
      </c>
      <c r="B288" s="11" t="s">
        <v>24</v>
      </c>
      <c r="C288" s="34" t="s">
        <v>112</v>
      </c>
      <c r="D288" s="69"/>
      <c r="E288" s="11" t="s">
        <v>386</v>
      </c>
      <c r="F288" s="25" t="str">
        <f>IFERROR(IF($AO288,INDEX(cpe!$C$2:$C$307,MATCH($AP288,cpe!$F$2:$F$307,0)),INDEX(cpe!$C$2:$C$307,MATCH($AP288,cpe!$D$2:$D$307,0))),"#N/D")</f>
        <v>#N/D</v>
      </c>
      <c r="G288" s="25" t="str">
        <f>IFERROR(IF($AO288,INDEX(cpe!$B$2:$B$307,MATCH($AP288,cpe!$F$2:$F$307,0)),INDEX(cpe!$B$2:$B$307,MATCH($AP288,cpe!$D$2:$D$307,0))),"#N/D")</f>
        <v>#N/D</v>
      </c>
      <c r="H288" s="26" t="str">
        <f>IF($AO288,"#N/D",IFERROR(INDEX(Olimpiadas!$B$2:$B$61,MATCH($AM288,Olimpiadas!$C$2:$C$61,0)),"#N/D"))</f>
        <v>#N/D</v>
      </c>
      <c r="I288" s="26" t="str">
        <f>IF($AO288,"#N/D",IFERROR(INDEX(Olimpiadas!$A$2:$A$61,MATCH($AM288,Olimpiadas!$C$2:$C$61,0)),"#N/D"))</f>
        <v>#N/D</v>
      </c>
      <c r="J288" s="26" t="str">
        <f>IF($AO288,"#N/D",IFERROR(INDEX(Minculturas!$A$2:$A$48,MATCH($AM288,Minculturas!$C$2:$C$48,0)),"#N/D"))</f>
        <v>#N/D</v>
      </c>
      <c r="K288" s="26" t="str">
        <f>IF($AO288,"#N/D",IFERROR(INDEX(Minculturas!$B$2:$B$48,MATCH($AM288,Minculturas!$C$2:$C$48,0)),"#N/D"))</f>
        <v>#N/D</v>
      </c>
      <c r="L288" s="27">
        <v>2</v>
      </c>
      <c r="M288" s="28">
        <v>0</v>
      </c>
      <c r="N288" s="28">
        <v>0</v>
      </c>
      <c r="O288" s="28">
        <v>0</v>
      </c>
      <c r="P288" s="28">
        <v>0</v>
      </c>
      <c r="Q288" s="28">
        <v>2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7">
        <f>SUM(Tabla43[[#This Row],[Edificación colapsada]:[Robo]])</f>
        <v>2</v>
      </c>
      <c r="AF288" s="28"/>
      <c r="AG288" s="28"/>
      <c r="AH288" s="28">
        <v>41.4</v>
      </c>
      <c r="AI288" s="28"/>
      <c r="AJ288" s="28"/>
      <c r="AK288" s="29" t="s">
        <v>114</v>
      </c>
      <c r="AM288" t="str">
        <f t="shared" si="16"/>
        <v>norcasia</v>
      </c>
      <c r="AN288" t="str">
        <f t="shared" si="17"/>
        <v>caldas</v>
      </c>
      <c r="AO288" t="b">
        <f t="shared" si="18"/>
        <v>0</v>
      </c>
      <c r="AP288" t="str">
        <f t="shared" si="19"/>
        <v>norcasia</v>
      </c>
    </row>
    <row r="289" spans="1:42" ht="25.5" customHeight="1" x14ac:dyDescent="0.25">
      <c r="A289" s="33" t="s">
        <v>165</v>
      </c>
      <c r="B289" s="11" t="s">
        <v>31</v>
      </c>
      <c r="C289" s="34" t="s">
        <v>112</v>
      </c>
      <c r="D289" s="69"/>
      <c r="E289" s="11" t="s">
        <v>166</v>
      </c>
      <c r="F289" s="25" t="str">
        <f>IFERROR(IF($AO289,INDEX(cpe!$C$2:$C$307,MATCH($AP289,cpe!$F$2:$F$307,0)),INDEX(cpe!$C$2:$C$307,MATCH($AP289,cpe!$D$2:$D$307,0))),"#N/D")</f>
        <v>#N/D</v>
      </c>
      <c r="G289" s="25" t="str">
        <f>IFERROR(IF($AO289,INDEX(cpe!$B$2:$B$307,MATCH($AP289,cpe!$F$2:$F$307,0)),INDEX(cpe!$B$2:$B$307,MATCH($AP289,cpe!$D$2:$D$307,0))),"#N/D")</f>
        <v>#N/D</v>
      </c>
      <c r="H289" s="26" t="str">
        <f>IF($AO289,"#N/D",IFERROR(INDEX(Olimpiadas!$B$2:$B$61,MATCH($AM289,Olimpiadas!$C$2:$C$61,0)),"#N/D"))</f>
        <v>#N/D</v>
      </c>
      <c r="I289" s="26" t="str">
        <f>IF($AO289,"#N/D",IFERROR(INDEX(Olimpiadas!$A$2:$A$61,MATCH($AM289,Olimpiadas!$C$2:$C$61,0)),"#N/D"))</f>
        <v>#N/D</v>
      </c>
      <c r="J289" s="26" t="str">
        <f>IF($AO289,"#N/D",IFERROR(INDEX(Minculturas!$A$2:$A$48,MATCH($AM289,Minculturas!$C$2:$C$48,0)),"#N/D"))</f>
        <v>Nuquí</v>
      </c>
      <c r="K289" s="26" t="str">
        <f>IF($AO289,"#N/D",IFERROR(INDEX(Minculturas!$B$2:$B$48,MATCH($AM289,Minculturas!$C$2:$C$48,0)),"#N/D"))</f>
        <v>Fundación CLY Ambienta Serranías</v>
      </c>
      <c r="L289" s="27">
        <v>3</v>
      </c>
      <c r="M289" s="28">
        <v>1</v>
      </c>
      <c r="N289" s="28">
        <v>0</v>
      </c>
      <c r="O289" s="28">
        <v>0</v>
      </c>
      <c r="P289" s="28">
        <v>2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7">
        <f>SUM(Tabla43[[#This Row],[Edificación colapsada]:[Robo]])</f>
        <v>3</v>
      </c>
      <c r="AF289" s="28" t="s">
        <v>167</v>
      </c>
      <c r="AG289" s="28" t="s">
        <v>168</v>
      </c>
      <c r="AH289" s="28">
        <v>72.900000000000006</v>
      </c>
      <c r="AI289" s="28"/>
      <c r="AJ289" s="28"/>
      <c r="AK289" s="29" t="s">
        <v>114</v>
      </c>
      <c r="AM289" t="str">
        <f t="shared" si="16"/>
        <v>nuqui</v>
      </c>
      <c r="AN289" t="str">
        <f t="shared" si="17"/>
        <v>choco</v>
      </c>
      <c r="AO289" t="b">
        <f t="shared" si="18"/>
        <v>0</v>
      </c>
      <c r="AP289" t="str">
        <f t="shared" si="19"/>
        <v>nuqui</v>
      </c>
    </row>
    <row r="290" spans="1:42" ht="25.5" customHeight="1" x14ac:dyDescent="0.25">
      <c r="A290" s="33" t="s">
        <v>805</v>
      </c>
      <c r="B290" s="11" t="s">
        <v>49</v>
      </c>
      <c r="C290" s="34" t="s">
        <v>112</v>
      </c>
      <c r="D290" s="69"/>
      <c r="E290" s="11" t="s">
        <v>806</v>
      </c>
      <c r="F290" s="25" t="str">
        <f>IFERROR(IF($AO290,INDEX(cpe!$C$2:$C$307,MATCH($AP290,cpe!$F$2:$F$307,0)),INDEX(cpe!$C$2:$C$307,MATCH($AP290,cpe!$D$2:$D$307,0))),"#N/D")</f>
        <v>#N/D</v>
      </c>
      <c r="G290" s="25" t="str">
        <f>IFERROR(IF($AO290,INDEX(cpe!$B$2:$B$307,MATCH($AP290,cpe!$F$2:$F$307,0)),INDEX(cpe!$B$2:$B$307,MATCH($AP290,cpe!$D$2:$D$307,0))),"#N/D")</f>
        <v>#N/D</v>
      </c>
      <c r="H290" s="26" t="str">
        <f>IF($AO290,"#N/D",IFERROR(INDEX(Olimpiadas!$B$2:$B$61,MATCH($AM290,Olimpiadas!$C$2:$C$61,0)),"#N/D"))</f>
        <v>#N/D</v>
      </c>
      <c r="I290" s="26" t="str">
        <f>IF($AO290,"#N/D",IFERROR(INDEX(Olimpiadas!$A$2:$A$61,MATCH($AM290,Olimpiadas!$C$2:$C$61,0)),"#N/D"))</f>
        <v>#N/D</v>
      </c>
      <c r="J290" s="26" t="str">
        <f>IF($AO290,"#N/D",IFERROR(INDEX(Minculturas!$A$2:$A$48,MATCH($AM290,Minculturas!$C$2:$C$48,0)),"#N/D"))</f>
        <v>#N/D</v>
      </c>
      <c r="K290" s="26" t="str">
        <f>IF($AO290,"#N/D",IFERROR(INDEX(Minculturas!$B$2:$B$48,MATCH($AM290,Minculturas!$C$2:$C$48,0)),"#N/D"))</f>
        <v>#N/D</v>
      </c>
      <c r="L290" s="27">
        <v>1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1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7">
        <f>SUM(Tabla43[[#This Row],[Edificación colapsada]:[Robo]])</f>
        <v>1</v>
      </c>
      <c r="AF290" s="28" t="s">
        <v>575</v>
      </c>
      <c r="AG290" s="28" t="s">
        <v>807</v>
      </c>
      <c r="AH290" s="28">
        <v>31.2</v>
      </c>
      <c r="AI290" s="28"/>
      <c r="AJ290" s="28"/>
      <c r="AK290" s="29" t="s">
        <v>246</v>
      </c>
      <c r="AM290" t="str">
        <f t="shared" si="16"/>
        <v>obando</v>
      </c>
      <c r="AN290" t="str">
        <f t="shared" si="17"/>
        <v>valle del cauca</v>
      </c>
      <c r="AO290" t="b">
        <f t="shared" si="18"/>
        <v>0</v>
      </c>
      <c r="AP290" t="str">
        <f t="shared" si="19"/>
        <v>obando</v>
      </c>
    </row>
    <row r="291" spans="1:42" ht="25.5" customHeight="1" x14ac:dyDescent="0.25">
      <c r="A291" s="33" t="s">
        <v>284</v>
      </c>
      <c r="B291" s="11" t="s">
        <v>48</v>
      </c>
      <c r="C291" s="34" t="s">
        <v>112</v>
      </c>
      <c r="D291" s="69"/>
      <c r="E291" s="11" t="s">
        <v>285</v>
      </c>
      <c r="F291" s="25" t="str">
        <f>IFERROR(IF($AO291,INDEX(cpe!$C$2:$C$307,MATCH($AP291,cpe!$F$2:$F$307,0)),INDEX(cpe!$C$2:$C$307,MATCH($AP291,cpe!$D$2:$D$307,0))),"#N/D")</f>
        <v>IE. Tecnica Agropecuaria Nuestra Senora del Carmen de Espriella</v>
      </c>
      <c r="G291" s="25" t="str">
        <f>IFERROR(IF($AO291,INDEX(cpe!$B$2:$B$307,MATCH($AP291,cpe!$F$2:$F$307,0)),INDEX(cpe!$B$2:$B$307,MATCH($AP291,cpe!$D$2:$D$307,0))),"#N/D")</f>
        <v>Ortega</v>
      </c>
      <c r="H291" s="26" t="str">
        <f>IF($AO291,"#N/D",IFERROR(INDEX(Olimpiadas!$B$2:$B$61,MATCH($AM291,Olimpiadas!$C$2:$C$61,0)),"#N/D"))</f>
        <v>#N/D</v>
      </c>
      <c r="I291" s="26" t="str">
        <f>IF($AO291,"#N/D",IFERROR(INDEX(Olimpiadas!$A$2:$A$61,MATCH($AM291,Olimpiadas!$C$2:$C$61,0)),"#N/D"))</f>
        <v>#N/D</v>
      </c>
      <c r="J291" s="26" t="str">
        <f>IF($AO291,"#N/D",IFERROR(INDEX(Minculturas!$A$2:$A$48,MATCH($AM291,Minculturas!$C$2:$C$48,0)),"#N/D"))</f>
        <v>#N/D</v>
      </c>
      <c r="K291" s="26" t="str">
        <f>IF($AO291,"#N/D",IFERROR(INDEX(Minculturas!$B$2:$B$48,MATCH($AM291,Minculturas!$C$2:$C$48,0)),"#N/D"))</f>
        <v>#N/D</v>
      </c>
      <c r="L291" s="27">
        <v>2</v>
      </c>
      <c r="M291" s="28">
        <v>0</v>
      </c>
      <c r="N291" s="28">
        <v>0</v>
      </c>
      <c r="O291" s="28">
        <v>0</v>
      </c>
      <c r="P291" s="28">
        <v>1</v>
      </c>
      <c r="Q291" s="28">
        <v>0</v>
      </c>
      <c r="R291" s="28">
        <v>0</v>
      </c>
      <c r="S291" s="28">
        <v>1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7">
        <f>SUM(Tabla43[[#This Row],[Edificación colapsada]:[Robo]])</f>
        <v>2</v>
      </c>
      <c r="AF291" s="28"/>
      <c r="AG291" s="28"/>
      <c r="AH291" s="28">
        <v>51.3</v>
      </c>
      <c r="AI291" s="28"/>
      <c r="AJ291" s="28"/>
      <c r="AK291" s="29" t="s">
        <v>114</v>
      </c>
      <c r="AM291" t="str">
        <f t="shared" si="16"/>
        <v>ortega</v>
      </c>
      <c r="AN291" t="str">
        <f t="shared" si="17"/>
        <v>tolima</v>
      </c>
      <c r="AO291" t="b">
        <f t="shared" si="18"/>
        <v>0</v>
      </c>
      <c r="AP291" t="str">
        <f t="shared" si="19"/>
        <v>ortega</v>
      </c>
    </row>
    <row r="292" spans="1:42" ht="25.5" customHeight="1" x14ac:dyDescent="0.25">
      <c r="A292" s="33" t="s">
        <v>1200</v>
      </c>
      <c r="B292" s="11" t="s">
        <v>35</v>
      </c>
      <c r="C292" s="34" t="s">
        <v>112</v>
      </c>
      <c r="D292" s="69"/>
      <c r="E292" s="11" t="s">
        <v>1201</v>
      </c>
      <c r="F292" s="25" t="str">
        <f>IFERROR(IF($AO292,INDEX(cpe!$C$2:$C$307,MATCH($AP292,cpe!$F$2:$F$307,0)),INDEX(cpe!$C$2:$C$307,MATCH($AP292,cpe!$D$2:$D$307,0))),"#N/D")</f>
        <v>Institucion Educativa Puenes</v>
      </c>
      <c r="G292" s="25" t="str">
        <f>IFERROR(IF($AO292,INDEX(cpe!$B$2:$B$307,MATCH($AP292,cpe!$F$2:$F$307,0)),INDEX(cpe!$B$2:$B$307,MATCH($AP292,cpe!$D$2:$D$307,0))),"#N/D")</f>
        <v>Pacho</v>
      </c>
      <c r="H292" s="26" t="str">
        <f>IF($AO292,"#N/D",IFERROR(INDEX(Olimpiadas!$B$2:$B$61,MATCH($AM292,Olimpiadas!$C$2:$C$61,0)),"#N/D"))</f>
        <v>#N/D</v>
      </c>
      <c r="I292" s="26" t="str">
        <f>IF($AO292,"#N/D",IFERROR(INDEX(Olimpiadas!$A$2:$A$61,MATCH($AM292,Olimpiadas!$C$2:$C$61,0)),"#N/D"))</f>
        <v>#N/D</v>
      </c>
      <c r="J292" s="26" t="str">
        <f>IF($AO292,"#N/D",IFERROR(INDEX(Minculturas!$A$2:$A$48,MATCH($AM292,Minculturas!$C$2:$C$48,0)),"#N/D"))</f>
        <v>#N/D</v>
      </c>
      <c r="K292" s="26" t="str">
        <f>IF($AO292,"#N/D",IFERROR(INDEX(Minculturas!$B$2:$B$48,MATCH($AM292,Minculturas!$C$2:$C$48,0)),"#N/D"))</f>
        <v>#N/D</v>
      </c>
      <c r="L292" s="27">
        <v>1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1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7">
        <f>SUM(Tabla43[[#This Row],[Edificación colapsada]:[Robo]])</f>
        <v>1</v>
      </c>
      <c r="AF292" s="28"/>
      <c r="AG292" s="28"/>
      <c r="AH292" s="28">
        <v>27.7</v>
      </c>
      <c r="AI292" s="28"/>
      <c r="AJ292" s="28"/>
      <c r="AK292" s="29" t="s">
        <v>114</v>
      </c>
      <c r="AM292" t="str">
        <f t="shared" si="16"/>
        <v>pacho</v>
      </c>
      <c r="AN292" t="str">
        <f t="shared" si="17"/>
        <v>cundinamarca</v>
      </c>
      <c r="AO292" t="b">
        <f t="shared" si="18"/>
        <v>0</v>
      </c>
      <c r="AP292" t="str">
        <f t="shared" si="19"/>
        <v>pacho</v>
      </c>
    </row>
    <row r="293" spans="1:42" ht="25.5" customHeight="1" x14ac:dyDescent="0.25">
      <c r="A293" s="33" t="s">
        <v>841</v>
      </c>
      <c r="B293" s="11" t="s">
        <v>24</v>
      </c>
      <c r="C293" s="34" t="s">
        <v>112</v>
      </c>
      <c r="D293" s="69"/>
      <c r="E293" s="11" t="s">
        <v>842</v>
      </c>
      <c r="F293" s="25" t="str">
        <f>IFERROR(IF($AO293,INDEX(cpe!$C$2:$C$307,MATCH($AP293,cpe!$F$2:$F$307,0)),INDEX(cpe!$C$2:$C$307,MATCH($AP293,cpe!$D$2:$D$307,0))),"#N/D")</f>
        <v>#N/D</v>
      </c>
      <c r="G293" s="25" t="str">
        <f>IFERROR(IF($AO293,INDEX(cpe!$B$2:$B$307,MATCH($AP293,cpe!$F$2:$F$307,0)),INDEX(cpe!$B$2:$B$307,MATCH($AP293,cpe!$D$2:$D$307,0))),"#N/D")</f>
        <v>#N/D</v>
      </c>
      <c r="H293" s="26" t="str">
        <f>IF($AO293,"#N/D",IFERROR(INDEX(Olimpiadas!$B$2:$B$61,MATCH($AM293,Olimpiadas!$C$2:$C$61,0)),"#N/D"))</f>
        <v>Pácora</v>
      </c>
      <c r="I293" s="42" t="str">
        <f>IF($AO293,"#N/D",IFERROR(INDEX(Olimpiadas!$A$2:$A$61,MATCH($AM293,Olimpiadas!$C$2:$C$61,0)),"#N/D"))</f>
        <v>INSTITUCIÓN EDUCATIVA LA MILAGROSA</v>
      </c>
      <c r="J293" s="42" t="str">
        <f>IF($AO293,"#N/D",IFERROR(INDEX(Minculturas!$A$2:$A$48,MATCH($AM293,Minculturas!$C$2:$C$48,0)),"#N/D"))</f>
        <v>#N/D</v>
      </c>
      <c r="K293" s="42" t="str">
        <f>IF($AO293,"#N/D",IFERROR(INDEX(Minculturas!$B$2:$B$48,MATCH($AM293,Minculturas!$C$2:$C$48,0)),"#N/D"))</f>
        <v>#N/D</v>
      </c>
      <c r="L293" s="27">
        <v>15</v>
      </c>
      <c r="M293" s="28">
        <v>0</v>
      </c>
      <c r="N293" s="28">
        <v>0</v>
      </c>
      <c r="O293" s="28">
        <v>1</v>
      </c>
      <c r="P293" s="28">
        <v>4</v>
      </c>
      <c r="Q293" s="28">
        <v>6</v>
      </c>
      <c r="R293" s="28">
        <v>2</v>
      </c>
      <c r="S293" s="28">
        <v>1</v>
      </c>
      <c r="T293" s="28">
        <v>0</v>
      </c>
      <c r="U293" s="28">
        <v>0</v>
      </c>
      <c r="V293" s="28">
        <v>0</v>
      </c>
      <c r="W293" s="28">
        <v>1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7">
        <f>SUM(Tabla43[[#This Row],[Edificación colapsada]:[Robo]])</f>
        <v>15</v>
      </c>
      <c r="AF293" s="28"/>
      <c r="AG293" s="28"/>
      <c r="AH293" s="28">
        <v>33.299999999999997</v>
      </c>
      <c r="AI293" s="28"/>
      <c r="AJ293" s="28"/>
      <c r="AK293" s="29" t="s">
        <v>114</v>
      </c>
      <c r="AM293" t="str">
        <f t="shared" si="16"/>
        <v>pacora</v>
      </c>
      <c r="AN293" t="str">
        <f t="shared" si="17"/>
        <v>caldas</v>
      </c>
      <c r="AO293" t="b">
        <f t="shared" si="18"/>
        <v>0</v>
      </c>
      <c r="AP293" t="str">
        <f t="shared" si="19"/>
        <v>pacora</v>
      </c>
    </row>
    <row r="294" spans="1:42" ht="25.5" customHeight="1" x14ac:dyDescent="0.25">
      <c r="A294" s="33" t="s">
        <v>694</v>
      </c>
      <c r="B294" s="11" t="s">
        <v>28</v>
      </c>
      <c r="C294" s="34" t="s">
        <v>112</v>
      </c>
      <c r="D294" s="69"/>
      <c r="E294" s="11" t="s">
        <v>695</v>
      </c>
      <c r="F294" s="25" t="str">
        <f>IFERROR(IF($AO294,INDEX(cpe!$C$2:$C$307,MATCH($AP294,cpe!$F$2:$F$307,0)),INDEX(cpe!$C$2:$C$307,MATCH($AP294,cpe!$D$2:$D$307,0))),"#N/D")</f>
        <v>#N/D</v>
      </c>
      <c r="G294" s="25" t="str">
        <f>IFERROR(IF($AO294,INDEX(cpe!$B$2:$B$307,MATCH($AP294,cpe!$F$2:$F$307,0)),INDEX(cpe!$B$2:$B$307,MATCH($AP294,cpe!$D$2:$D$307,0))),"#N/D")</f>
        <v>#N/D</v>
      </c>
      <c r="H294" s="26" t="str">
        <f>IF($AO294,"#N/D",IFERROR(INDEX(Olimpiadas!$B$2:$B$61,MATCH($AM294,Olimpiadas!$C$2:$C$61,0)),"#N/D"))</f>
        <v>#N/D</v>
      </c>
      <c r="I294" s="26" t="str">
        <f>IF($AO294,"#N/D",IFERROR(INDEX(Olimpiadas!$A$2:$A$61,MATCH($AM294,Olimpiadas!$C$2:$C$61,0)),"#N/D"))</f>
        <v>#N/D</v>
      </c>
      <c r="J294" s="26" t="str">
        <f>IF($AO294,"#N/D",IFERROR(INDEX(Minculturas!$A$2:$A$48,MATCH($AM294,Minculturas!$C$2:$C$48,0)),"#N/D"))</f>
        <v>#N/D</v>
      </c>
      <c r="K294" s="26" t="str">
        <f>IF($AO294,"#N/D",IFERROR(INDEX(Minculturas!$B$2:$B$48,MATCH($AM294,Minculturas!$C$2:$C$48,0)),"#N/D"))</f>
        <v>#N/D</v>
      </c>
      <c r="L294" s="27">
        <v>1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1</v>
      </c>
      <c r="AA294" s="28">
        <v>0</v>
      </c>
      <c r="AB294" s="28">
        <v>0</v>
      </c>
      <c r="AC294" s="28">
        <v>0</v>
      </c>
      <c r="AD294" s="28">
        <v>0</v>
      </c>
      <c r="AE294" s="27">
        <f>SUM(Tabla43[[#This Row],[Edificación colapsada]:[Robo]])</f>
        <v>1</v>
      </c>
      <c r="AF294" s="28"/>
      <c r="AG294" s="28"/>
      <c r="AH294" s="28">
        <v>22</v>
      </c>
      <c r="AI294" s="28"/>
      <c r="AJ294" s="28"/>
      <c r="AK294" s="29" t="s">
        <v>114</v>
      </c>
      <c r="AM294" t="str">
        <f t="shared" si="16"/>
        <v>padilla</v>
      </c>
      <c r="AN294" t="str">
        <f t="shared" si="17"/>
        <v>cauca</v>
      </c>
      <c r="AO294" t="b">
        <f t="shared" si="18"/>
        <v>0</v>
      </c>
      <c r="AP294" t="str">
        <f t="shared" si="19"/>
        <v>padilla</v>
      </c>
    </row>
    <row r="295" spans="1:42" ht="25.5" customHeight="1" x14ac:dyDescent="0.25">
      <c r="A295" s="33" t="s">
        <v>566</v>
      </c>
      <c r="B295" s="11" t="s">
        <v>37</v>
      </c>
      <c r="C295" s="34" t="s">
        <v>112</v>
      </c>
      <c r="D295" s="69"/>
      <c r="E295" s="11" t="s">
        <v>567</v>
      </c>
      <c r="F295" s="25" t="str">
        <f>IFERROR(IF($AO295,INDEX(cpe!$C$2:$C$307,MATCH($AP295,cpe!$F$2:$F$307,0)),INDEX(cpe!$C$2:$C$307,MATCH($AP295,cpe!$D$2:$D$307,0))),"#N/D")</f>
        <v>#N/D</v>
      </c>
      <c r="G295" s="25" t="str">
        <f>IFERROR(IF($AO295,INDEX(cpe!$B$2:$B$307,MATCH($AP295,cpe!$F$2:$F$307,0)),INDEX(cpe!$B$2:$B$307,MATCH($AP295,cpe!$D$2:$D$307,0))),"#N/D")</f>
        <v>#N/D</v>
      </c>
      <c r="H295" s="26" t="str">
        <f>IF($AO295,"#N/D",IFERROR(INDEX(Olimpiadas!$B$2:$B$61,MATCH($AM295,Olimpiadas!$C$2:$C$61,0)),"#N/D"))</f>
        <v>#N/D</v>
      </c>
      <c r="I295" s="26" t="str">
        <f>IF($AO295,"#N/D",IFERROR(INDEX(Olimpiadas!$A$2:$A$61,MATCH($AM295,Olimpiadas!$C$2:$C$61,0)),"#N/D"))</f>
        <v>#N/D</v>
      </c>
      <c r="J295" s="26" t="str">
        <f>IF($AO295,"#N/D",IFERROR(INDEX(Minculturas!$A$2:$A$48,MATCH($AM295,Minculturas!$C$2:$C$48,0)),"#N/D"))</f>
        <v>#N/D</v>
      </c>
      <c r="K295" s="26" t="str">
        <f>IF($AO295,"#N/D",IFERROR(INDEX(Minculturas!$B$2:$B$48,MATCH($AM295,Minculturas!$C$2:$C$48,0)),"#N/D"))</f>
        <v>#N/D</v>
      </c>
      <c r="L295" s="27">
        <v>1</v>
      </c>
      <c r="M295" s="28">
        <v>0</v>
      </c>
      <c r="N295" s="28">
        <v>0</v>
      </c>
      <c r="O295" s="28">
        <v>1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7">
        <f>SUM(Tabla43[[#This Row],[Edificación colapsada]:[Robo]])</f>
        <v>1</v>
      </c>
      <c r="AF295" s="28"/>
      <c r="AG295" s="28"/>
      <c r="AH295" s="28">
        <v>39.1</v>
      </c>
      <c r="AI295" s="28"/>
      <c r="AJ295" s="28"/>
      <c r="AK295" s="29" t="s">
        <v>114</v>
      </c>
      <c r="AM295" t="str">
        <f t="shared" si="16"/>
        <v>paicol</v>
      </c>
      <c r="AN295" t="str">
        <f t="shared" si="17"/>
        <v>huila</v>
      </c>
      <c r="AO295" t="b">
        <f t="shared" si="18"/>
        <v>0</v>
      </c>
      <c r="AP295" t="str">
        <f t="shared" si="19"/>
        <v>paicol</v>
      </c>
    </row>
    <row r="296" spans="1:42" ht="25.5" customHeight="1" x14ac:dyDescent="0.25">
      <c r="A296" s="33" t="s">
        <v>1154</v>
      </c>
      <c r="B296" s="11" t="s">
        <v>29</v>
      </c>
      <c r="C296" s="34" t="s">
        <v>112</v>
      </c>
      <c r="D296" s="69"/>
      <c r="E296" s="11" t="s">
        <v>1155</v>
      </c>
      <c r="F296" s="25" t="str">
        <f>IFERROR(IF($AO296,INDEX(cpe!$C$2:$C$307,MATCH($AP296,cpe!$F$2:$F$307,0)),INDEX(cpe!$C$2:$C$307,MATCH($AP296,cpe!$D$2:$D$307,0))),"#N/D")</f>
        <v>#N/D</v>
      </c>
      <c r="G296" s="25" t="str">
        <f>IFERROR(IF($AO296,INDEX(cpe!$B$2:$B$307,MATCH($AP296,cpe!$F$2:$F$307,0)),INDEX(cpe!$B$2:$B$307,MATCH($AP296,cpe!$D$2:$D$307,0))),"#N/D")</f>
        <v>#N/D</v>
      </c>
      <c r="H296" s="26" t="str">
        <f>IF($AO296,"#N/D",IFERROR(INDEX(Olimpiadas!$B$2:$B$61,MATCH($AM296,Olimpiadas!$C$2:$C$61,0)),"#N/D"))</f>
        <v>#N/D</v>
      </c>
      <c r="I296" s="26" t="str">
        <f>IF($AO296,"#N/D",IFERROR(INDEX(Olimpiadas!$A$2:$A$61,MATCH($AM296,Olimpiadas!$C$2:$C$61,0)),"#N/D"))</f>
        <v>#N/D</v>
      </c>
      <c r="J296" s="26" t="str">
        <f>IF($AO296,"#N/D",IFERROR(INDEX(Minculturas!$A$2:$A$48,MATCH($AM296,Minculturas!$C$2:$C$48,0)),"#N/D"))</f>
        <v>#N/D</v>
      </c>
      <c r="K296" s="26" t="str">
        <f>IF($AO296,"#N/D",IFERROR(INDEX(Minculturas!$B$2:$B$48,MATCH($AM296,Minculturas!$C$2:$C$48,0)),"#N/D"))</f>
        <v>#N/D</v>
      </c>
      <c r="L296" s="27">
        <v>1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1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7">
        <f>SUM(Tabla43[[#This Row],[Edificación colapsada]:[Robo]])</f>
        <v>1</v>
      </c>
      <c r="AF296" s="28"/>
      <c r="AG296" s="28"/>
      <c r="AH296" s="28">
        <v>46.1</v>
      </c>
      <c r="AI296" s="28"/>
      <c r="AJ296" s="28"/>
      <c r="AK296" s="29" t="s">
        <v>114</v>
      </c>
      <c r="AM296" t="str">
        <f t="shared" si="16"/>
        <v>pailitas</v>
      </c>
      <c r="AN296" t="str">
        <f t="shared" si="17"/>
        <v>cesar</v>
      </c>
      <c r="AO296" t="b">
        <f t="shared" si="18"/>
        <v>0</v>
      </c>
      <c r="AP296" t="str">
        <f t="shared" si="19"/>
        <v>pailitas</v>
      </c>
    </row>
    <row r="297" spans="1:42" ht="25.5" customHeight="1" x14ac:dyDescent="0.25">
      <c r="A297" s="33" t="s">
        <v>343</v>
      </c>
      <c r="B297" s="11" t="s">
        <v>37</v>
      </c>
      <c r="C297" s="34" t="s">
        <v>112</v>
      </c>
      <c r="D297" s="69"/>
      <c r="E297" s="11" t="s">
        <v>344</v>
      </c>
      <c r="F297" s="25" t="str">
        <f>IFERROR(IF($AO297,INDEX(cpe!$C$2:$C$307,MATCH($AP297,cpe!$F$2:$F$307,0)),INDEX(cpe!$C$2:$C$307,MATCH($AP297,cpe!$D$2:$D$307,0))),"#N/D")</f>
        <v>#N/D</v>
      </c>
      <c r="G297" s="25" t="str">
        <f>IFERROR(IF($AO297,INDEX(cpe!$B$2:$B$307,MATCH($AP297,cpe!$F$2:$F$307,0)),INDEX(cpe!$B$2:$B$307,MATCH($AP297,cpe!$D$2:$D$307,0))),"#N/D")</f>
        <v>#N/D</v>
      </c>
      <c r="H297" s="26" t="str">
        <f>IF($AO297,"#N/D",IFERROR(INDEX(Olimpiadas!$B$2:$B$61,MATCH($AM297,Olimpiadas!$C$2:$C$61,0)),"#N/D"))</f>
        <v>#N/D</v>
      </c>
      <c r="I297" s="26" t="str">
        <f>IF($AO297,"#N/D",IFERROR(INDEX(Olimpiadas!$A$2:$A$61,MATCH($AM297,Olimpiadas!$C$2:$C$61,0)),"#N/D"))</f>
        <v>#N/D</v>
      </c>
      <c r="J297" s="26" t="str">
        <f>IF($AO297,"#N/D",IFERROR(INDEX(Minculturas!$A$2:$A$48,MATCH($AM297,Minculturas!$C$2:$C$48,0)),"#N/D"))</f>
        <v>#N/D</v>
      </c>
      <c r="K297" s="26" t="str">
        <f>IF($AO297,"#N/D",IFERROR(INDEX(Minculturas!$B$2:$B$48,MATCH($AM297,Minculturas!$C$2:$C$48,0)),"#N/D"))</f>
        <v>#N/D</v>
      </c>
      <c r="L297" s="27">
        <v>3</v>
      </c>
      <c r="M297" s="28">
        <v>0</v>
      </c>
      <c r="N297" s="28">
        <v>0</v>
      </c>
      <c r="O297" s="28">
        <v>2</v>
      </c>
      <c r="P297" s="28">
        <v>0</v>
      </c>
      <c r="Q297" s="28">
        <v>1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7">
        <f>SUM(Tabla43[[#This Row],[Edificación colapsada]:[Robo]])</f>
        <v>3</v>
      </c>
      <c r="AF297" s="28"/>
      <c r="AG297" s="28"/>
      <c r="AH297" s="28">
        <v>32.6</v>
      </c>
      <c r="AI297" s="28"/>
      <c r="AJ297" s="28"/>
      <c r="AK297" s="29" t="s">
        <v>114</v>
      </c>
      <c r="AM297" t="str">
        <f t="shared" si="16"/>
        <v>palermo</v>
      </c>
      <c r="AN297" t="str">
        <f t="shared" si="17"/>
        <v>huila</v>
      </c>
      <c r="AO297" t="b">
        <f t="shared" si="18"/>
        <v>0</v>
      </c>
      <c r="AP297" t="str">
        <f t="shared" si="19"/>
        <v>palermo</v>
      </c>
    </row>
    <row r="298" spans="1:42" ht="25.5" customHeight="1" x14ac:dyDescent="0.25">
      <c r="A298" s="33" t="s">
        <v>1077</v>
      </c>
      <c r="B298" s="11" t="s">
        <v>49</v>
      </c>
      <c r="C298" s="34" t="s">
        <v>112</v>
      </c>
      <c r="D298" s="69"/>
      <c r="E298" s="11" t="s">
        <v>1078</v>
      </c>
      <c r="F298" s="25" t="str">
        <f>IFERROR(IF($AO298,INDEX(cpe!$C$2:$C$307,MATCH($AP298,cpe!$F$2:$F$307,0)),INDEX(cpe!$C$2:$C$307,MATCH($AP298,cpe!$D$2:$D$307,0))),"#N/D")</f>
        <v>#N/D</v>
      </c>
      <c r="G298" s="25" t="str">
        <f>IFERROR(IF($AO298,INDEX(cpe!$B$2:$B$307,MATCH($AP298,cpe!$F$2:$F$307,0)),INDEX(cpe!$B$2:$B$307,MATCH($AP298,cpe!$D$2:$D$307,0))),"#N/D")</f>
        <v>#N/D</v>
      </c>
      <c r="H298" s="26" t="str">
        <f>IF($AO298,"#N/D",IFERROR(INDEX(Olimpiadas!$B$2:$B$61,MATCH($AM298,Olimpiadas!$C$2:$C$61,0)),"#N/D"))</f>
        <v>#N/D</v>
      </c>
      <c r="I298" s="26" t="str">
        <f>IF($AO298,"#N/D",IFERROR(INDEX(Olimpiadas!$A$2:$A$61,MATCH($AM298,Olimpiadas!$C$2:$C$61,0)),"#N/D"))</f>
        <v>#N/D</v>
      </c>
      <c r="J298" s="26" t="str">
        <f>IF($AO298,"#N/D",IFERROR(INDEX(Minculturas!$A$2:$A$48,MATCH($AM298,Minculturas!$C$2:$C$48,0)),"#N/D"))</f>
        <v>#N/D</v>
      </c>
      <c r="K298" s="26" t="str">
        <f>IF($AO298,"#N/D",IFERROR(INDEX(Minculturas!$B$2:$B$48,MATCH($AM298,Minculturas!$C$2:$C$48,0)),"#N/D"))</f>
        <v>#N/D</v>
      </c>
      <c r="L298" s="27">
        <v>27</v>
      </c>
      <c r="M298" s="28">
        <v>0</v>
      </c>
      <c r="N298" s="28">
        <v>5</v>
      </c>
      <c r="O298" s="28">
        <v>0</v>
      </c>
      <c r="P298" s="28">
        <v>1</v>
      </c>
      <c r="Q298" s="28">
        <v>3</v>
      </c>
      <c r="R298" s="28">
        <v>1</v>
      </c>
      <c r="S298" s="28">
        <v>3</v>
      </c>
      <c r="T298" s="28">
        <v>0</v>
      </c>
      <c r="U298" s="28">
        <v>0</v>
      </c>
      <c r="V298" s="28">
        <v>0</v>
      </c>
      <c r="W298" s="28">
        <v>6</v>
      </c>
      <c r="X298" s="28">
        <v>2</v>
      </c>
      <c r="Y298" s="28">
        <v>0</v>
      </c>
      <c r="Z298" s="28">
        <v>6</v>
      </c>
      <c r="AA298" s="28">
        <v>0</v>
      </c>
      <c r="AB298" s="28">
        <v>0</v>
      </c>
      <c r="AC298" s="28">
        <v>0</v>
      </c>
      <c r="AD298" s="28">
        <v>0</v>
      </c>
      <c r="AE298" s="27">
        <f>SUM(Tabla43[[#This Row],[Edificación colapsada]:[Robo]])</f>
        <v>27</v>
      </c>
      <c r="AF298" s="28"/>
      <c r="AG298" s="28"/>
      <c r="AH298" s="28">
        <v>11.5</v>
      </c>
      <c r="AI298" s="28"/>
      <c r="AJ298" s="28"/>
      <c r="AK298" s="29" t="s">
        <v>114</v>
      </c>
      <c r="AM298" t="str">
        <f t="shared" si="16"/>
        <v>palmira</v>
      </c>
      <c r="AN298" t="str">
        <f t="shared" si="17"/>
        <v>valle del cauca</v>
      </c>
      <c r="AO298" t="b">
        <f t="shared" si="18"/>
        <v>0</v>
      </c>
      <c r="AP298" t="str">
        <f t="shared" si="19"/>
        <v>palmira</v>
      </c>
    </row>
    <row r="299" spans="1:42" ht="25.5" customHeight="1" x14ac:dyDescent="0.25">
      <c r="A299" s="33" t="s">
        <v>286</v>
      </c>
      <c r="B299" s="11" t="s">
        <v>48</v>
      </c>
      <c r="C299" s="34" t="s">
        <v>112</v>
      </c>
      <c r="D299" s="69"/>
      <c r="E299" s="11" t="s">
        <v>287</v>
      </c>
      <c r="F299" s="25" t="str">
        <f>IFERROR(IF($AO299,INDEX(cpe!$C$2:$C$307,MATCH($AP299,cpe!$F$2:$F$307,0)),INDEX(cpe!$C$2:$C$307,MATCH($AP299,cpe!$D$2:$D$307,0))),"#N/D")</f>
        <v>Institucion Educativa Sucre</v>
      </c>
      <c r="G299" s="25" t="str">
        <f>IFERROR(IF($AO299,INDEX(cpe!$B$2:$B$307,MATCH($AP299,cpe!$F$2:$F$307,0)),INDEX(cpe!$B$2:$B$307,MATCH($AP299,cpe!$D$2:$D$307,0))),"#N/D")</f>
        <v>Palocabildo</v>
      </c>
      <c r="H299" s="26" t="str">
        <f>IF($AO299,"#N/D",IFERROR(INDEX(Olimpiadas!$B$2:$B$61,MATCH($AM299,Olimpiadas!$C$2:$C$61,0)),"#N/D"))</f>
        <v>#N/D</v>
      </c>
      <c r="I299" s="26" t="str">
        <f>IF($AO299,"#N/D",IFERROR(INDEX(Olimpiadas!$A$2:$A$61,MATCH($AM299,Olimpiadas!$C$2:$C$61,0)),"#N/D"))</f>
        <v>#N/D</v>
      </c>
      <c r="J299" s="26" t="str">
        <f>IF($AO299,"#N/D",IFERROR(INDEX(Minculturas!$A$2:$A$48,MATCH($AM299,Minculturas!$C$2:$C$48,0)),"#N/D"))</f>
        <v>#N/D</v>
      </c>
      <c r="K299" s="26" t="str">
        <f>IF($AO299,"#N/D",IFERROR(INDEX(Minculturas!$B$2:$B$48,MATCH($AM299,Minculturas!$C$2:$C$48,0)),"#N/D"))</f>
        <v>#N/D</v>
      </c>
      <c r="L299" s="27">
        <v>4</v>
      </c>
      <c r="M299" s="28">
        <v>0</v>
      </c>
      <c r="N299" s="35">
        <v>0</v>
      </c>
      <c r="O299" s="35">
        <v>0</v>
      </c>
      <c r="P299" s="35">
        <v>1</v>
      </c>
      <c r="Q299" s="35">
        <v>1</v>
      </c>
      <c r="R299" s="35">
        <v>0</v>
      </c>
      <c r="S299" s="35">
        <v>1</v>
      </c>
      <c r="T299" s="35">
        <v>1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0</v>
      </c>
      <c r="AA299" s="35">
        <v>0</v>
      </c>
      <c r="AB299" s="35">
        <v>0</v>
      </c>
      <c r="AC299" s="35">
        <v>0</v>
      </c>
      <c r="AD299" s="35">
        <v>0</v>
      </c>
      <c r="AE299" s="36">
        <f>SUM(Tabla43[[#This Row],[Edificación colapsada]:[Robo]])</f>
        <v>4</v>
      </c>
      <c r="AF299" s="37"/>
      <c r="AG299" s="37"/>
      <c r="AH299" s="28">
        <v>45.5</v>
      </c>
      <c r="AI299" s="28"/>
      <c r="AJ299" s="28"/>
      <c r="AK299" s="29" t="s">
        <v>114</v>
      </c>
      <c r="AM299" t="str">
        <f t="shared" si="16"/>
        <v>palocabildo</v>
      </c>
      <c r="AN299" t="str">
        <f t="shared" si="17"/>
        <v>tolima</v>
      </c>
      <c r="AO299" t="b">
        <f t="shared" si="18"/>
        <v>0</v>
      </c>
      <c r="AP299" t="str">
        <f t="shared" si="19"/>
        <v>palocabildo</v>
      </c>
    </row>
    <row r="300" spans="1:42" ht="25.5" customHeight="1" x14ac:dyDescent="0.25">
      <c r="A300" s="33" t="s">
        <v>696</v>
      </c>
      <c r="B300" s="11" t="s">
        <v>42</v>
      </c>
      <c r="C300" s="34" t="s">
        <v>112</v>
      </c>
      <c r="D300" s="69"/>
      <c r="E300" s="11" t="s">
        <v>697</v>
      </c>
      <c r="F300" s="25" t="str">
        <f>IFERROR(IF($AO300,INDEX(cpe!$C$2:$C$307,MATCH($AP300,cpe!$F$2:$F$307,0)),INDEX(cpe!$C$2:$C$307,MATCH($AP300,cpe!$D$2:$D$307,0))),"#N/D")</f>
        <v>#N/D</v>
      </c>
      <c r="G300" s="25" t="str">
        <f>IFERROR(IF($AO300,INDEX(cpe!$B$2:$B$307,MATCH($AP300,cpe!$F$2:$F$307,0)),INDEX(cpe!$B$2:$B$307,MATCH($AP300,cpe!$D$2:$D$307,0))),"#N/D")</f>
        <v>#N/D</v>
      </c>
      <c r="H300" s="26" t="str">
        <f>IF($AO300,"#N/D",IFERROR(INDEX(Olimpiadas!$B$2:$B$61,MATCH($AM300,Olimpiadas!$C$2:$C$61,0)),"#N/D"))</f>
        <v>#N/D</v>
      </c>
      <c r="I300" s="26" t="str">
        <f>IF($AO300,"#N/D",IFERROR(INDEX(Olimpiadas!$A$2:$A$61,MATCH($AM300,Olimpiadas!$C$2:$C$61,0)),"#N/D"))</f>
        <v>#N/D</v>
      </c>
      <c r="J300" s="26" t="str">
        <f>IF($AO300,"#N/D",IFERROR(INDEX(Minculturas!$A$2:$A$48,MATCH($AM300,Minculturas!$C$2:$C$48,0)),"#N/D"))</f>
        <v>#N/D</v>
      </c>
      <c r="K300" s="26" t="str">
        <f>IF($AO300,"#N/D",IFERROR(INDEX(Minculturas!$B$2:$B$48,MATCH($AM300,Minculturas!$C$2:$C$48,0)),"#N/D"))</f>
        <v>#N/D</v>
      </c>
      <c r="L300" s="27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7">
        <f>SUM(Tabla43[[#This Row],[Edificación colapsada]:[Robo]])</f>
        <v>0</v>
      </c>
      <c r="AF300" s="28"/>
      <c r="AG300" s="28"/>
      <c r="AH300" s="28">
        <v>20.5</v>
      </c>
      <c r="AI300" s="28"/>
      <c r="AJ300" s="28"/>
      <c r="AK300" s="29" t="s">
        <v>246</v>
      </c>
      <c r="AM300" t="str">
        <f t="shared" si="16"/>
        <v>pamplona</v>
      </c>
      <c r="AN300" t="str">
        <f t="shared" si="17"/>
        <v>norte de santander</v>
      </c>
      <c r="AO300" t="b">
        <f t="shared" si="18"/>
        <v>0</v>
      </c>
      <c r="AP300" t="str">
        <f t="shared" si="19"/>
        <v>pamplona</v>
      </c>
    </row>
    <row r="301" spans="1:42" ht="25.5" customHeight="1" x14ac:dyDescent="0.25">
      <c r="A301" s="33" t="s">
        <v>1079</v>
      </c>
      <c r="B301" s="11" t="s">
        <v>35</v>
      </c>
      <c r="C301" s="34" t="s">
        <v>112</v>
      </c>
      <c r="D301" s="69"/>
      <c r="E301" s="11" t="s">
        <v>1080</v>
      </c>
      <c r="F301" s="25" t="str">
        <f>IFERROR(IF($AO301,INDEX(cpe!$C$2:$C$307,MATCH($AP301,cpe!$F$2:$F$307,0)),INDEX(cpe!$C$2:$C$307,MATCH($AP301,cpe!$D$2:$D$307,0))),"#N/D")</f>
        <v>#N/D</v>
      </c>
      <c r="G301" s="25" t="str">
        <f>IFERROR(IF($AO301,INDEX(cpe!$B$2:$B$307,MATCH($AP301,cpe!$F$2:$F$307,0)),INDEX(cpe!$B$2:$B$307,MATCH($AP301,cpe!$D$2:$D$307,0))),"#N/D")</f>
        <v>#N/D</v>
      </c>
      <c r="H301" s="26" t="str">
        <f>IF($AO301,"#N/D",IFERROR(INDEX(Olimpiadas!$B$2:$B$61,MATCH($AM301,Olimpiadas!$C$2:$C$61,0)),"#N/D"))</f>
        <v>#N/D</v>
      </c>
      <c r="I301" s="26" t="str">
        <f>IF($AO301,"#N/D",IFERROR(INDEX(Olimpiadas!$A$2:$A$61,MATCH($AM301,Olimpiadas!$C$2:$C$61,0)),"#N/D"))</f>
        <v>#N/D</v>
      </c>
      <c r="J301" s="26" t="str">
        <f>IF($AO301,"#N/D",IFERROR(INDEX(Minculturas!$A$2:$A$48,MATCH($AM301,Minculturas!$C$2:$C$48,0)),"#N/D"))</f>
        <v>#N/D</v>
      </c>
      <c r="K301" s="26" t="str">
        <f>IF($AO301,"#N/D",IFERROR(INDEX(Minculturas!$B$2:$B$48,MATCH($AM301,Minculturas!$C$2:$C$48,0)),"#N/D"))</f>
        <v>#N/D</v>
      </c>
      <c r="L301" s="27">
        <v>1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1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7">
        <f>SUM(Tabla43[[#This Row],[Edificación colapsada]:[Robo]])</f>
        <v>1</v>
      </c>
      <c r="AF301" s="28"/>
      <c r="AG301" s="28"/>
      <c r="AH301" s="28">
        <v>37.4</v>
      </c>
      <c r="AI301" s="28"/>
      <c r="AJ301" s="28"/>
      <c r="AK301" s="29" t="s">
        <v>114</v>
      </c>
      <c r="AM301" t="str">
        <f t="shared" si="16"/>
        <v>paratebueno</v>
      </c>
      <c r="AN301" t="str">
        <f t="shared" si="17"/>
        <v>cundinamarca</v>
      </c>
      <c r="AO301" t="b">
        <f t="shared" si="18"/>
        <v>0</v>
      </c>
      <c r="AP301" t="str">
        <f t="shared" si="19"/>
        <v>paratebueno</v>
      </c>
    </row>
    <row r="302" spans="1:42" ht="25.5" customHeight="1" x14ac:dyDescent="0.25">
      <c r="A302" s="33" t="s">
        <v>1081</v>
      </c>
      <c r="B302" s="11" t="s">
        <v>35</v>
      </c>
      <c r="C302" s="34" t="s">
        <v>112</v>
      </c>
      <c r="D302" s="69"/>
      <c r="E302" s="11" t="s">
        <v>1082</v>
      </c>
      <c r="F302" s="25" t="str">
        <f>IFERROR(IF($AO302,INDEX(cpe!$C$2:$C$307,MATCH($AP302,cpe!$F$2:$F$307,0)),INDEX(cpe!$C$2:$C$307,MATCH($AP302,cpe!$D$2:$D$307,0))),"#N/D")</f>
        <v>#N/D</v>
      </c>
      <c r="G302" s="25" t="str">
        <f>IFERROR(IF($AO302,INDEX(cpe!$B$2:$B$307,MATCH($AP302,cpe!$F$2:$F$307,0)),INDEX(cpe!$B$2:$B$307,MATCH($AP302,cpe!$D$2:$D$307,0))),"#N/D")</f>
        <v>#N/D</v>
      </c>
      <c r="H302" s="26" t="str">
        <f>IF($AO302,"#N/D",IFERROR(INDEX(Olimpiadas!$B$2:$B$61,MATCH($AM302,Olimpiadas!$C$2:$C$61,0)),"#N/D"))</f>
        <v>#N/D</v>
      </c>
      <c r="I302" s="26" t="str">
        <f>IF($AO302,"#N/D",IFERROR(INDEX(Olimpiadas!$A$2:$A$61,MATCH($AM302,Olimpiadas!$C$2:$C$61,0)),"#N/D"))</f>
        <v>#N/D</v>
      </c>
      <c r="J302" s="26" t="str">
        <f>IF($AO302,"#N/D",IFERROR(INDEX(Minculturas!$A$2:$A$48,MATCH($AM302,Minculturas!$C$2:$C$48,0)),"#N/D"))</f>
        <v>#N/D</v>
      </c>
      <c r="K302" s="26" t="str">
        <f>IF($AO302,"#N/D",IFERROR(INDEX(Minculturas!$B$2:$B$48,MATCH($AM302,Minculturas!$C$2:$C$48,0)),"#N/D"))</f>
        <v>#N/D</v>
      </c>
      <c r="L302" s="27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7">
        <f>SUM(Tabla43[[#This Row],[Edificación colapsada]:[Robo]])</f>
        <v>0</v>
      </c>
      <c r="AF302" s="28"/>
      <c r="AG302" s="28"/>
      <c r="AH302" s="28">
        <v>30.6</v>
      </c>
      <c r="AI302" s="28"/>
      <c r="AJ302" s="28"/>
      <c r="AK302" s="29" t="s">
        <v>246</v>
      </c>
      <c r="AM302" t="str">
        <f t="shared" si="16"/>
        <v>pasca</v>
      </c>
      <c r="AN302" t="str">
        <f t="shared" si="17"/>
        <v>cundinamarca</v>
      </c>
      <c r="AO302" t="b">
        <f t="shared" si="18"/>
        <v>0</v>
      </c>
      <c r="AP302" t="str">
        <f t="shared" si="19"/>
        <v>pasca</v>
      </c>
    </row>
    <row r="303" spans="1:42" ht="25.5" customHeight="1" x14ac:dyDescent="0.25">
      <c r="A303" s="33" t="s">
        <v>579</v>
      </c>
      <c r="B303" s="11" t="s">
        <v>41</v>
      </c>
      <c r="C303" s="34" t="s">
        <v>112</v>
      </c>
      <c r="D303" s="69"/>
      <c r="E303" s="11" t="s">
        <v>580</v>
      </c>
      <c r="F303" s="25" t="s">
        <v>581</v>
      </c>
      <c r="G303" s="25" t="s">
        <v>580</v>
      </c>
      <c r="H303" s="26" t="s">
        <v>580</v>
      </c>
      <c r="I303" s="26" t="str">
        <f>IF($AO303,"#N/D",IFERROR(INDEX(Olimpiadas!$A$2:$A$61,MATCH($AM303,Olimpiadas!$C$2:$C$61,0)),"#N/D"))</f>
        <v>INSTITUCIÓN EDUCATIVA MUNICIPAL LIBERTAD</v>
      </c>
      <c r="J303" s="26" t="str">
        <f>IF($AO303,"#N/D",IFERROR(INDEX(Minculturas!$A$2:$A$48,MATCH($AM303,Minculturas!$C$2:$C$48,0)),"#N/D"))</f>
        <v>#N/D</v>
      </c>
      <c r="K303" s="26" t="str">
        <f>IF($AO303,"#N/D",IFERROR(INDEX(Minculturas!$B$2:$B$48,MATCH($AM303,Minculturas!$C$2:$C$48,0)),"#N/D"))</f>
        <v>#N/D</v>
      </c>
      <c r="L303" s="27">
        <v>18</v>
      </c>
      <c r="M303" s="28">
        <v>0</v>
      </c>
      <c r="N303" s="28">
        <v>8</v>
      </c>
      <c r="O303" s="28">
        <v>3</v>
      </c>
      <c r="P303" s="28">
        <v>0</v>
      </c>
      <c r="Q303" s="28">
        <v>1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6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7">
        <f>SUM(Tabla43[[#This Row],[Edificación colapsada]:[Robo]])</f>
        <v>18</v>
      </c>
      <c r="AF303" s="28"/>
      <c r="AG303" s="28"/>
      <c r="AH303" s="28">
        <v>16.3</v>
      </c>
      <c r="AI303" s="28"/>
      <c r="AJ303" s="28"/>
      <c r="AK303" s="29" t="s">
        <v>114</v>
      </c>
      <c r="AM303" t="str">
        <f t="shared" si="16"/>
        <v>pasto</v>
      </c>
      <c r="AN303" t="str">
        <f t="shared" si="17"/>
        <v>narino</v>
      </c>
      <c r="AO303" t="b">
        <f t="shared" si="18"/>
        <v>0</v>
      </c>
      <c r="AP303" t="str">
        <f t="shared" si="19"/>
        <v>pasto</v>
      </c>
    </row>
    <row r="304" spans="1:42" ht="25.5" customHeight="1" x14ac:dyDescent="0.25">
      <c r="A304" s="33" t="s">
        <v>698</v>
      </c>
      <c r="B304" s="11" t="s">
        <v>28</v>
      </c>
      <c r="C304" s="34" t="s">
        <v>112</v>
      </c>
      <c r="D304" s="69"/>
      <c r="E304" s="11" t="s">
        <v>699</v>
      </c>
      <c r="F304" s="25" t="s">
        <v>106</v>
      </c>
      <c r="G304" s="25" t="s">
        <v>106</v>
      </c>
      <c r="H304" s="26" t="s">
        <v>106</v>
      </c>
      <c r="I304" s="26" t="str">
        <f>IF($AO304,"#N/D",IFERROR(INDEX(Olimpiadas!$A$2:$A$61,MATCH($AM304,Olimpiadas!$C$2:$C$61,0)),"#N/D"))</f>
        <v>#N/D</v>
      </c>
      <c r="J304" s="26" t="str">
        <f>IF($AO304,"#N/D",IFERROR(INDEX(Minculturas!$A$2:$A$48,MATCH($AM304,Minculturas!$C$2:$C$48,0)),"#N/D"))</f>
        <v>#N/D</v>
      </c>
      <c r="K304" s="26" t="str">
        <f>IF($AO304,"#N/D",IFERROR(INDEX(Minculturas!$B$2:$B$48,MATCH($AM304,Minculturas!$C$2:$C$48,0)),"#N/D"))</f>
        <v>#N/D</v>
      </c>
      <c r="L304" s="27">
        <v>1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1</v>
      </c>
      <c r="AA304" s="28">
        <v>0</v>
      </c>
      <c r="AB304" s="28">
        <v>0</v>
      </c>
      <c r="AC304" s="28">
        <v>0</v>
      </c>
      <c r="AD304" s="28">
        <v>0</v>
      </c>
      <c r="AE304" s="27">
        <f>SUM(Tabla43[[#This Row],[Edificación colapsada]:[Robo]])</f>
        <v>1</v>
      </c>
      <c r="AF304" s="28"/>
      <c r="AG304" s="28"/>
      <c r="AH304" s="28">
        <v>44.1</v>
      </c>
      <c r="AI304" s="28"/>
      <c r="AJ304" s="28"/>
      <c r="AK304" s="29" t="s">
        <v>114</v>
      </c>
      <c r="AM304" t="str">
        <f t="shared" si="16"/>
        <v>patia</v>
      </c>
      <c r="AN304" t="str">
        <f t="shared" si="17"/>
        <v>cauca</v>
      </c>
      <c r="AO304" t="b">
        <f t="shared" si="18"/>
        <v>0</v>
      </c>
      <c r="AP304" t="str">
        <f t="shared" si="19"/>
        <v>patia</v>
      </c>
    </row>
    <row r="305" spans="1:42" ht="25.5" customHeight="1" x14ac:dyDescent="0.25">
      <c r="A305" s="33" t="s">
        <v>192</v>
      </c>
      <c r="B305" s="11" t="s">
        <v>24</v>
      </c>
      <c r="C305" s="34" t="s">
        <v>112</v>
      </c>
      <c r="D305" s="69"/>
      <c r="E305" s="11" t="s">
        <v>193</v>
      </c>
      <c r="F305" s="25" t="s">
        <v>106</v>
      </c>
      <c r="G305" s="25" t="s">
        <v>106</v>
      </c>
      <c r="H305" s="26" t="s">
        <v>106</v>
      </c>
      <c r="I305" s="26" t="str">
        <f>IF($AO305,"#N/D",IFERROR(INDEX(Olimpiadas!$A$2:$A$61,MATCH($AM305,Olimpiadas!$C$2:$C$61,0)),"#N/D"))</f>
        <v>#N/D</v>
      </c>
      <c r="J305" s="26" t="str">
        <f>IF($AO305,"#N/D",IFERROR(INDEX(Minculturas!$A$2:$A$48,MATCH($AM305,Minculturas!$C$2:$C$48,0)),"#N/D"))</f>
        <v>#N/D</v>
      </c>
      <c r="K305" s="26" t="str">
        <f>IF($AO305,"#N/D",IFERROR(INDEX(Minculturas!$B$2:$B$48,MATCH($AM305,Minculturas!$C$2:$C$48,0)),"#N/D"))</f>
        <v>#N/D</v>
      </c>
      <c r="L305" s="27">
        <v>22</v>
      </c>
      <c r="M305" s="28">
        <v>0</v>
      </c>
      <c r="N305" s="28">
        <v>8</v>
      </c>
      <c r="O305" s="28">
        <v>0</v>
      </c>
      <c r="P305" s="28">
        <v>3</v>
      </c>
      <c r="Q305" s="28">
        <v>4</v>
      </c>
      <c r="R305" s="28">
        <v>2</v>
      </c>
      <c r="S305" s="28">
        <v>5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7">
        <f>SUM(Tabla43[[#This Row],[Edificación colapsada]:[Robo]])</f>
        <v>22</v>
      </c>
      <c r="AF305" s="26">
        <v>125</v>
      </c>
      <c r="AG305" s="26" t="s">
        <v>194</v>
      </c>
      <c r="AH305" s="28">
        <v>37.299999999999997</v>
      </c>
      <c r="AI305" s="28"/>
      <c r="AJ305" s="28"/>
      <c r="AK305" s="29" t="s">
        <v>195</v>
      </c>
      <c r="AM305" t="str">
        <f t="shared" si="16"/>
        <v>pensilvania</v>
      </c>
      <c r="AN305" t="str">
        <f t="shared" si="17"/>
        <v>caldas</v>
      </c>
      <c r="AO305" t="b">
        <f t="shared" si="18"/>
        <v>0</v>
      </c>
      <c r="AP305" t="str">
        <f t="shared" si="19"/>
        <v>pensilvania</v>
      </c>
    </row>
    <row r="306" spans="1:42" ht="25.5" customHeight="1" x14ac:dyDescent="0.25">
      <c r="A306" s="33" t="s">
        <v>934</v>
      </c>
      <c r="B306" s="11" t="s">
        <v>10</v>
      </c>
      <c r="C306" s="34" t="s">
        <v>112</v>
      </c>
      <c r="D306" s="69"/>
      <c r="E306" s="11" t="s">
        <v>935</v>
      </c>
      <c r="F306" s="25" t="s">
        <v>106</v>
      </c>
      <c r="G306" s="25" t="s">
        <v>106</v>
      </c>
      <c r="H306" s="26" t="s">
        <v>106</v>
      </c>
      <c r="I306" s="26" t="str">
        <f>IF($AO306,"#N/D",IFERROR(INDEX(Olimpiadas!$A$2:$A$61,MATCH($AM306,Olimpiadas!$C$2:$C$61,0)),"#N/D"))</f>
        <v>#N/D</v>
      </c>
      <c r="J306" s="26" t="str">
        <f>IF($AO306,"#N/D",IFERROR(INDEX(Minculturas!$A$2:$A$48,MATCH($AM306,Minculturas!$C$2:$C$48,0)),"#N/D"))</f>
        <v>#N/D</v>
      </c>
      <c r="K306" s="26" t="str">
        <f>IF($AO306,"#N/D",IFERROR(INDEX(Minculturas!$B$2:$B$48,MATCH($AM306,Minculturas!$C$2:$C$48,0)),"#N/D"))</f>
        <v>#N/D</v>
      </c>
      <c r="L306" s="27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7">
        <f>SUM(Tabla43[[#This Row],[Edificación colapsada]:[Robo]])</f>
        <v>0</v>
      </c>
      <c r="AF306" s="28"/>
      <c r="AG306" s="28"/>
      <c r="AH306" s="28">
        <v>53.5</v>
      </c>
      <c r="AI306" s="28"/>
      <c r="AJ306" s="28"/>
      <c r="AK306" s="29" t="s">
        <v>365</v>
      </c>
      <c r="AM306" t="str">
        <f t="shared" si="16"/>
        <v>peque</v>
      </c>
      <c r="AN306" t="str">
        <f t="shared" si="17"/>
        <v>antioquia</v>
      </c>
      <c r="AO306" t="b">
        <f t="shared" si="18"/>
        <v>0</v>
      </c>
      <c r="AP306" t="str">
        <f t="shared" si="19"/>
        <v>peque</v>
      </c>
    </row>
    <row r="307" spans="1:42" ht="25.5" customHeight="1" x14ac:dyDescent="0.25">
      <c r="A307" s="33" t="s">
        <v>568</v>
      </c>
      <c r="B307" s="11" t="s">
        <v>48</v>
      </c>
      <c r="C307" s="34" t="s">
        <v>112</v>
      </c>
      <c r="D307" s="69"/>
      <c r="E307" s="11" t="s">
        <v>569</v>
      </c>
      <c r="F307" s="25" t="s">
        <v>106</v>
      </c>
      <c r="G307" s="25" t="s">
        <v>106</v>
      </c>
      <c r="H307" s="26" t="s">
        <v>106</v>
      </c>
      <c r="I307" s="26" t="str">
        <f>IF($AO307,"#N/D",IFERROR(INDEX(Olimpiadas!$A$2:$A$61,MATCH($AM307,Olimpiadas!$C$2:$C$61,0)),"#N/D"))</f>
        <v>#N/D</v>
      </c>
      <c r="J307" s="26" t="str">
        <f>IF($AO307,"#N/D",IFERROR(INDEX(Minculturas!$A$2:$A$48,MATCH($AM307,Minculturas!$C$2:$C$48,0)),"#N/D"))</f>
        <v>#N/D</v>
      </c>
      <c r="K307" s="26" t="str">
        <f>IF($AO307,"#N/D",IFERROR(INDEX(Minculturas!$B$2:$B$48,MATCH($AM307,Minculturas!$C$2:$C$48,0)),"#N/D"))</f>
        <v>#N/D</v>
      </c>
      <c r="L307" s="27">
        <v>1</v>
      </c>
      <c r="M307" s="28">
        <v>0</v>
      </c>
      <c r="N307" s="28">
        <v>1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7">
        <f>SUM(Tabla43[[#This Row],[Edificación colapsada]:[Robo]])</f>
        <v>1</v>
      </c>
      <c r="AF307" s="28"/>
      <c r="AG307" s="28"/>
      <c r="AH307" s="28">
        <v>27.2</v>
      </c>
      <c r="AI307" s="28"/>
      <c r="AJ307" s="28"/>
      <c r="AK307" s="29" t="s">
        <v>114</v>
      </c>
      <c r="AM307" t="str">
        <f t="shared" si="16"/>
        <v>piedras</v>
      </c>
      <c r="AN307" t="str">
        <f t="shared" si="17"/>
        <v>tolima</v>
      </c>
      <c r="AO307" t="b">
        <f t="shared" si="18"/>
        <v>0</v>
      </c>
      <c r="AP307" t="str">
        <f t="shared" si="19"/>
        <v>piedras</v>
      </c>
    </row>
    <row r="308" spans="1:42" ht="25.5" customHeight="1" x14ac:dyDescent="0.25">
      <c r="A308" s="33" t="s">
        <v>242</v>
      </c>
      <c r="B308" s="11" t="s">
        <v>28</v>
      </c>
      <c r="C308" s="34" t="s">
        <v>112</v>
      </c>
      <c r="D308" s="69"/>
      <c r="E308" s="11" t="s">
        <v>243</v>
      </c>
      <c r="F308" s="25" t="s">
        <v>106</v>
      </c>
      <c r="G308" s="25" t="s">
        <v>106</v>
      </c>
      <c r="H308" s="26" t="s">
        <v>106</v>
      </c>
      <c r="I308" s="26" t="str">
        <f>IF($AO308,"#N/D",IFERROR(INDEX(Olimpiadas!$A$2:$A$61,MATCH($AM308,Olimpiadas!$C$2:$C$61,0)),"#N/D"))</f>
        <v>#N/D</v>
      </c>
      <c r="J308" s="26" t="str">
        <f>IF($AO308,"#N/D",IFERROR(INDEX(Minculturas!$A$2:$A$48,MATCH($AM308,Minculturas!$C$2:$C$48,0)),"#N/D"))</f>
        <v>#N/D</v>
      </c>
      <c r="K308" s="26" t="str">
        <f>IF($AO308,"#N/D",IFERROR(INDEX(Minculturas!$B$2:$B$48,MATCH($AM308,Minculturas!$C$2:$C$48,0)),"#N/D"))</f>
        <v>#N/D</v>
      </c>
      <c r="L308" s="27">
        <v>2</v>
      </c>
      <c r="M308" s="28">
        <v>0</v>
      </c>
      <c r="N308" s="28">
        <v>0</v>
      </c>
      <c r="O308" s="28">
        <v>1</v>
      </c>
      <c r="P308" s="28">
        <v>0</v>
      </c>
      <c r="Q308" s="28">
        <v>0</v>
      </c>
      <c r="R308" s="28">
        <v>0</v>
      </c>
      <c r="S308" s="28">
        <v>1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7">
        <f>SUM(Tabla43[[#This Row],[Edificación colapsada]:[Robo]])</f>
        <v>2</v>
      </c>
      <c r="AF308" s="28"/>
      <c r="AG308" s="28"/>
      <c r="AH308" s="28">
        <v>30.7</v>
      </c>
      <c r="AI308" s="28"/>
      <c r="AJ308" s="28"/>
      <c r="AK308" s="29" t="s">
        <v>114</v>
      </c>
      <c r="AM308" t="str">
        <f t="shared" si="16"/>
        <v>piendamo</v>
      </c>
      <c r="AN308" t="str">
        <f t="shared" si="17"/>
        <v>cauca</v>
      </c>
      <c r="AO308" t="b">
        <f t="shared" si="18"/>
        <v>0</v>
      </c>
      <c r="AP308" t="str">
        <f t="shared" si="19"/>
        <v>piendamo</v>
      </c>
    </row>
    <row r="309" spans="1:42" ht="25.5" customHeight="1" x14ac:dyDescent="0.25">
      <c r="A309" s="33" t="s">
        <v>1112</v>
      </c>
      <c r="B309" s="11" t="s">
        <v>44</v>
      </c>
      <c r="C309" s="34" t="s">
        <v>112</v>
      </c>
      <c r="D309" s="69"/>
      <c r="E309" s="11" t="s">
        <v>1113</v>
      </c>
      <c r="F309" s="25" t="s">
        <v>106</v>
      </c>
      <c r="G309" s="25" t="s">
        <v>106</v>
      </c>
      <c r="H309" s="26" t="s">
        <v>106</v>
      </c>
      <c r="I309" s="26" t="str">
        <f>IF($AO309,"#N/D",IFERROR(INDEX(Olimpiadas!$A$2:$A$61,MATCH($AM309,Olimpiadas!$C$2:$C$61,0)),"#N/D"))</f>
        <v>#N/D</v>
      </c>
      <c r="J309" s="26" t="str">
        <f>IF($AO309,"#N/D",IFERROR(INDEX(Minculturas!$A$2:$A$48,MATCH($AM309,Minculturas!$C$2:$C$48,0)),"#N/D"))</f>
        <v>#N/D</v>
      </c>
      <c r="K309" s="26" t="str">
        <f>IF($AO309,"#N/D",IFERROR(INDEX(Minculturas!$B$2:$B$48,MATCH($AM309,Minculturas!$C$2:$C$48,0)),"#N/D"))</f>
        <v>#N/D</v>
      </c>
      <c r="L309" s="27">
        <v>4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1</v>
      </c>
      <c r="S309" s="28">
        <v>1</v>
      </c>
      <c r="T309" s="28">
        <v>0</v>
      </c>
      <c r="U309" s="28">
        <v>0</v>
      </c>
      <c r="V309" s="28">
        <v>0</v>
      </c>
      <c r="W309" s="28">
        <v>1</v>
      </c>
      <c r="X309" s="28">
        <v>1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7">
        <f>SUM(Tabla43[[#This Row],[Edificación colapsada]:[Robo]])</f>
        <v>4</v>
      </c>
      <c r="AF309" s="28"/>
      <c r="AG309" s="28"/>
      <c r="AH309" s="28">
        <v>28.8</v>
      </c>
      <c r="AI309" s="28"/>
      <c r="AJ309" s="28"/>
      <c r="AK309" s="29" t="s">
        <v>114</v>
      </c>
      <c r="AM309" t="str">
        <f t="shared" si="16"/>
        <v>pijao</v>
      </c>
      <c r="AN309" t="str">
        <f t="shared" si="17"/>
        <v>quindio</v>
      </c>
      <c r="AO309" t="b">
        <f t="shared" si="18"/>
        <v>0</v>
      </c>
      <c r="AP309" t="str">
        <f t="shared" si="19"/>
        <v>pijao</v>
      </c>
    </row>
    <row r="310" spans="1:42" ht="25.5" customHeight="1" x14ac:dyDescent="0.25">
      <c r="A310" s="33" t="s">
        <v>731</v>
      </c>
      <c r="B310" s="11" t="s">
        <v>37</v>
      </c>
      <c r="C310" s="34" t="s">
        <v>112</v>
      </c>
      <c r="D310" s="69"/>
      <c r="E310" s="11" t="s">
        <v>732</v>
      </c>
      <c r="F310" s="25" t="s">
        <v>733</v>
      </c>
      <c r="G310" s="25" t="s">
        <v>732</v>
      </c>
      <c r="H310" s="26" t="s">
        <v>732</v>
      </c>
      <c r="I310" s="26" t="str">
        <f>IF($AO310,"#N/D",IFERROR(INDEX(Olimpiadas!$A$2:$A$61,MATCH($AM310,Olimpiadas!$C$2:$C$61,0)),"#N/D"))</f>
        <v>INSTITUCIÓN EDUCATIVA MUNICIPAL LICEO SUR ANDINO</v>
      </c>
      <c r="J310" s="26" t="str">
        <f>IF($AO310,"#N/D",IFERROR(INDEX(Minculturas!$A$2:$A$48,MATCH($AM310,Minculturas!$C$2:$C$48,0)),"#N/D"))</f>
        <v>#N/D</v>
      </c>
      <c r="K310" s="26" t="str">
        <f>IF($AO310,"#N/D",IFERROR(INDEX(Minculturas!$B$2:$B$48,MATCH($AM310,Minculturas!$C$2:$C$48,0)),"#N/D"))</f>
        <v>#N/D</v>
      </c>
      <c r="L310" s="27">
        <v>1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1</v>
      </c>
      <c r="AA310" s="28">
        <v>0</v>
      </c>
      <c r="AB310" s="28">
        <v>0</v>
      </c>
      <c r="AC310" s="28">
        <v>0</v>
      </c>
      <c r="AD310" s="28">
        <v>0</v>
      </c>
      <c r="AE310" s="27">
        <f>SUM(Tabla43[[#This Row],[Edificación colapsada]:[Robo]])</f>
        <v>1</v>
      </c>
      <c r="AF310" s="28"/>
      <c r="AG310" s="28"/>
      <c r="AH310" s="28">
        <v>33.700000000000003</v>
      </c>
      <c r="AI310" s="28"/>
      <c r="AJ310" s="28"/>
      <c r="AK310" s="29" t="s">
        <v>246</v>
      </c>
      <c r="AM310" t="str">
        <f t="shared" si="16"/>
        <v>pitalito</v>
      </c>
      <c r="AN310" t="str">
        <f t="shared" si="17"/>
        <v>huila</v>
      </c>
      <c r="AO310" t="b">
        <f t="shared" si="18"/>
        <v>0</v>
      </c>
      <c r="AP310" t="str">
        <f t="shared" si="19"/>
        <v>pitalito</v>
      </c>
    </row>
    <row r="311" spans="1:42" ht="25.5" customHeight="1" x14ac:dyDescent="0.25">
      <c r="A311" s="33" t="s">
        <v>288</v>
      </c>
      <c r="B311" s="11" t="s">
        <v>48</v>
      </c>
      <c r="C311" s="34" t="s">
        <v>112</v>
      </c>
      <c r="D311" s="69"/>
      <c r="E311" s="11" t="s">
        <v>289</v>
      </c>
      <c r="F311" s="25" t="s">
        <v>290</v>
      </c>
      <c r="G311" s="25" t="s">
        <v>289</v>
      </c>
      <c r="H311" s="26" t="s">
        <v>106</v>
      </c>
      <c r="I311" s="26" t="str">
        <f>IF($AO311,"#N/D",IFERROR(INDEX(Olimpiadas!$A$2:$A$61,MATCH($AM311,Olimpiadas!$C$2:$C$61,0)),"#N/D"))</f>
        <v>#N/D</v>
      </c>
      <c r="J311" s="26" t="str">
        <f>IF($AO311,"#N/D",IFERROR(INDEX(Minculturas!$A$2:$A$48,MATCH($AM311,Minculturas!$C$2:$C$48,0)),"#N/D"))</f>
        <v>#N/D</v>
      </c>
      <c r="K311" s="26" t="str">
        <f>IF($AO311,"#N/D",IFERROR(INDEX(Minculturas!$B$2:$B$48,MATCH($AM311,Minculturas!$C$2:$C$48,0)),"#N/D"))</f>
        <v>#N/D</v>
      </c>
      <c r="L311" s="27">
        <v>3</v>
      </c>
      <c r="M311" s="28">
        <v>0</v>
      </c>
      <c r="N311" s="28">
        <v>0</v>
      </c>
      <c r="O311" s="28">
        <v>1</v>
      </c>
      <c r="P311" s="28">
        <v>1</v>
      </c>
      <c r="Q311" s="28">
        <v>0</v>
      </c>
      <c r="R311" s="28">
        <v>0</v>
      </c>
      <c r="S311" s="28">
        <v>1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7">
        <f>SUM(Tabla43[[#This Row],[Edificación colapsada]:[Robo]])</f>
        <v>3</v>
      </c>
      <c r="AF311" s="28"/>
      <c r="AG311" s="28"/>
      <c r="AH311" s="28">
        <v>55.4</v>
      </c>
      <c r="AI311" s="28"/>
      <c r="AJ311" s="28"/>
      <c r="AK311" s="29" t="s">
        <v>114</v>
      </c>
      <c r="AM311" t="str">
        <f t="shared" si="16"/>
        <v>planadas</v>
      </c>
      <c r="AN311" t="str">
        <f t="shared" si="17"/>
        <v>tolima</v>
      </c>
      <c r="AO311" t="b">
        <f t="shared" si="18"/>
        <v>0</v>
      </c>
      <c r="AP311" t="str">
        <f t="shared" si="19"/>
        <v>planadas</v>
      </c>
    </row>
    <row r="312" spans="1:42" ht="25.5" customHeight="1" x14ac:dyDescent="0.25">
      <c r="A312" s="33" t="s">
        <v>607</v>
      </c>
      <c r="B312" s="11" t="s">
        <v>28</v>
      </c>
      <c r="C312" s="34" t="s">
        <v>112</v>
      </c>
      <c r="D312" s="69"/>
      <c r="E312" s="11" t="s">
        <v>608</v>
      </c>
      <c r="F312" s="25" t="s">
        <v>106</v>
      </c>
      <c r="G312" s="25" t="s">
        <v>106</v>
      </c>
      <c r="H312" s="26" t="s">
        <v>608</v>
      </c>
      <c r="I312" s="42" t="str">
        <f>IF($AO312,"#N/D",IFERROR(INDEX(Olimpiadas!$A$2:$A$61,MATCH($AM312,Olimpiadas!$C$2:$C$61,0)),"#N/D"))</f>
        <v>INSTITUCIÓN EDUCATIVA INDÍGENA DEL RESGUARDO DE POBLAZÓN</v>
      </c>
      <c r="J312" s="42" t="str">
        <f>IF($AO312,"#N/D",IFERROR(INDEX(Minculturas!$A$2:$A$48,MATCH($AM312,Minculturas!$C$2:$C$48,0)),"#N/D"))</f>
        <v>#N/D</v>
      </c>
      <c r="K312" s="42" t="str">
        <f>IF($AO312,"#N/D",IFERROR(INDEX(Minculturas!$B$2:$B$48,MATCH($AM312,Minculturas!$C$2:$C$48,0)),"#N/D"))</f>
        <v>#N/D</v>
      </c>
      <c r="L312" s="27">
        <v>23</v>
      </c>
      <c r="M312" s="28">
        <v>0</v>
      </c>
      <c r="N312" s="28">
        <v>2</v>
      </c>
      <c r="O312" s="28">
        <v>2</v>
      </c>
      <c r="P312" s="28">
        <v>5</v>
      </c>
      <c r="Q312" s="28">
        <v>2</v>
      </c>
      <c r="R312" s="28">
        <v>5</v>
      </c>
      <c r="S312" s="28">
        <v>4</v>
      </c>
      <c r="T312" s="28">
        <v>1</v>
      </c>
      <c r="U312" s="28">
        <v>0</v>
      </c>
      <c r="V312" s="28">
        <v>0</v>
      </c>
      <c r="W312" s="28">
        <v>2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7">
        <f>SUM(Tabla43[[#This Row],[Edificación colapsada]:[Robo]])</f>
        <v>23</v>
      </c>
      <c r="AF312" s="28"/>
      <c r="AG312" s="28"/>
      <c r="AH312" s="28">
        <v>18.399999999999999</v>
      </c>
      <c r="AI312" s="28"/>
      <c r="AJ312" s="28"/>
      <c r="AK312" s="29" t="s">
        <v>114</v>
      </c>
      <c r="AM312" t="str">
        <f t="shared" si="16"/>
        <v>popayan</v>
      </c>
      <c r="AN312" t="str">
        <f t="shared" si="17"/>
        <v>cauca</v>
      </c>
      <c r="AO312" t="b">
        <f t="shared" si="18"/>
        <v>0</v>
      </c>
      <c r="AP312" t="str">
        <f t="shared" si="19"/>
        <v>popayan</v>
      </c>
    </row>
    <row r="313" spans="1:42" ht="25.5" customHeight="1" x14ac:dyDescent="0.25">
      <c r="A313" s="33" t="s">
        <v>450</v>
      </c>
      <c r="B313" s="11" t="s">
        <v>49</v>
      </c>
      <c r="C313" s="34" t="s">
        <v>112</v>
      </c>
      <c r="D313" s="69"/>
      <c r="E313" s="11" t="s">
        <v>451</v>
      </c>
      <c r="F313" s="25" t="s">
        <v>452</v>
      </c>
      <c r="G313" s="25" t="s">
        <v>451</v>
      </c>
      <c r="H313" s="26" t="s">
        <v>451</v>
      </c>
      <c r="I313" s="42" t="str">
        <f>IF($AO313,"#N/D",IFERROR(INDEX(Olimpiadas!$A$2:$A$61,MATCH($AM313,Olimpiadas!$C$2:$C$61,0)),"#N/D"))</f>
        <v>INSTITUCIÓN EDUCATIVA ATENEO</v>
      </c>
      <c r="J313" s="42" t="str">
        <f>IF($AO313,"#N/D",IFERROR(INDEX(Minculturas!$A$2:$A$48,MATCH($AM313,Minculturas!$C$2:$C$48,0)),"#N/D"))</f>
        <v>#N/D</v>
      </c>
      <c r="K313" s="42" t="str">
        <f>IF($AO313,"#N/D",IFERROR(INDEX(Minculturas!$B$2:$B$48,MATCH($AM313,Minculturas!$C$2:$C$48,0)),"#N/D"))</f>
        <v>#N/D</v>
      </c>
      <c r="L313" s="27">
        <v>3</v>
      </c>
      <c r="M313" s="28">
        <v>0</v>
      </c>
      <c r="N313" s="28">
        <v>2</v>
      </c>
      <c r="O313" s="28">
        <v>0</v>
      </c>
      <c r="P313" s="28">
        <v>1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7">
        <f>SUM(Tabla43[[#This Row],[Edificación colapsada]:[Robo]])</f>
        <v>3</v>
      </c>
      <c r="AF313" s="28"/>
      <c r="AG313" s="28"/>
      <c r="AH313" s="28">
        <v>24.8</v>
      </c>
      <c r="AI313" s="28"/>
      <c r="AJ313" s="28"/>
      <c r="AK313" s="29" t="s">
        <v>246</v>
      </c>
      <c r="AM313" t="str">
        <f t="shared" si="16"/>
        <v>pradera</v>
      </c>
      <c r="AN313" t="str">
        <f t="shared" si="17"/>
        <v>valle del cauca</v>
      </c>
      <c r="AO313" t="b">
        <f t="shared" si="18"/>
        <v>0</v>
      </c>
      <c r="AP313" t="str">
        <f t="shared" si="19"/>
        <v>pradera</v>
      </c>
    </row>
    <row r="314" spans="1:42" ht="25.5" customHeight="1" x14ac:dyDescent="0.25">
      <c r="A314" s="33" t="s">
        <v>745</v>
      </c>
      <c r="B314" s="11" t="s">
        <v>48</v>
      </c>
      <c r="C314" s="34" t="s">
        <v>112</v>
      </c>
      <c r="D314" s="69"/>
      <c r="E314" s="11" t="s">
        <v>746</v>
      </c>
      <c r="F314" s="25" t="s">
        <v>747</v>
      </c>
      <c r="G314" s="25" t="s">
        <v>746</v>
      </c>
      <c r="H314" s="26" t="s">
        <v>106</v>
      </c>
      <c r="I314" s="26" t="str">
        <f>IF($AO314,"#N/D",IFERROR(INDEX(Olimpiadas!$A$2:$A$61,MATCH($AM314,Olimpiadas!$C$2:$C$61,0)),"#N/D"))</f>
        <v>#N/D</v>
      </c>
      <c r="J314" s="26" t="str">
        <f>IF($AO314,"#N/D",IFERROR(INDEX(Minculturas!$A$2:$A$48,MATCH($AM314,Minculturas!$C$2:$C$48,0)),"#N/D"))</f>
        <v>#N/D</v>
      </c>
      <c r="K314" s="26" t="str">
        <f>IF($AO314,"#N/D",IFERROR(INDEX(Minculturas!$B$2:$B$48,MATCH($AM314,Minculturas!$C$2:$C$48,0)),"#N/D"))</f>
        <v>#N/D</v>
      </c>
      <c r="L314" s="27">
        <v>1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1</v>
      </c>
      <c r="AA314" s="28">
        <v>0</v>
      </c>
      <c r="AB314" s="28">
        <v>0</v>
      </c>
      <c r="AC314" s="28">
        <v>0</v>
      </c>
      <c r="AD314" s="28">
        <v>0</v>
      </c>
      <c r="AE314" s="27">
        <f>SUM(Tabla43[[#This Row],[Edificación colapsada]:[Robo]])</f>
        <v>1</v>
      </c>
      <c r="AF314" s="28"/>
      <c r="AG314" s="28"/>
      <c r="AH314" s="28">
        <v>36.6</v>
      </c>
      <c r="AI314" s="28"/>
      <c r="AJ314" s="28"/>
      <c r="AK314" s="29" t="s">
        <v>114</v>
      </c>
      <c r="AM314" t="str">
        <f t="shared" si="16"/>
        <v>prado</v>
      </c>
      <c r="AN314" t="str">
        <f t="shared" si="17"/>
        <v>tolima</v>
      </c>
      <c r="AO314" t="b">
        <f t="shared" si="18"/>
        <v>0</v>
      </c>
      <c r="AP314" t="str">
        <f t="shared" si="19"/>
        <v>prado</v>
      </c>
    </row>
    <row r="315" spans="1:42" ht="25.5" customHeight="1" x14ac:dyDescent="0.25">
      <c r="A315" s="33" t="s">
        <v>539</v>
      </c>
      <c r="B315" s="11" t="s">
        <v>45</v>
      </c>
      <c r="C315" s="34" t="s">
        <v>112</v>
      </c>
      <c r="D315" s="69"/>
      <c r="E315" s="11" t="s">
        <v>540</v>
      </c>
      <c r="F315" s="25" t="s">
        <v>106</v>
      </c>
      <c r="G315" s="25" t="s">
        <v>106</v>
      </c>
      <c r="H315" s="26" t="s">
        <v>106</v>
      </c>
      <c r="I315" s="26" t="str">
        <f>IF($AO315,"#N/D",IFERROR(INDEX(Olimpiadas!$A$2:$A$61,MATCH($AM315,Olimpiadas!$C$2:$C$61,0)),"#N/D"))</f>
        <v>#N/D</v>
      </c>
      <c r="J315" s="26" t="str">
        <f>IF($AO315,"#N/D",IFERROR(INDEX(Minculturas!$A$2:$A$48,MATCH($AM315,Minculturas!$C$2:$C$48,0)),"#N/D"))</f>
        <v>#N/D</v>
      </c>
      <c r="K315" s="26" t="str">
        <f>IF($AO315,"#N/D",IFERROR(INDEX(Minculturas!$B$2:$B$48,MATCH($AM315,Minculturas!$C$2:$C$48,0)),"#N/D"))</f>
        <v>#N/D</v>
      </c>
      <c r="L315" s="27">
        <v>2</v>
      </c>
      <c r="M315" s="28">
        <v>0</v>
      </c>
      <c r="N315" s="28">
        <v>1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1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7">
        <f>SUM(Tabla43[[#This Row],[Edificación colapsada]:[Robo]])</f>
        <v>2</v>
      </c>
      <c r="AF315" s="28" t="s">
        <v>541</v>
      </c>
      <c r="AG315" s="28" t="s">
        <v>542</v>
      </c>
      <c r="AH315" s="28">
        <v>70.5</v>
      </c>
      <c r="AI315" s="28"/>
      <c r="AJ315" s="28"/>
      <c r="AK315" s="29" t="s">
        <v>114</v>
      </c>
      <c r="AM315" t="str">
        <f t="shared" si="16"/>
        <v>pueblo rico</v>
      </c>
      <c r="AN315" t="str">
        <f t="shared" si="17"/>
        <v>risaralda</v>
      </c>
      <c r="AO315" t="b">
        <f t="shared" si="18"/>
        <v>0</v>
      </c>
      <c r="AP315" t="str">
        <f t="shared" si="19"/>
        <v>pueblo rico</v>
      </c>
    </row>
    <row r="316" spans="1:42" ht="25.5" customHeight="1" x14ac:dyDescent="0.25">
      <c r="A316" s="33" t="s">
        <v>387</v>
      </c>
      <c r="B316" s="11" t="s">
        <v>10</v>
      </c>
      <c r="C316" s="34" t="s">
        <v>112</v>
      </c>
      <c r="D316" s="69"/>
      <c r="E316" s="11" t="s">
        <v>388</v>
      </c>
      <c r="F316" s="25" t="s">
        <v>106</v>
      </c>
      <c r="G316" s="25" t="s">
        <v>106</v>
      </c>
      <c r="H316" s="26" t="s">
        <v>106</v>
      </c>
      <c r="I316" s="26" t="str">
        <f>IF($AO316,"#N/D",IFERROR(INDEX(Olimpiadas!$A$2:$A$61,MATCH($AM316,Olimpiadas!$C$2:$C$61,0)),"#N/D"))</f>
        <v>#N/D</v>
      </c>
      <c r="J316" s="26" t="str">
        <f>IF($AO316,"#N/D",IFERROR(INDEX(Minculturas!$A$2:$A$48,MATCH($AM316,Minculturas!$C$2:$C$48,0)),"#N/D"))</f>
        <v>#N/D</v>
      </c>
      <c r="K316" s="26" t="str">
        <f>IF($AO316,"#N/D",IFERROR(INDEX(Minculturas!$B$2:$B$48,MATCH($AM316,Minculturas!$C$2:$C$48,0)),"#N/D"))</f>
        <v>#N/D</v>
      </c>
      <c r="L316" s="27">
        <v>2</v>
      </c>
      <c r="M316" s="28">
        <v>0</v>
      </c>
      <c r="N316" s="28">
        <v>0</v>
      </c>
      <c r="O316" s="28">
        <v>0</v>
      </c>
      <c r="P316" s="28">
        <v>1</v>
      </c>
      <c r="Q316" s="28">
        <v>0</v>
      </c>
      <c r="R316" s="28">
        <v>1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7">
        <f>SUM(Tabla43[[#This Row],[Edificación colapsada]:[Robo]])</f>
        <v>2</v>
      </c>
      <c r="AF316" s="28"/>
      <c r="AG316" s="28"/>
      <c r="AH316" s="28">
        <v>45.7</v>
      </c>
      <c r="AI316" s="28"/>
      <c r="AJ316" s="28"/>
      <c r="AK316" s="29" t="s">
        <v>114</v>
      </c>
      <c r="AM316" t="str">
        <f t="shared" si="16"/>
        <v>pueblorrico</v>
      </c>
      <c r="AN316" t="str">
        <f t="shared" si="17"/>
        <v>antioquia</v>
      </c>
      <c r="AO316" t="b">
        <f t="shared" si="18"/>
        <v>0</v>
      </c>
      <c r="AP316" t="str">
        <f t="shared" si="19"/>
        <v>pueblorrico</v>
      </c>
    </row>
    <row r="317" spans="1:42" ht="25.5" customHeight="1" x14ac:dyDescent="0.25">
      <c r="A317" s="33" t="s">
        <v>936</v>
      </c>
      <c r="B317" s="11" t="s">
        <v>10</v>
      </c>
      <c r="C317" s="34" t="s">
        <v>112</v>
      </c>
      <c r="D317" s="69"/>
      <c r="E317" s="11" t="s">
        <v>937</v>
      </c>
      <c r="F317" s="25" t="s">
        <v>106</v>
      </c>
      <c r="G317" s="25" t="s">
        <v>106</v>
      </c>
      <c r="H317" s="26" t="s">
        <v>106</v>
      </c>
      <c r="I317" s="26" t="str">
        <f>IF($AO317,"#N/D",IFERROR(INDEX(Olimpiadas!$A$2:$A$61,MATCH($AM317,Olimpiadas!$C$2:$C$61,0)),"#N/D"))</f>
        <v>#N/D</v>
      </c>
      <c r="J317" s="26" t="str">
        <f>IF($AO317,"#N/D",IFERROR(INDEX(Minculturas!$A$2:$A$48,MATCH($AM317,Minculturas!$C$2:$C$48,0)),"#N/D"))</f>
        <v>#N/D</v>
      </c>
      <c r="K317" s="26" t="str">
        <f>IF($AO317,"#N/D",IFERROR(INDEX(Minculturas!$B$2:$B$48,MATCH($AM317,Minculturas!$C$2:$C$48,0)),"#N/D"))</f>
        <v>#N/D</v>
      </c>
      <c r="L317" s="27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7">
        <f>SUM(Tabla43[[#This Row],[Edificación colapsada]:[Robo]])</f>
        <v>0</v>
      </c>
      <c r="AF317" s="28"/>
      <c r="AG317" s="28"/>
      <c r="AH317" s="28">
        <v>33.1</v>
      </c>
      <c r="AI317" s="28"/>
      <c r="AJ317" s="28"/>
      <c r="AK317" s="29" t="s">
        <v>657</v>
      </c>
      <c r="AM317" t="str">
        <f t="shared" si="16"/>
        <v>puerto nare</v>
      </c>
      <c r="AN317" t="str">
        <f t="shared" si="17"/>
        <v>antioquia</v>
      </c>
      <c r="AO317" t="b">
        <f t="shared" si="18"/>
        <v>0</v>
      </c>
      <c r="AP317" t="str">
        <f t="shared" si="19"/>
        <v>puerto nare</v>
      </c>
    </row>
    <row r="318" spans="1:42" ht="25.5" customHeight="1" x14ac:dyDescent="0.25">
      <c r="A318" s="33" t="s">
        <v>700</v>
      </c>
      <c r="B318" s="11" t="s">
        <v>28</v>
      </c>
      <c r="C318" s="34" t="s">
        <v>112</v>
      </c>
      <c r="D318" s="69"/>
      <c r="E318" s="11" t="s">
        <v>701</v>
      </c>
      <c r="F318" s="25" t="s">
        <v>106</v>
      </c>
      <c r="G318" s="25" t="s">
        <v>106</v>
      </c>
      <c r="H318" s="26" t="s">
        <v>106</v>
      </c>
      <c r="I318" s="26" t="str">
        <f>IF($AO318,"#N/D",IFERROR(INDEX(Olimpiadas!$A$2:$A$61,MATCH($AM318,Olimpiadas!$C$2:$C$61,0)),"#N/D"))</f>
        <v>#N/D</v>
      </c>
      <c r="J318" s="26" t="str">
        <f>IF($AO318,"#N/D",IFERROR(INDEX(Minculturas!$A$2:$A$48,MATCH($AM318,Minculturas!$C$2:$C$48,0)),"#N/D"))</f>
        <v>#N/D</v>
      </c>
      <c r="K318" s="26" t="str">
        <f>IF($AO318,"#N/D",IFERROR(INDEX(Minculturas!$B$2:$B$48,MATCH($AM318,Minculturas!$C$2:$C$48,0)),"#N/D"))</f>
        <v>#N/D</v>
      </c>
      <c r="L318" s="27">
        <v>3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3</v>
      </c>
      <c r="AA318" s="28">
        <v>0</v>
      </c>
      <c r="AB318" s="28">
        <v>0</v>
      </c>
      <c r="AC318" s="28">
        <v>0</v>
      </c>
      <c r="AD318" s="28">
        <v>0</v>
      </c>
      <c r="AE318" s="27">
        <f>SUM(Tabla43[[#This Row],[Edificación colapsada]:[Robo]])</f>
        <v>3</v>
      </c>
      <c r="AF318" s="28"/>
      <c r="AG318" s="28"/>
      <c r="AH318" s="28">
        <v>16.600000000000001</v>
      </c>
      <c r="AI318" s="28"/>
      <c r="AJ318" s="28"/>
      <c r="AK318" s="29" t="s">
        <v>114</v>
      </c>
      <c r="AM318" t="str">
        <f t="shared" si="16"/>
        <v>puerto tejada</v>
      </c>
      <c r="AN318" t="str">
        <f t="shared" si="17"/>
        <v>cauca</v>
      </c>
      <c r="AO318" t="b">
        <f t="shared" si="18"/>
        <v>0</v>
      </c>
      <c r="AP318" t="str">
        <f t="shared" si="19"/>
        <v>puerto tejada</v>
      </c>
    </row>
    <row r="319" spans="1:42" ht="25.5" customHeight="1" x14ac:dyDescent="0.25">
      <c r="A319" s="33" t="s">
        <v>938</v>
      </c>
      <c r="B319" s="11" t="s">
        <v>10</v>
      </c>
      <c r="C319" s="34" t="s">
        <v>112</v>
      </c>
      <c r="D319" s="69"/>
      <c r="E319" s="11" t="s">
        <v>939</v>
      </c>
      <c r="F319" s="25" t="s">
        <v>106</v>
      </c>
      <c r="G319" s="25" t="s">
        <v>106</v>
      </c>
      <c r="H319" s="26" t="s">
        <v>106</v>
      </c>
      <c r="I319" s="26" t="str">
        <f>IF($AO319,"#N/D",IFERROR(INDEX(Olimpiadas!$A$2:$A$61,MATCH($AM319,Olimpiadas!$C$2:$C$61,0)),"#N/D"))</f>
        <v>#N/D</v>
      </c>
      <c r="J319" s="26" t="str">
        <f>IF($AO319,"#N/D",IFERROR(INDEX(Minculturas!$A$2:$A$48,MATCH($AM319,Minculturas!$C$2:$C$48,0)),"#N/D"))</f>
        <v>#N/D</v>
      </c>
      <c r="K319" s="26" t="str">
        <f>IF($AO319,"#N/D",IFERROR(INDEX(Minculturas!$B$2:$B$48,MATCH($AM319,Minculturas!$C$2:$C$48,0)),"#N/D"))</f>
        <v>#N/D</v>
      </c>
      <c r="L319" s="27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7">
        <f>SUM(Tabla43[[#This Row],[Edificación colapsada]:[Robo]])</f>
        <v>0</v>
      </c>
      <c r="AF319" s="28"/>
      <c r="AG319" s="28"/>
      <c r="AH319" s="28">
        <v>29.3</v>
      </c>
      <c r="AI319" s="28"/>
      <c r="AJ319" s="28"/>
      <c r="AK319" s="29" t="s">
        <v>657</v>
      </c>
      <c r="AM319" t="str">
        <f t="shared" si="16"/>
        <v>puerto triunfo</v>
      </c>
      <c r="AN319" t="str">
        <f t="shared" si="17"/>
        <v>antioquia</v>
      </c>
      <c r="AO319" t="b">
        <f t="shared" si="18"/>
        <v>0</v>
      </c>
      <c r="AP319" t="str">
        <f t="shared" si="19"/>
        <v>puerto triunfo</v>
      </c>
    </row>
    <row r="320" spans="1:42" ht="25.5" customHeight="1" x14ac:dyDescent="0.25">
      <c r="A320" s="33" t="s">
        <v>1083</v>
      </c>
      <c r="B320" s="11" t="s">
        <v>35</v>
      </c>
      <c r="C320" s="34" t="s">
        <v>112</v>
      </c>
      <c r="D320" s="69"/>
      <c r="E320" s="11" t="s">
        <v>1084</v>
      </c>
      <c r="F320" s="25" t="s">
        <v>106</v>
      </c>
      <c r="G320" s="25" t="s">
        <v>106</v>
      </c>
      <c r="H320" s="26" t="s">
        <v>106</v>
      </c>
      <c r="I320" s="26" t="str">
        <f>IF($AO320,"#N/D",IFERROR(INDEX(Olimpiadas!$A$2:$A$61,MATCH($AM320,Olimpiadas!$C$2:$C$61,0)),"#N/D"))</f>
        <v>#N/D</v>
      </c>
      <c r="J320" s="26" t="str">
        <f>IF($AO320,"#N/D",IFERROR(INDEX(Minculturas!$A$2:$A$48,MATCH($AM320,Minculturas!$C$2:$C$48,0)),"#N/D"))</f>
        <v>#N/D</v>
      </c>
      <c r="K320" s="26" t="str">
        <f>IF($AO320,"#N/D",IFERROR(INDEX(Minculturas!$B$2:$B$48,MATCH($AM320,Minculturas!$C$2:$C$48,0)),"#N/D"))</f>
        <v>#N/D</v>
      </c>
      <c r="L320" s="27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7">
        <f>SUM(Tabla43[[#This Row],[Edificación colapsada]:[Robo]])</f>
        <v>0</v>
      </c>
      <c r="AF320" s="28"/>
      <c r="AG320" s="28"/>
      <c r="AH320" s="28">
        <v>46</v>
      </c>
      <c r="AI320" s="28"/>
      <c r="AJ320" s="28"/>
      <c r="AK320" s="29" t="s">
        <v>246</v>
      </c>
      <c r="AM320" t="str">
        <f t="shared" si="16"/>
        <v>puli</v>
      </c>
      <c r="AN320" t="str">
        <f t="shared" si="17"/>
        <v>cundinamarca</v>
      </c>
      <c r="AO320" t="b">
        <f t="shared" si="18"/>
        <v>0</v>
      </c>
      <c r="AP320" t="str">
        <f t="shared" si="19"/>
        <v>puli</v>
      </c>
    </row>
    <row r="321" spans="1:42" ht="25.5" customHeight="1" x14ac:dyDescent="0.25">
      <c r="A321" s="33" t="s">
        <v>440</v>
      </c>
      <c r="B321" s="11" t="s">
        <v>28</v>
      </c>
      <c r="C321" s="34" t="s">
        <v>112</v>
      </c>
      <c r="D321" s="69"/>
      <c r="E321" s="11" t="s">
        <v>441</v>
      </c>
      <c r="F321" s="25" t="s">
        <v>106</v>
      </c>
      <c r="G321" s="25" t="s">
        <v>106</v>
      </c>
      <c r="H321" s="26" t="s">
        <v>106</v>
      </c>
      <c r="I321" s="26" t="str">
        <f>IF($AO321,"#N/D",IFERROR(INDEX(Olimpiadas!$A$2:$A$61,MATCH($AM321,Olimpiadas!$C$2:$C$61,0)),"#N/D"))</f>
        <v>#N/D</v>
      </c>
      <c r="J321" s="26" t="str">
        <f>IF($AO321,"#N/D",IFERROR(INDEX(Minculturas!$A$2:$A$48,MATCH($AM321,Minculturas!$C$2:$C$48,0)),"#N/D"))</f>
        <v>#N/D</v>
      </c>
      <c r="K321" s="26" t="str">
        <f>IF($AO321,"#N/D",IFERROR(INDEX(Minculturas!$B$2:$B$48,MATCH($AM321,Minculturas!$C$2:$C$48,0)),"#N/D"))</f>
        <v>#N/D</v>
      </c>
      <c r="L321" s="27">
        <v>3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1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2</v>
      </c>
      <c r="AA321" s="28">
        <v>0</v>
      </c>
      <c r="AB321" s="28">
        <v>0</v>
      </c>
      <c r="AC321" s="28">
        <v>0</v>
      </c>
      <c r="AD321" s="28">
        <v>0</v>
      </c>
      <c r="AE321" s="27">
        <f>SUM(Tabla43[[#This Row],[Edificación colapsada]:[Robo]])</f>
        <v>3</v>
      </c>
      <c r="AF321" s="28"/>
      <c r="AG321" s="28"/>
      <c r="AH321" s="28">
        <v>39.5</v>
      </c>
      <c r="AI321" s="28"/>
      <c r="AJ321" s="28"/>
      <c r="AK321" s="29" t="s">
        <v>114</v>
      </c>
      <c r="AM321" t="str">
        <f t="shared" si="16"/>
        <v>purace</v>
      </c>
      <c r="AN321" t="str">
        <f t="shared" si="17"/>
        <v>cauca</v>
      </c>
      <c r="AO321" t="b">
        <f t="shared" si="18"/>
        <v>0</v>
      </c>
      <c r="AP321" t="str">
        <f t="shared" si="19"/>
        <v>purace</v>
      </c>
    </row>
    <row r="322" spans="1:42" ht="25.5" customHeight="1" x14ac:dyDescent="0.25">
      <c r="A322" s="33" t="s">
        <v>291</v>
      </c>
      <c r="B322" s="11" t="s">
        <v>48</v>
      </c>
      <c r="C322" s="34" t="s">
        <v>112</v>
      </c>
      <c r="D322" s="69"/>
      <c r="E322" s="11" t="s">
        <v>292</v>
      </c>
      <c r="F322" s="25" t="s">
        <v>293</v>
      </c>
      <c r="G322" s="25" t="s">
        <v>292</v>
      </c>
      <c r="H322" s="26" t="s">
        <v>106</v>
      </c>
      <c r="I322" s="26" t="str">
        <f>IF($AO322,"#N/D",IFERROR(INDEX(Olimpiadas!$A$2:$A$61,MATCH($AM322,Olimpiadas!$C$2:$C$61,0)),"#N/D"))</f>
        <v>#N/D</v>
      </c>
      <c r="J322" s="26" t="str">
        <f>IF($AO322,"#N/D",IFERROR(INDEX(Minculturas!$A$2:$A$48,MATCH($AM322,Minculturas!$C$2:$C$48,0)),"#N/D"))</f>
        <v>#N/D</v>
      </c>
      <c r="K322" s="26" t="str">
        <f>IF($AO322,"#N/D",IFERROR(INDEX(Minculturas!$B$2:$B$48,MATCH($AM322,Minculturas!$C$2:$C$48,0)),"#N/D"))</f>
        <v>#N/D</v>
      </c>
      <c r="L322" s="27">
        <v>3</v>
      </c>
      <c r="M322" s="28">
        <v>0</v>
      </c>
      <c r="N322" s="28">
        <v>2</v>
      </c>
      <c r="O322" s="28">
        <v>0</v>
      </c>
      <c r="P322" s="28">
        <v>1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7">
        <f>SUM(Tabla43[[#This Row],[Edificación colapsada]:[Robo]])</f>
        <v>3</v>
      </c>
      <c r="AF322" s="28"/>
      <c r="AG322" s="28"/>
      <c r="AH322" s="28">
        <v>32.6</v>
      </c>
      <c r="AI322" s="28"/>
      <c r="AJ322" s="28"/>
      <c r="AK322" s="29" t="s">
        <v>114</v>
      </c>
      <c r="AM322" t="str">
        <f t="shared" ref="AM322:AM385" si="20">TRIM(SUBSTITUTE(SUBSTITUTE(SUBSTITUTE(SUBSTITUTE(SUBSTITUTE(SUBSTITUTE(SUBSTITUTE(SUBSTITUTE(SUBSTITUTE(LOWER(E322),"á","a"),"é","e"),"í","i"),"ó","o"),"ú","u"),"ñ","n"),"-"," "),","," "),"."," "))</f>
        <v>purificacion</v>
      </c>
      <c r="AN322" t="str">
        <f t="shared" ref="AN322:AN385" si="21">TRIM(SUBSTITUTE(SUBSTITUTE(SUBSTITUTE(SUBSTITUTE(SUBSTITUTE(SUBSTITUTE(SUBSTITUTE(SUBSTITUTE(SUBSTITUTE(LOWER(B322),"á","a"),"é","e"),"í","i"),"ó","o"),"ú","u"),"ñ","n"),"-"," "),","," "),"."," "))</f>
        <v>tolima</v>
      </c>
      <c r="AO322" t="b">
        <f t="shared" ref="AO322:AO385" si="22">COUNTIF($AM$2:$AM$433,AM322)&gt;COUNTIFS($AM$2:$AM$433,AM322,$AN$2:$AN$433,AN322)</f>
        <v>0</v>
      </c>
      <c r="AP322" t="str">
        <f t="shared" ref="AP322:AP385" si="23">IF(AO322,AM322&amp;"|"&amp;AN322,AM322)</f>
        <v>purificacion</v>
      </c>
    </row>
    <row r="323" spans="1:42" ht="25.5" customHeight="1" x14ac:dyDescent="0.25">
      <c r="A323" s="33" t="s">
        <v>940</v>
      </c>
      <c r="B323" s="11" t="s">
        <v>44</v>
      </c>
      <c r="C323" s="34" t="s">
        <v>112</v>
      </c>
      <c r="D323" s="69"/>
      <c r="E323" s="11" t="s">
        <v>941</v>
      </c>
      <c r="F323" s="25" t="s">
        <v>106</v>
      </c>
      <c r="G323" s="25" t="s">
        <v>106</v>
      </c>
      <c r="H323" s="26" t="s">
        <v>106</v>
      </c>
      <c r="I323" s="26" t="str">
        <f>IF($AO323,"#N/D",IFERROR(INDEX(Olimpiadas!$A$2:$A$61,MATCH($AM323,Olimpiadas!$C$2:$C$61,0)),"#N/D"))</f>
        <v>#N/D</v>
      </c>
      <c r="J323" s="26" t="str">
        <f>IF($AO323,"#N/D",IFERROR(INDEX(Minculturas!$A$2:$A$48,MATCH($AM323,Minculturas!$C$2:$C$48,0)),"#N/D"))</f>
        <v>#N/D</v>
      </c>
      <c r="K323" s="26" t="str">
        <f>IF($AO323,"#N/D",IFERROR(INDEX(Minculturas!$B$2:$B$48,MATCH($AM323,Minculturas!$C$2:$C$48,0)),"#N/D"))</f>
        <v>#N/D</v>
      </c>
      <c r="L323" s="27">
        <v>36</v>
      </c>
      <c r="M323" s="28">
        <v>4</v>
      </c>
      <c r="N323" s="28">
        <v>7</v>
      </c>
      <c r="O323" s="28">
        <v>4</v>
      </c>
      <c r="P323" s="28">
        <v>2</v>
      </c>
      <c r="Q323" s="28">
        <v>0</v>
      </c>
      <c r="R323" s="28">
        <v>2</v>
      </c>
      <c r="S323" s="28">
        <v>4</v>
      </c>
      <c r="T323" s="28">
        <v>4</v>
      </c>
      <c r="U323" s="28">
        <v>2</v>
      </c>
      <c r="V323" s="28">
        <v>1</v>
      </c>
      <c r="W323" s="28">
        <v>1</v>
      </c>
      <c r="X323" s="28">
        <v>0</v>
      </c>
      <c r="Y323" s="28">
        <v>2</v>
      </c>
      <c r="Z323" s="28">
        <v>2</v>
      </c>
      <c r="AA323" s="28">
        <v>0</v>
      </c>
      <c r="AB323" s="28">
        <v>0</v>
      </c>
      <c r="AC323" s="28">
        <v>1</v>
      </c>
      <c r="AD323" s="28">
        <v>0</v>
      </c>
      <c r="AE323" s="27">
        <f>SUM(Tabla43[[#This Row],[Edificación colapsada]:[Robo]])</f>
        <v>36</v>
      </c>
      <c r="AF323" s="28" t="s">
        <v>942</v>
      </c>
      <c r="AG323" s="28" t="s">
        <v>943</v>
      </c>
      <c r="AH323" s="28">
        <v>22</v>
      </c>
      <c r="AI323" s="28"/>
      <c r="AJ323" s="28"/>
      <c r="AK323" s="29" t="s">
        <v>114</v>
      </c>
      <c r="AM323" t="str">
        <f t="shared" si="20"/>
        <v>quimbaya</v>
      </c>
      <c r="AN323" t="str">
        <f t="shared" si="21"/>
        <v>quindio</v>
      </c>
      <c r="AO323" t="b">
        <f t="shared" si="22"/>
        <v>0</v>
      </c>
      <c r="AP323" t="str">
        <f t="shared" si="23"/>
        <v>quimbaya</v>
      </c>
    </row>
    <row r="324" spans="1:42" ht="25.5" customHeight="1" x14ac:dyDescent="0.25">
      <c r="A324" s="33" t="s">
        <v>1175</v>
      </c>
      <c r="B324" s="11" t="s">
        <v>45</v>
      </c>
      <c r="C324" s="34" t="s">
        <v>112</v>
      </c>
      <c r="D324" s="69"/>
      <c r="E324" s="11" t="s">
        <v>1176</v>
      </c>
      <c r="F324" s="25" t="s">
        <v>106</v>
      </c>
      <c r="G324" s="25" t="s">
        <v>106</v>
      </c>
      <c r="H324" s="26" t="s">
        <v>106</v>
      </c>
      <c r="I324" s="26" t="str">
        <f>IF($AO324,"#N/D",IFERROR(INDEX(Olimpiadas!$A$2:$A$61,MATCH($AM324,Olimpiadas!$C$2:$C$61,0)),"#N/D"))</f>
        <v>#N/D</v>
      </c>
      <c r="J324" s="26" t="str">
        <f>IF($AO324,"#N/D",IFERROR(INDEX(Minculturas!$A$2:$A$48,MATCH($AM324,Minculturas!$C$2:$C$48,0)),"#N/D"))</f>
        <v>#N/D</v>
      </c>
      <c r="K324" s="26" t="str">
        <f>IF($AO324,"#N/D",IFERROR(INDEX(Minculturas!$B$2:$B$48,MATCH($AM324,Minculturas!$C$2:$C$48,0)),"#N/D"))</f>
        <v>#N/D</v>
      </c>
      <c r="L324" s="27">
        <v>2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1</v>
      </c>
      <c r="U324" s="28">
        <v>0</v>
      </c>
      <c r="V324" s="28">
        <v>0</v>
      </c>
      <c r="W324" s="28">
        <v>1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7">
        <f>SUM(Tabla43[[#This Row],[Edificación colapsada]:[Robo]])</f>
        <v>2</v>
      </c>
      <c r="AF324" s="28" t="s">
        <v>1177</v>
      </c>
      <c r="AG324" s="28" t="s">
        <v>1178</v>
      </c>
      <c r="AH324" s="28">
        <v>41.4</v>
      </c>
      <c r="AI324" s="28"/>
      <c r="AJ324" s="28"/>
      <c r="AK324" s="29" t="s">
        <v>114</v>
      </c>
      <c r="AM324" t="str">
        <f t="shared" si="20"/>
        <v>quinchia</v>
      </c>
      <c r="AN324" t="str">
        <f t="shared" si="21"/>
        <v>risaralda</v>
      </c>
      <c r="AO324" t="b">
        <f t="shared" si="22"/>
        <v>0</v>
      </c>
      <c r="AP324" t="str">
        <f t="shared" si="23"/>
        <v>quinchia</v>
      </c>
    </row>
    <row r="325" spans="1:42" ht="25.5" customHeight="1" x14ac:dyDescent="0.25">
      <c r="A325" s="33" t="s">
        <v>389</v>
      </c>
      <c r="B325" s="11" t="s">
        <v>10</v>
      </c>
      <c r="C325" s="34" t="s">
        <v>112</v>
      </c>
      <c r="D325" s="69"/>
      <c r="E325" s="11" t="s">
        <v>390</v>
      </c>
      <c r="F325" s="25" t="s">
        <v>106</v>
      </c>
      <c r="G325" s="25" t="s">
        <v>106</v>
      </c>
      <c r="H325" s="26" t="s">
        <v>106</v>
      </c>
      <c r="I325" s="26" t="str">
        <f>IF($AO325,"#N/D",IFERROR(INDEX(Olimpiadas!$A$2:$A$61,MATCH($AM325,Olimpiadas!$C$2:$C$61,0)),"#N/D"))</f>
        <v>#N/D</v>
      </c>
      <c r="J325" s="26" t="str">
        <f>IF($AO325,"#N/D",IFERROR(INDEX(Minculturas!$A$2:$A$48,MATCH($AM325,Minculturas!$C$2:$C$48,0)),"#N/D"))</f>
        <v>#N/D</v>
      </c>
      <c r="K325" s="26" t="str">
        <f>IF($AO325,"#N/D",IFERROR(INDEX(Minculturas!$B$2:$B$48,MATCH($AM325,Minculturas!$C$2:$C$48,0)),"#N/D"))</f>
        <v>#N/D</v>
      </c>
      <c r="L325" s="27">
        <v>2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1</v>
      </c>
      <c r="S325" s="28">
        <v>1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7">
        <f>SUM(Tabla43[[#This Row],[Edificación colapsada]:[Robo]])</f>
        <v>2</v>
      </c>
      <c r="AF325" s="28"/>
      <c r="AG325" s="28"/>
      <c r="AH325" s="28">
        <v>42.1</v>
      </c>
      <c r="AI325" s="28"/>
      <c r="AJ325" s="28"/>
      <c r="AK325" s="29" t="s">
        <v>114</v>
      </c>
      <c r="AM325" t="str">
        <f t="shared" si="20"/>
        <v>remedios</v>
      </c>
      <c r="AN325" t="str">
        <f t="shared" si="21"/>
        <v>antioquia</v>
      </c>
      <c r="AO325" t="b">
        <f t="shared" si="22"/>
        <v>0</v>
      </c>
      <c r="AP325" t="str">
        <f t="shared" si="23"/>
        <v>remedios</v>
      </c>
    </row>
    <row r="326" spans="1:42" ht="25.5" customHeight="1" x14ac:dyDescent="0.25">
      <c r="A326" s="33" t="s">
        <v>473</v>
      </c>
      <c r="B326" s="11" t="s">
        <v>49</v>
      </c>
      <c r="C326" s="34" t="s">
        <v>112</v>
      </c>
      <c r="D326" s="69"/>
      <c r="E326" s="11" t="s">
        <v>474</v>
      </c>
      <c r="F326" s="25" t="s">
        <v>475</v>
      </c>
      <c r="G326" s="25" t="s">
        <v>474</v>
      </c>
      <c r="H326" s="26" t="s">
        <v>106</v>
      </c>
      <c r="I326" s="26" t="str">
        <f>IF($AO326,"#N/D",IFERROR(INDEX(Olimpiadas!$A$2:$A$61,MATCH($AM326,Olimpiadas!$C$2:$C$61,0)),"#N/D"))</f>
        <v>#N/D</v>
      </c>
      <c r="J326" s="26" t="str">
        <f>IF($AO326,"#N/D",IFERROR(INDEX(Minculturas!$A$2:$A$48,MATCH($AM326,Minculturas!$C$2:$C$48,0)),"#N/D"))</f>
        <v>#N/D</v>
      </c>
      <c r="K326" s="26" t="str">
        <f>IF($AO326,"#N/D",IFERROR(INDEX(Minculturas!$B$2:$B$48,MATCH($AM326,Minculturas!$C$2:$C$48,0)),"#N/D"))</f>
        <v>#N/D</v>
      </c>
      <c r="L326" s="27">
        <v>3</v>
      </c>
      <c r="M326" s="28">
        <v>0</v>
      </c>
      <c r="N326" s="28">
        <v>0</v>
      </c>
      <c r="O326" s="28">
        <v>0</v>
      </c>
      <c r="P326" s="28">
        <v>1</v>
      </c>
      <c r="Q326" s="28">
        <v>1</v>
      </c>
      <c r="R326" s="28">
        <v>0</v>
      </c>
      <c r="S326" s="28">
        <v>1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7">
        <f>SUM(Tabla43[[#This Row],[Edificación colapsada]:[Robo]])</f>
        <v>3</v>
      </c>
      <c r="AF326" s="28" t="s">
        <v>476</v>
      </c>
      <c r="AG326" s="28" t="s">
        <v>477</v>
      </c>
      <c r="AH326" s="28">
        <v>20.7</v>
      </c>
      <c r="AI326" s="28"/>
      <c r="AJ326" s="28"/>
      <c r="AK326" s="29" t="s">
        <v>114</v>
      </c>
      <c r="AM326" t="str">
        <f t="shared" si="20"/>
        <v>restrepo</v>
      </c>
      <c r="AN326" t="str">
        <f t="shared" si="21"/>
        <v>valle del cauca</v>
      </c>
      <c r="AO326" t="b">
        <f t="shared" si="22"/>
        <v>0</v>
      </c>
      <c r="AP326" t="str">
        <f t="shared" si="23"/>
        <v>restrepo</v>
      </c>
    </row>
    <row r="327" spans="1:42" ht="25.5" customHeight="1" x14ac:dyDescent="0.25">
      <c r="A327" s="33" t="s">
        <v>169</v>
      </c>
      <c r="B327" s="11" t="s">
        <v>41</v>
      </c>
      <c r="C327" s="34" t="s">
        <v>112</v>
      </c>
      <c r="D327" s="69"/>
      <c r="E327" s="11" t="s">
        <v>170</v>
      </c>
      <c r="F327" s="25" t="s">
        <v>171</v>
      </c>
      <c r="G327" s="25" t="s">
        <v>170</v>
      </c>
      <c r="H327" s="26" t="s">
        <v>106</v>
      </c>
      <c r="I327" s="26" t="str">
        <f>IF($AO327,"#N/D",IFERROR(INDEX(Olimpiadas!$A$2:$A$61,MATCH($AM327,Olimpiadas!$C$2:$C$61,0)),"#N/D"))</f>
        <v>#N/D</v>
      </c>
      <c r="J327" s="26" t="str">
        <f>IF($AO327,"#N/D",IFERROR(INDEX(Minculturas!$A$2:$A$48,MATCH($AM327,Minculturas!$C$2:$C$48,0)),"#N/D"))</f>
        <v>#N/D</v>
      </c>
      <c r="K327" s="26" t="str">
        <f>IF($AO327,"#N/D",IFERROR(INDEX(Minculturas!$B$2:$B$48,MATCH($AM327,Minculturas!$C$2:$C$48,0)),"#N/D"))</f>
        <v>#N/D</v>
      </c>
      <c r="L327" s="27">
        <v>2</v>
      </c>
      <c r="M327" s="28">
        <v>0</v>
      </c>
      <c r="N327" s="28">
        <v>1</v>
      </c>
      <c r="O327" s="28">
        <v>0</v>
      </c>
      <c r="P327" s="28">
        <v>1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7">
        <f>SUM(Tabla43[[#This Row],[Edificación colapsada]:[Robo]])</f>
        <v>2</v>
      </c>
      <c r="AF327" s="28"/>
      <c r="AG327" s="28"/>
      <c r="AH327" s="28">
        <v>17.5</v>
      </c>
      <c r="AI327" s="28"/>
      <c r="AJ327" s="28"/>
      <c r="AK327" s="29" t="s">
        <v>114</v>
      </c>
      <c r="AM327" t="str">
        <f t="shared" si="20"/>
        <v>ricaurte</v>
      </c>
      <c r="AN327" t="str">
        <f t="shared" si="21"/>
        <v>narino</v>
      </c>
      <c r="AO327" t="b">
        <f t="shared" si="22"/>
        <v>1</v>
      </c>
      <c r="AP327" t="str">
        <f t="shared" si="23"/>
        <v>ricaurte|narino</v>
      </c>
    </row>
    <row r="328" spans="1:42" ht="25.5" customHeight="1" x14ac:dyDescent="0.25">
      <c r="A328" s="33" t="s">
        <v>702</v>
      </c>
      <c r="B328" s="11" t="s">
        <v>31</v>
      </c>
      <c r="C328" s="34" t="s">
        <v>112</v>
      </c>
      <c r="D328" s="69"/>
      <c r="E328" s="11" t="s">
        <v>703</v>
      </c>
      <c r="F328" s="25" t="s">
        <v>106</v>
      </c>
      <c r="G328" s="25" t="s">
        <v>106</v>
      </c>
      <c r="H328" s="26" t="s">
        <v>106</v>
      </c>
      <c r="I328" s="26" t="str">
        <f>IF($AO328,"#N/D",IFERROR(INDEX(Olimpiadas!$A$2:$A$61,MATCH($AM328,Olimpiadas!$C$2:$C$61,0)),"#N/D"))</f>
        <v>#N/D</v>
      </c>
      <c r="J328" s="26" t="str">
        <f>IF($AO328,"#N/D",IFERROR(INDEX(Minculturas!$A$2:$A$48,MATCH($AM328,Minculturas!$C$2:$C$48,0)),"#N/D"))</f>
        <v>#N/D</v>
      </c>
      <c r="K328" s="26" t="str">
        <f>IF($AO328,"#N/D",IFERROR(INDEX(Minculturas!$B$2:$B$48,MATCH($AM328,Minculturas!$C$2:$C$48,0)),"#N/D"))</f>
        <v>#N/D</v>
      </c>
      <c r="L328" s="27">
        <v>1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1</v>
      </c>
      <c r="AA328" s="28">
        <v>0</v>
      </c>
      <c r="AB328" s="28">
        <v>0</v>
      </c>
      <c r="AC328" s="28">
        <v>0</v>
      </c>
      <c r="AD328" s="28">
        <v>0</v>
      </c>
      <c r="AE328" s="27">
        <f>SUM(Tabla43[[#This Row],[Edificación colapsada]:[Robo]])</f>
        <v>1</v>
      </c>
      <c r="AF328" s="28" t="s">
        <v>638</v>
      </c>
      <c r="AG328" s="28" t="s">
        <v>704</v>
      </c>
      <c r="AH328" s="28">
        <v>66.8</v>
      </c>
      <c r="AI328" s="28"/>
      <c r="AJ328" s="28"/>
      <c r="AK328" s="29" t="s">
        <v>114</v>
      </c>
      <c r="AM328" t="str">
        <f t="shared" si="20"/>
        <v>rio quito</v>
      </c>
      <c r="AN328" t="str">
        <f t="shared" si="21"/>
        <v>choco</v>
      </c>
      <c r="AO328" t="b">
        <f t="shared" si="22"/>
        <v>0</v>
      </c>
      <c r="AP328" t="str">
        <f t="shared" si="23"/>
        <v>rio quito</v>
      </c>
    </row>
    <row r="329" spans="1:42" ht="25.5" customHeight="1" x14ac:dyDescent="0.25">
      <c r="A329" s="33" t="s">
        <v>498</v>
      </c>
      <c r="B329" s="11" t="s">
        <v>48</v>
      </c>
      <c r="C329" s="34" t="s">
        <v>112</v>
      </c>
      <c r="D329" s="69"/>
      <c r="E329" s="11" t="s">
        <v>499</v>
      </c>
      <c r="F329" s="25" t="s">
        <v>500</v>
      </c>
      <c r="G329" s="25" t="s">
        <v>499</v>
      </c>
      <c r="H329" s="26" t="s">
        <v>106</v>
      </c>
      <c r="I329" s="26" t="str">
        <f>IF($AO329,"#N/D",IFERROR(INDEX(Olimpiadas!$A$2:$A$61,MATCH($AM329,Olimpiadas!$C$2:$C$61,0)),"#N/D"))</f>
        <v>#N/D</v>
      </c>
      <c r="J329" s="26" t="str">
        <f>IF($AO329,"#N/D",IFERROR(INDEX(Minculturas!$A$2:$A$48,MATCH($AM329,Minculturas!$C$2:$C$48,0)),"#N/D"))</f>
        <v>#N/D</v>
      </c>
      <c r="K329" s="26" t="str">
        <f>IF($AO329,"#N/D",IFERROR(INDEX(Minculturas!$B$2:$B$48,MATCH($AM329,Minculturas!$C$2:$C$48,0)),"#N/D"))</f>
        <v>#N/D</v>
      </c>
      <c r="L329" s="27">
        <v>1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1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7">
        <f>SUM(Tabla43[[#This Row],[Edificación colapsada]:[Robo]])</f>
        <v>1</v>
      </c>
      <c r="AF329" s="28"/>
      <c r="AG329" s="28"/>
      <c r="AH329" s="28">
        <v>60.5</v>
      </c>
      <c r="AI329" s="28"/>
      <c r="AJ329" s="28"/>
      <c r="AK329" s="29" t="s">
        <v>246</v>
      </c>
      <c r="AM329" t="str">
        <f t="shared" si="20"/>
        <v>rioblanco</v>
      </c>
      <c r="AN329" t="str">
        <f t="shared" si="21"/>
        <v>tolima</v>
      </c>
      <c r="AO329" t="b">
        <f t="shared" si="22"/>
        <v>0</v>
      </c>
      <c r="AP329" t="str">
        <f t="shared" si="23"/>
        <v>rioblanco</v>
      </c>
    </row>
    <row r="330" spans="1:42" ht="25.5" customHeight="1" x14ac:dyDescent="0.25">
      <c r="A330" s="33" t="s">
        <v>1126</v>
      </c>
      <c r="B330" s="11" t="s">
        <v>38</v>
      </c>
      <c r="C330" s="34" t="s">
        <v>112</v>
      </c>
      <c r="D330" s="69"/>
      <c r="E330" s="11" t="s">
        <v>1127</v>
      </c>
      <c r="F330" s="25" t="s">
        <v>1128</v>
      </c>
      <c r="G330" s="25" t="s">
        <v>1127</v>
      </c>
      <c r="H330" s="26" t="s">
        <v>1127</v>
      </c>
      <c r="I330" s="26" t="str">
        <f>IF($AO330,"#N/D",IFERROR(INDEX(Olimpiadas!$A$2:$A$61,MATCH($AM330,Olimpiadas!$C$2:$C$61,0)),"#N/D"))</f>
        <v>INSTITUCIÓN EDUCATIVA DIVINA PASTORA</v>
      </c>
      <c r="J330" s="26" t="str">
        <f>IF($AO330,"#N/D",IFERROR(INDEX(Minculturas!$A$2:$A$48,MATCH($AM330,Minculturas!$C$2:$C$48,0)),"#N/D"))</f>
        <v>#N/D</v>
      </c>
      <c r="K330" s="26" t="str">
        <f>IF($AO330,"#N/D",IFERROR(INDEX(Minculturas!$B$2:$B$48,MATCH($AM330,Minculturas!$C$2:$C$48,0)),"#N/D"))</f>
        <v>#N/D</v>
      </c>
      <c r="L330" s="27">
        <v>2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2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7">
        <f>SUM(Tabla43[[#This Row],[Edificación colapsada]:[Robo]])</f>
        <v>2</v>
      </c>
      <c r="AF330" s="28"/>
      <c r="AG330" s="28"/>
      <c r="AH330" s="28">
        <v>45.1</v>
      </c>
      <c r="AI330" s="28"/>
      <c r="AJ330" s="28"/>
      <c r="AK330" s="29" t="s">
        <v>114</v>
      </c>
      <c r="AM330" t="str">
        <f t="shared" si="20"/>
        <v>riohacha</v>
      </c>
      <c r="AN330" t="str">
        <f t="shared" si="21"/>
        <v>la guajira</v>
      </c>
      <c r="AO330" t="b">
        <f t="shared" si="22"/>
        <v>0</v>
      </c>
      <c r="AP330" t="str">
        <f t="shared" si="23"/>
        <v>riohacha</v>
      </c>
    </row>
    <row r="331" spans="1:42" ht="25.5" customHeight="1" x14ac:dyDescent="0.25">
      <c r="A331" s="33" t="s">
        <v>944</v>
      </c>
      <c r="B331" s="11" t="s">
        <v>10</v>
      </c>
      <c r="C331" s="34" t="s">
        <v>112</v>
      </c>
      <c r="D331" s="69"/>
      <c r="E331" s="11" t="s">
        <v>945</v>
      </c>
      <c r="F331" s="25" t="s">
        <v>106</v>
      </c>
      <c r="G331" s="25" t="s">
        <v>106</v>
      </c>
      <c r="H331" s="26" t="s">
        <v>106</v>
      </c>
      <c r="I331" s="26" t="str">
        <f>IF($AO331,"#N/D",IFERROR(INDEX(Olimpiadas!$A$2:$A$61,MATCH($AM331,Olimpiadas!$C$2:$C$61,0)),"#N/D"))</f>
        <v>#N/D</v>
      </c>
      <c r="J331" s="26" t="str">
        <f>IF($AO331,"#N/D",IFERROR(INDEX(Minculturas!$A$2:$A$48,MATCH($AM331,Minculturas!$C$2:$C$48,0)),"#N/D"))</f>
        <v>#N/D</v>
      </c>
      <c r="K331" s="26" t="str">
        <f>IF($AO331,"#N/D",IFERROR(INDEX(Minculturas!$B$2:$B$48,MATCH($AM331,Minculturas!$C$2:$C$48,0)),"#N/D"))</f>
        <v>#N/D</v>
      </c>
      <c r="L331" s="27">
        <v>19</v>
      </c>
      <c r="M331" s="28">
        <v>0</v>
      </c>
      <c r="N331" s="28">
        <v>3</v>
      </c>
      <c r="O331" s="28">
        <v>2</v>
      </c>
      <c r="P331" s="28">
        <v>4</v>
      </c>
      <c r="Q331" s="28">
        <v>1</v>
      </c>
      <c r="R331" s="28">
        <v>0</v>
      </c>
      <c r="S331" s="28">
        <v>1</v>
      </c>
      <c r="T331" s="28">
        <v>1</v>
      </c>
      <c r="U331" s="28">
        <v>0</v>
      </c>
      <c r="V331" s="28">
        <v>1</v>
      </c>
      <c r="W331" s="28">
        <v>4</v>
      </c>
      <c r="X331" s="28">
        <v>0</v>
      </c>
      <c r="Y331" s="28">
        <v>0</v>
      </c>
      <c r="Z331" s="28">
        <v>2</v>
      </c>
      <c r="AA331" s="28">
        <v>0</v>
      </c>
      <c r="AB331" s="28">
        <v>0</v>
      </c>
      <c r="AC331" s="28">
        <v>0</v>
      </c>
      <c r="AD331" s="28">
        <v>0</v>
      </c>
      <c r="AE331" s="27">
        <f>SUM(Tabla43[[#This Row],[Edificación colapsada]:[Robo]])</f>
        <v>19</v>
      </c>
      <c r="AF331" s="28"/>
      <c r="AG331" s="28"/>
      <c r="AH331" s="28">
        <v>9.5</v>
      </c>
      <c r="AI331" s="28"/>
      <c r="AJ331" s="28"/>
      <c r="AK331" s="29" t="s">
        <v>114</v>
      </c>
      <c r="AM331" t="str">
        <f t="shared" si="20"/>
        <v>rionegro</v>
      </c>
      <c r="AN331" t="str">
        <f t="shared" si="21"/>
        <v>antioquia</v>
      </c>
      <c r="AO331" t="b">
        <f t="shared" si="22"/>
        <v>0</v>
      </c>
      <c r="AP331" t="str">
        <f t="shared" si="23"/>
        <v>rionegro</v>
      </c>
    </row>
    <row r="332" spans="1:42" ht="25.5" customHeight="1" x14ac:dyDescent="0.25">
      <c r="A332" s="33" t="s">
        <v>705</v>
      </c>
      <c r="B332" s="11" t="s">
        <v>31</v>
      </c>
      <c r="C332" s="34" t="s">
        <v>112</v>
      </c>
      <c r="D332" s="69"/>
      <c r="E332" s="11" t="s">
        <v>706</v>
      </c>
      <c r="F332" s="25" t="s">
        <v>106</v>
      </c>
      <c r="G332" s="25" t="s">
        <v>106</v>
      </c>
      <c r="H332" s="26" t="s">
        <v>106</v>
      </c>
      <c r="I332" s="26" t="str">
        <f>IF($AO332,"#N/D",IFERROR(INDEX(Olimpiadas!$A$2:$A$61,MATCH($AM332,Olimpiadas!$C$2:$C$61,0)),"#N/D"))</f>
        <v>#N/D</v>
      </c>
      <c r="J332" s="26" t="str">
        <f>IF($AO332,"#N/D",IFERROR(INDEX(Minculturas!$A$2:$A$48,MATCH($AM332,Minculturas!$C$2:$C$48,0)),"#N/D"))</f>
        <v>#N/D</v>
      </c>
      <c r="K332" s="26" t="str">
        <f>IF($AO332,"#N/D",IFERROR(INDEX(Minculturas!$B$2:$B$48,MATCH($AM332,Minculturas!$C$2:$C$48,0)),"#N/D"))</f>
        <v>#N/D</v>
      </c>
      <c r="L332" s="27">
        <v>16</v>
      </c>
      <c r="M332" s="28">
        <v>0</v>
      </c>
      <c r="N332" s="28">
        <v>4</v>
      </c>
      <c r="O332" s="28">
        <v>5</v>
      </c>
      <c r="P332" s="28">
        <v>0</v>
      </c>
      <c r="Q332" s="28">
        <v>0</v>
      </c>
      <c r="R332" s="28">
        <v>2</v>
      </c>
      <c r="S332" s="28">
        <v>0</v>
      </c>
      <c r="T332" s="28">
        <v>0</v>
      </c>
      <c r="U332" s="28">
        <v>0</v>
      </c>
      <c r="V332" s="28">
        <v>0</v>
      </c>
      <c r="W332" s="28">
        <v>2</v>
      </c>
      <c r="X332" s="28">
        <v>1</v>
      </c>
      <c r="Y332" s="28">
        <v>0</v>
      </c>
      <c r="Z332" s="28">
        <v>2</v>
      </c>
      <c r="AA332" s="28">
        <v>0</v>
      </c>
      <c r="AB332" s="28">
        <v>0</v>
      </c>
      <c r="AC332" s="28">
        <v>0</v>
      </c>
      <c r="AD332" s="28">
        <v>0</v>
      </c>
      <c r="AE332" s="27">
        <f>SUM(Tabla43[[#This Row],[Edificación colapsada]:[Robo]])</f>
        <v>16</v>
      </c>
      <c r="AF332" s="28" t="s">
        <v>707</v>
      </c>
      <c r="AG332" s="28" t="s">
        <v>708</v>
      </c>
      <c r="AH332" s="28">
        <v>29.3</v>
      </c>
      <c r="AI332" s="28"/>
      <c r="AJ332" s="28"/>
      <c r="AK332" s="29" t="s">
        <v>114</v>
      </c>
      <c r="AM332" t="str">
        <f t="shared" si="20"/>
        <v>riosucio</v>
      </c>
      <c r="AN332" t="str">
        <f t="shared" si="21"/>
        <v>choco</v>
      </c>
      <c r="AO332" t="b">
        <f t="shared" si="22"/>
        <v>1</v>
      </c>
      <c r="AP332" t="str">
        <f t="shared" si="23"/>
        <v>riosucio|choco</v>
      </c>
    </row>
    <row r="333" spans="1:42" ht="25.5" customHeight="1" x14ac:dyDescent="0.25">
      <c r="A333" s="33" t="s">
        <v>391</v>
      </c>
      <c r="B333" s="11" t="s">
        <v>24</v>
      </c>
      <c r="C333" s="34" t="s">
        <v>112</v>
      </c>
      <c r="D333" s="69"/>
      <c r="E333" s="11" t="s">
        <v>45</v>
      </c>
      <c r="F333" s="25" t="s">
        <v>106</v>
      </c>
      <c r="G333" s="25" t="s">
        <v>106</v>
      </c>
      <c r="H333" s="26" t="s">
        <v>106</v>
      </c>
      <c r="I333" s="26" t="str">
        <f>IF($AO333,"#N/D",IFERROR(INDEX(Olimpiadas!$A$2:$A$61,MATCH($AM333,Olimpiadas!$C$2:$C$61,0)),"#N/D"))</f>
        <v>#N/D</v>
      </c>
      <c r="J333" s="26" t="str">
        <f>IF($AO333,"#N/D",IFERROR(INDEX(Minculturas!$A$2:$A$48,MATCH($AM333,Minculturas!$C$2:$C$48,0)),"#N/D"))</f>
        <v>#N/D</v>
      </c>
      <c r="K333" s="26" t="str">
        <f>IF($AO333,"#N/D",IFERROR(INDEX(Minculturas!$B$2:$B$48,MATCH($AM333,Minculturas!$C$2:$C$48,0)),"#N/D"))</f>
        <v>#N/D</v>
      </c>
      <c r="L333" s="27">
        <v>6</v>
      </c>
      <c r="M333" s="28">
        <v>0</v>
      </c>
      <c r="N333" s="28">
        <v>0</v>
      </c>
      <c r="O333" s="28">
        <v>0</v>
      </c>
      <c r="P333" s="28">
        <v>0</v>
      </c>
      <c r="Q333" s="28">
        <v>1</v>
      </c>
      <c r="R333" s="28">
        <v>1</v>
      </c>
      <c r="S333" s="28">
        <v>1</v>
      </c>
      <c r="T333" s="28">
        <v>0</v>
      </c>
      <c r="U333" s="28">
        <v>0</v>
      </c>
      <c r="V333" s="28">
        <v>0</v>
      </c>
      <c r="W333" s="28">
        <v>0</v>
      </c>
      <c r="X333" s="28">
        <v>2</v>
      </c>
      <c r="Y333" s="28">
        <v>0</v>
      </c>
      <c r="Z333" s="28">
        <v>1</v>
      </c>
      <c r="AA333" s="28">
        <v>0</v>
      </c>
      <c r="AB333" s="28">
        <v>0</v>
      </c>
      <c r="AC333" s="28">
        <v>0</v>
      </c>
      <c r="AD333" s="28">
        <v>0</v>
      </c>
      <c r="AE333" s="27">
        <f>SUM(Tabla43[[#This Row],[Edificación colapsada]:[Robo]])</f>
        <v>6</v>
      </c>
      <c r="AF333" s="26" t="s">
        <v>392</v>
      </c>
      <c r="AG333" s="26" t="s">
        <v>393</v>
      </c>
      <c r="AH333" s="28">
        <v>39.4</v>
      </c>
      <c r="AI333" s="28"/>
      <c r="AJ333" s="28"/>
      <c r="AK333" s="29" t="s">
        <v>114</v>
      </c>
      <c r="AM333" t="str">
        <f t="shared" si="20"/>
        <v>risaralda</v>
      </c>
      <c r="AN333" t="str">
        <f t="shared" si="21"/>
        <v>caldas</v>
      </c>
      <c r="AO333" t="b">
        <f t="shared" si="22"/>
        <v>0</v>
      </c>
      <c r="AP333" t="str">
        <f t="shared" si="23"/>
        <v>risaralda</v>
      </c>
    </row>
    <row r="334" spans="1:42" ht="25.5" customHeight="1" x14ac:dyDescent="0.25">
      <c r="A334" s="33" t="s">
        <v>294</v>
      </c>
      <c r="B334" s="11" t="s">
        <v>37</v>
      </c>
      <c r="C334" s="34" t="s">
        <v>112</v>
      </c>
      <c r="D334" s="69"/>
      <c r="E334" s="11" t="s">
        <v>295</v>
      </c>
      <c r="F334" s="25" t="s">
        <v>296</v>
      </c>
      <c r="G334" s="25" t="s">
        <v>295</v>
      </c>
      <c r="H334" s="26" t="s">
        <v>106</v>
      </c>
      <c r="I334" s="26" t="str">
        <f>IF($AO334,"#N/D",IFERROR(INDEX(Olimpiadas!$A$2:$A$61,MATCH($AM334,Olimpiadas!$C$2:$C$61,0)),"#N/D"))</f>
        <v>#N/D</v>
      </c>
      <c r="J334" s="26" t="str">
        <f>IF($AO334,"#N/D",IFERROR(INDEX(Minculturas!$A$2:$A$48,MATCH($AM334,Minculturas!$C$2:$C$48,0)),"#N/D"))</f>
        <v>#N/D</v>
      </c>
      <c r="K334" s="26" t="str">
        <f>IF($AO334,"#N/D",IFERROR(INDEX(Minculturas!$B$2:$B$48,MATCH($AM334,Minculturas!$C$2:$C$48,0)),"#N/D"))</f>
        <v>#N/D</v>
      </c>
      <c r="L334" s="27">
        <v>2</v>
      </c>
      <c r="M334" s="28">
        <v>0</v>
      </c>
      <c r="N334" s="28">
        <v>0</v>
      </c>
      <c r="O334" s="28">
        <v>0</v>
      </c>
      <c r="P334" s="28">
        <v>0</v>
      </c>
      <c r="Q334" s="28">
        <v>2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7">
        <f>SUM(Tabla43[[#This Row],[Edificación colapsada]:[Robo]])</f>
        <v>2</v>
      </c>
      <c r="AF334" s="28"/>
      <c r="AG334" s="28"/>
      <c r="AH334" s="28">
        <v>27.4</v>
      </c>
      <c r="AI334" s="28"/>
      <c r="AJ334" s="28"/>
      <c r="AK334" s="29" t="s">
        <v>114</v>
      </c>
      <c r="AM334" t="str">
        <f t="shared" si="20"/>
        <v>rivera</v>
      </c>
      <c r="AN334" t="str">
        <f t="shared" si="21"/>
        <v>huila</v>
      </c>
      <c r="AO334" t="b">
        <f t="shared" si="22"/>
        <v>0</v>
      </c>
      <c r="AP334" t="str">
        <f t="shared" si="23"/>
        <v>rivera</v>
      </c>
    </row>
    <row r="335" spans="1:42" ht="25.5" customHeight="1" x14ac:dyDescent="0.25">
      <c r="A335" s="33" t="s">
        <v>818</v>
      </c>
      <c r="B335" s="11" t="s">
        <v>48</v>
      </c>
      <c r="C335" s="34" t="s">
        <v>112</v>
      </c>
      <c r="D335" s="69"/>
      <c r="E335" s="11" t="s">
        <v>819</v>
      </c>
      <c r="F335" s="25" t="s">
        <v>106</v>
      </c>
      <c r="G335" s="25" t="s">
        <v>106</v>
      </c>
      <c r="H335" s="26" t="s">
        <v>106</v>
      </c>
      <c r="I335" s="26" t="str">
        <f>IF($AO335,"#N/D",IFERROR(INDEX(Olimpiadas!$A$2:$A$61,MATCH($AM335,Olimpiadas!$C$2:$C$61,0)),"#N/D"))</f>
        <v>#N/D</v>
      </c>
      <c r="J335" s="26" t="str">
        <f>IF($AO335,"#N/D",IFERROR(INDEX(Minculturas!$A$2:$A$48,MATCH($AM335,Minculturas!$C$2:$C$48,0)),"#N/D"))</f>
        <v>#N/D</v>
      </c>
      <c r="K335" s="26" t="str">
        <f>IF($AO335,"#N/D",IFERROR(INDEX(Minculturas!$B$2:$B$48,MATCH($AM335,Minculturas!$C$2:$C$48,0)),"#N/D"))</f>
        <v>#N/D</v>
      </c>
      <c r="L335" s="27">
        <v>15</v>
      </c>
      <c r="M335" s="28">
        <v>0</v>
      </c>
      <c r="N335" s="28">
        <v>2</v>
      </c>
      <c r="O335" s="28">
        <v>3</v>
      </c>
      <c r="P335" s="28">
        <v>1</v>
      </c>
      <c r="Q335" s="28">
        <v>2</v>
      </c>
      <c r="R335" s="28">
        <v>2</v>
      </c>
      <c r="S335" s="28">
        <v>1</v>
      </c>
      <c r="T335" s="28">
        <v>3</v>
      </c>
      <c r="U335" s="28">
        <v>0</v>
      </c>
      <c r="V335" s="28">
        <v>0</v>
      </c>
      <c r="W335" s="28">
        <v>1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7">
        <f>SUM(Tabla43[[#This Row],[Edificación colapsada]:[Robo]])</f>
        <v>15</v>
      </c>
      <c r="AF335" s="28"/>
      <c r="AG335" s="28"/>
      <c r="AH335" s="28">
        <v>42</v>
      </c>
      <c r="AI335" s="28"/>
      <c r="AJ335" s="28"/>
      <c r="AK335" s="29" t="s">
        <v>114</v>
      </c>
      <c r="AM335" t="str">
        <f t="shared" si="20"/>
        <v>roncesvalles</v>
      </c>
      <c r="AN335" t="str">
        <f t="shared" si="21"/>
        <v>tolima</v>
      </c>
      <c r="AO335" t="b">
        <f t="shared" si="22"/>
        <v>0</v>
      </c>
      <c r="AP335" t="str">
        <f t="shared" si="23"/>
        <v>roncesvalles</v>
      </c>
    </row>
    <row r="336" spans="1:42" ht="25.5" customHeight="1" x14ac:dyDescent="0.25">
      <c r="A336" s="33" t="s">
        <v>244</v>
      </c>
      <c r="B336" s="11" t="s">
        <v>28</v>
      </c>
      <c r="C336" s="34" t="s">
        <v>112</v>
      </c>
      <c r="D336" s="69"/>
      <c r="E336" s="11" t="s">
        <v>245</v>
      </c>
      <c r="F336" s="25" t="s">
        <v>106</v>
      </c>
      <c r="G336" s="25" t="s">
        <v>106</v>
      </c>
      <c r="H336" s="26" t="s">
        <v>106</v>
      </c>
      <c r="I336" s="26" t="str">
        <f>IF($AO336,"#N/D",IFERROR(INDEX(Olimpiadas!$A$2:$A$61,MATCH($AM336,Olimpiadas!$C$2:$C$61,0)),"#N/D"))</f>
        <v>#N/D</v>
      </c>
      <c r="J336" s="26" t="str">
        <f>IF($AO336,"#N/D",IFERROR(INDEX(Minculturas!$A$2:$A$48,MATCH($AM336,Minculturas!$C$2:$C$48,0)),"#N/D"))</f>
        <v>#N/D</v>
      </c>
      <c r="K336" s="26" t="str">
        <f>IF($AO336,"#N/D",IFERROR(INDEX(Minculturas!$B$2:$B$48,MATCH($AM336,Minculturas!$C$2:$C$48,0)),"#N/D"))</f>
        <v>#N/D</v>
      </c>
      <c r="L336" s="27">
        <v>2</v>
      </c>
      <c r="M336" s="28">
        <v>0</v>
      </c>
      <c r="N336" s="28">
        <v>1</v>
      </c>
      <c r="O336" s="28">
        <v>0</v>
      </c>
      <c r="P336" s="28">
        <v>0</v>
      </c>
      <c r="Q336" s="28">
        <v>1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  <c r="AC336" s="28">
        <v>0</v>
      </c>
      <c r="AD336" s="28">
        <v>0</v>
      </c>
      <c r="AE336" s="27">
        <f>SUM(Tabla43[[#This Row],[Edificación colapsada]:[Robo]])</f>
        <v>2</v>
      </c>
      <c r="AF336" s="28"/>
      <c r="AG336" s="28"/>
      <c r="AH336" s="28">
        <v>43.2</v>
      </c>
      <c r="AI336" s="28"/>
      <c r="AJ336" s="28"/>
      <c r="AK336" s="29" t="s">
        <v>246</v>
      </c>
      <c r="AM336" t="str">
        <f t="shared" si="20"/>
        <v>rosas</v>
      </c>
      <c r="AN336" t="str">
        <f t="shared" si="21"/>
        <v>cauca</v>
      </c>
      <c r="AO336" t="b">
        <f t="shared" si="22"/>
        <v>0</v>
      </c>
      <c r="AP336" t="str">
        <f t="shared" si="23"/>
        <v>rosas</v>
      </c>
    </row>
    <row r="337" spans="1:42" ht="25.5" customHeight="1" x14ac:dyDescent="0.25">
      <c r="A337" s="33" t="s">
        <v>501</v>
      </c>
      <c r="B337" s="11" t="s">
        <v>48</v>
      </c>
      <c r="C337" s="34" t="s">
        <v>112</v>
      </c>
      <c r="D337" s="69"/>
      <c r="E337" s="11" t="s">
        <v>502</v>
      </c>
      <c r="F337" s="25" t="s">
        <v>503</v>
      </c>
      <c r="G337" s="25" t="s">
        <v>502</v>
      </c>
      <c r="H337" s="26" t="s">
        <v>106</v>
      </c>
      <c r="I337" s="26" t="str">
        <f>IF($AO337,"#N/D",IFERROR(INDEX(Olimpiadas!$A$2:$A$61,MATCH($AM337,Olimpiadas!$C$2:$C$61,0)),"#N/D"))</f>
        <v>#N/D</v>
      </c>
      <c r="J337" s="26" t="str">
        <f>IF($AO337,"#N/D",IFERROR(INDEX(Minculturas!$A$2:$A$48,MATCH($AM337,Minculturas!$C$2:$C$48,0)),"#N/D"))</f>
        <v>#N/D</v>
      </c>
      <c r="K337" s="26" t="str">
        <f>IF($AO337,"#N/D",IFERROR(INDEX(Minculturas!$B$2:$B$48,MATCH($AM337,Minculturas!$C$2:$C$48,0)),"#N/D"))</f>
        <v>#N/D</v>
      </c>
      <c r="L337" s="27">
        <v>1</v>
      </c>
      <c r="M337" s="28">
        <v>0</v>
      </c>
      <c r="N337" s="28">
        <v>0</v>
      </c>
      <c r="O337" s="28">
        <v>1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7">
        <f>SUM(Tabla43[[#This Row],[Edificación colapsada]:[Robo]])</f>
        <v>1</v>
      </c>
      <c r="AF337" s="28"/>
      <c r="AG337" s="28"/>
      <c r="AH337" s="28">
        <v>47</v>
      </c>
      <c r="AI337" s="28"/>
      <c r="AJ337" s="28"/>
      <c r="AK337" s="29" t="s">
        <v>114</v>
      </c>
      <c r="AM337" t="str">
        <f t="shared" si="20"/>
        <v>rovira</v>
      </c>
      <c r="AN337" t="str">
        <f t="shared" si="21"/>
        <v>tolima</v>
      </c>
      <c r="AO337" t="b">
        <f t="shared" si="22"/>
        <v>0</v>
      </c>
      <c r="AP337" t="str">
        <f t="shared" si="23"/>
        <v>rovira</v>
      </c>
    </row>
    <row r="338" spans="1:42" ht="25.5" customHeight="1" x14ac:dyDescent="0.25">
      <c r="A338" s="33" t="s">
        <v>196</v>
      </c>
      <c r="B338" s="11" t="s">
        <v>10</v>
      </c>
      <c r="C338" s="34" t="s">
        <v>112</v>
      </c>
      <c r="D338" s="69"/>
      <c r="E338" s="11" t="s">
        <v>197</v>
      </c>
      <c r="F338" s="25" t="s">
        <v>106</v>
      </c>
      <c r="G338" s="25" t="s">
        <v>106</v>
      </c>
      <c r="H338" s="26" t="s">
        <v>106</v>
      </c>
      <c r="I338" s="26" t="str">
        <f>IF($AO338,"#N/D",IFERROR(INDEX(Olimpiadas!$A$2:$A$61,MATCH($AM338,Olimpiadas!$C$2:$C$61,0)),"#N/D"))</f>
        <v>#N/D</v>
      </c>
      <c r="J338" s="26" t="str">
        <f>IF($AO338,"#N/D",IFERROR(INDEX(Minculturas!$A$2:$A$48,MATCH($AM338,Minculturas!$C$2:$C$48,0)),"#N/D"))</f>
        <v>#N/D</v>
      </c>
      <c r="K338" s="26" t="str">
        <f>IF($AO338,"#N/D",IFERROR(INDEX(Minculturas!$B$2:$B$48,MATCH($AM338,Minculturas!$C$2:$C$48,0)),"#N/D"))</f>
        <v>#N/D</v>
      </c>
      <c r="L338" s="27">
        <v>7</v>
      </c>
      <c r="M338" s="28">
        <v>0</v>
      </c>
      <c r="N338" s="28">
        <v>7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7">
        <f>SUM(Tabla43[[#This Row],[Edificación colapsada]:[Robo]])</f>
        <v>7</v>
      </c>
      <c r="AF338" s="28"/>
      <c r="AG338" s="28"/>
      <c r="AH338" s="28">
        <v>4.5</v>
      </c>
      <c r="AI338" s="28"/>
      <c r="AJ338" s="28"/>
      <c r="AK338" s="29" t="s">
        <v>114</v>
      </c>
      <c r="AM338" t="str">
        <f t="shared" si="20"/>
        <v>sabaneta</v>
      </c>
      <c r="AN338" t="str">
        <f t="shared" si="21"/>
        <v>antioquia</v>
      </c>
      <c r="AO338" t="b">
        <f t="shared" si="22"/>
        <v>0</v>
      </c>
      <c r="AP338" t="str">
        <f t="shared" si="23"/>
        <v>sabaneta</v>
      </c>
    </row>
    <row r="339" spans="1:42" ht="25.5" customHeight="1" x14ac:dyDescent="0.25">
      <c r="A339" s="33" t="s">
        <v>198</v>
      </c>
      <c r="B339" s="11" t="s">
        <v>24</v>
      </c>
      <c r="C339" s="34" t="s">
        <v>112</v>
      </c>
      <c r="D339" s="69"/>
      <c r="E339" s="11" t="s">
        <v>199</v>
      </c>
      <c r="F339" s="25" t="s">
        <v>106</v>
      </c>
      <c r="G339" s="25" t="s">
        <v>106</v>
      </c>
      <c r="H339" s="26" t="s">
        <v>106</v>
      </c>
      <c r="I339" s="26" t="str">
        <f>IF($AO339,"#N/D",IFERROR(INDEX(Olimpiadas!$A$2:$A$61,MATCH($AM339,Olimpiadas!$C$2:$C$61,0)),"#N/D"))</f>
        <v>#N/D</v>
      </c>
      <c r="J339" s="26" t="str">
        <f>IF($AO339,"#N/D",IFERROR(INDEX(Minculturas!$A$2:$A$48,MATCH($AM339,Minculturas!$C$2:$C$48,0)),"#N/D"))</f>
        <v>#N/D</v>
      </c>
      <c r="K339" s="26" t="str">
        <f>IF($AO339,"#N/D",IFERROR(INDEX(Minculturas!$B$2:$B$48,MATCH($AM339,Minculturas!$C$2:$C$48,0)),"#N/D"))</f>
        <v>#N/D</v>
      </c>
      <c r="L339" s="27">
        <v>15</v>
      </c>
      <c r="M339" s="28">
        <v>0</v>
      </c>
      <c r="N339" s="28">
        <v>1</v>
      </c>
      <c r="O339" s="28">
        <v>7</v>
      </c>
      <c r="P339" s="28">
        <v>1</v>
      </c>
      <c r="Q339" s="28">
        <v>1</v>
      </c>
      <c r="R339" s="28">
        <v>4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1</v>
      </c>
      <c r="AA339" s="28">
        <v>0</v>
      </c>
      <c r="AB339" s="28">
        <v>0</v>
      </c>
      <c r="AC339" s="28">
        <v>0</v>
      </c>
      <c r="AD339" s="28">
        <v>0</v>
      </c>
      <c r="AE339" s="27">
        <f>SUM(Tabla43[[#This Row],[Edificación colapsada]:[Robo]])</f>
        <v>15</v>
      </c>
      <c r="AF339" s="26" t="s">
        <v>200</v>
      </c>
      <c r="AG339" s="26" t="s">
        <v>201</v>
      </c>
      <c r="AH339" s="28">
        <v>28.7</v>
      </c>
      <c r="AI339" s="28"/>
      <c r="AJ339" s="28"/>
      <c r="AK339" s="29" t="s">
        <v>114</v>
      </c>
      <c r="AM339" t="str">
        <f t="shared" si="20"/>
        <v>salamina</v>
      </c>
      <c r="AN339" t="str">
        <f t="shared" si="21"/>
        <v>caldas</v>
      </c>
      <c r="AO339" t="b">
        <f t="shared" si="22"/>
        <v>0</v>
      </c>
      <c r="AP339" t="str">
        <f t="shared" si="23"/>
        <v>salamina</v>
      </c>
    </row>
    <row r="340" spans="1:42" ht="25.5" customHeight="1" x14ac:dyDescent="0.25">
      <c r="A340" s="33" t="s">
        <v>820</v>
      </c>
      <c r="B340" s="11" t="s">
        <v>48</v>
      </c>
      <c r="C340" s="34" t="s">
        <v>112</v>
      </c>
      <c r="D340" s="69"/>
      <c r="E340" s="11" t="s">
        <v>821</v>
      </c>
      <c r="F340" s="25" t="s">
        <v>106</v>
      </c>
      <c r="G340" s="25" t="s">
        <v>106</v>
      </c>
      <c r="H340" s="26" t="s">
        <v>106</v>
      </c>
      <c r="I340" s="26" t="str">
        <f>IF($AO340,"#N/D",IFERROR(INDEX(Olimpiadas!$A$2:$A$61,MATCH($AM340,Olimpiadas!$C$2:$C$61,0)),"#N/D"))</f>
        <v>#N/D</v>
      </c>
      <c r="J340" s="26" t="str">
        <f>IF($AO340,"#N/D",IFERROR(INDEX(Minculturas!$A$2:$A$48,MATCH($AM340,Minculturas!$C$2:$C$48,0)),"#N/D"))</f>
        <v>#N/D</v>
      </c>
      <c r="K340" s="26" t="str">
        <f>IF($AO340,"#N/D",IFERROR(INDEX(Minculturas!$B$2:$B$48,MATCH($AM340,Minculturas!$C$2:$C$48,0)),"#N/D"))</f>
        <v>#N/D</v>
      </c>
      <c r="L340" s="27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7">
        <f>SUM(Tabla43[[#This Row],[Edificación colapsada]:[Robo]])</f>
        <v>0</v>
      </c>
      <c r="AF340" s="28"/>
      <c r="AG340" s="28"/>
      <c r="AH340" s="28">
        <v>36.299999999999997</v>
      </c>
      <c r="AI340" s="28"/>
      <c r="AJ340" s="28"/>
      <c r="AK340" s="29" t="s">
        <v>246</v>
      </c>
      <c r="AM340" t="str">
        <f t="shared" si="20"/>
        <v>saldana</v>
      </c>
      <c r="AN340" t="str">
        <f t="shared" si="21"/>
        <v>tolima</v>
      </c>
      <c r="AO340" t="b">
        <f t="shared" si="22"/>
        <v>0</v>
      </c>
      <c r="AP340" t="str">
        <f t="shared" si="23"/>
        <v>saldana</v>
      </c>
    </row>
    <row r="341" spans="1:42" ht="25.5" customHeight="1" x14ac:dyDescent="0.25">
      <c r="A341" s="33" t="s">
        <v>946</v>
      </c>
      <c r="B341" s="11" t="s">
        <v>44</v>
      </c>
      <c r="C341" s="34" t="s">
        <v>112</v>
      </c>
      <c r="D341" s="69"/>
      <c r="E341" s="11" t="s">
        <v>947</v>
      </c>
      <c r="F341" s="25" t="s">
        <v>106</v>
      </c>
      <c r="G341" s="25" t="s">
        <v>106</v>
      </c>
      <c r="H341" s="26" t="s">
        <v>106</v>
      </c>
      <c r="I341" s="26" t="str">
        <f>IF($AO341,"#N/D",IFERROR(INDEX(Olimpiadas!$A$2:$A$61,MATCH($AM341,Olimpiadas!$C$2:$C$61,0)),"#N/D"))</f>
        <v>#N/D</v>
      </c>
      <c r="J341" s="26" t="str">
        <f>IF($AO341,"#N/D",IFERROR(INDEX(Minculturas!$A$2:$A$48,MATCH($AM341,Minculturas!$C$2:$C$48,0)),"#N/D"))</f>
        <v>#N/D</v>
      </c>
      <c r="K341" s="26" t="str">
        <f>IF($AO341,"#N/D",IFERROR(INDEX(Minculturas!$B$2:$B$48,MATCH($AM341,Minculturas!$C$2:$C$48,0)),"#N/D"))</f>
        <v>#N/D</v>
      </c>
      <c r="L341" s="27">
        <v>10</v>
      </c>
      <c r="M341" s="28">
        <v>0</v>
      </c>
      <c r="N341" s="28">
        <v>3</v>
      </c>
      <c r="O341" s="28">
        <v>0</v>
      </c>
      <c r="P341" s="28">
        <v>1</v>
      </c>
      <c r="Q341" s="28">
        <v>0</v>
      </c>
      <c r="R341" s="28">
        <v>1</v>
      </c>
      <c r="S341" s="28">
        <v>2</v>
      </c>
      <c r="T341" s="28">
        <v>1</v>
      </c>
      <c r="U341" s="28">
        <v>0</v>
      </c>
      <c r="V341" s="28">
        <v>1</v>
      </c>
      <c r="W341" s="28">
        <v>1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7">
        <f>SUM(Tabla43[[#This Row],[Edificación colapsada]:[Robo]])</f>
        <v>10</v>
      </c>
      <c r="AF341" s="28" t="s">
        <v>338</v>
      </c>
      <c r="AG341" s="28" t="s">
        <v>638</v>
      </c>
      <c r="AH341" s="28">
        <v>19.7</v>
      </c>
      <c r="AI341" s="28"/>
      <c r="AJ341" s="28"/>
      <c r="AK341" s="29" t="s">
        <v>114</v>
      </c>
      <c r="AM341" t="str">
        <f t="shared" si="20"/>
        <v>salento</v>
      </c>
      <c r="AN341" t="str">
        <f t="shared" si="21"/>
        <v>quindio</v>
      </c>
      <c r="AO341" t="b">
        <f t="shared" si="22"/>
        <v>0</v>
      </c>
      <c r="AP341" t="str">
        <f t="shared" si="23"/>
        <v>salento</v>
      </c>
    </row>
    <row r="342" spans="1:42" ht="25.5" customHeight="1" x14ac:dyDescent="0.25">
      <c r="A342" s="33" t="s">
        <v>643</v>
      </c>
      <c r="B342" s="11" t="s">
        <v>10</v>
      </c>
      <c r="C342" s="34" t="s">
        <v>112</v>
      </c>
      <c r="D342" s="69"/>
      <c r="E342" s="11" t="s">
        <v>644</v>
      </c>
      <c r="F342" s="25" t="s">
        <v>106</v>
      </c>
      <c r="G342" s="25" t="s">
        <v>106</v>
      </c>
      <c r="H342" s="26" t="s">
        <v>106</v>
      </c>
      <c r="I342" s="26" t="str">
        <f>IF($AO342,"#N/D",IFERROR(INDEX(Olimpiadas!$A$2:$A$61,MATCH($AM342,Olimpiadas!$C$2:$C$61,0)),"#N/D"))</f>
        <v>#N/D</v>
      </c>
      <c r="J342" s="26" t="str">
        <f>IF($AO342,"#N/D",IFERROR(INDEX(Minculturas!$A$2:$A$48,MATCH($AM342,Minculturas!$C$2:$C$48,0)),"#N/D"))</f>
        <v>#N/D</v>
      </c>
      <c r="K342" s="26" t="str">
        <f>IF($AO342,"#N/D",IFERROR(INDEX(Minculturas!$B$2:$B$48,MATCH($AM342,Minculturas!$C$2:$C$48,0)),"#N/D"))</f>
        <v>#N/D</v>
      </c>
      <c r="L342" s="27">
        <v>1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1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7">
        <f>SUM(Tabla43[[#This Row],[Edificación colapsada]:[Robo]])</f>
        <v>1</v>
      </c>
      <c r="AF342" s="28"/>
      <c r="AG342" s="28"/>
      <c r="AH342" s="28">
        <v>49.7</v>
      </c>
      <c r="AI342" s="28"/>
      <c r="AJ342" s="28"/>
      <c r="AK342" s="29" t="s">
        <v>365</v>
      </c>
      <c r="AM342" t="str">
        <f t="shared" si="20"/>
        <v>salgar</v>
      </c>
      <c r="AN342" t="str">
        <f t="shared" si="21"/>
        <v>antioquia</v>
      </c>
      <c r="AO342" t="b">
        <f t="shared" si="22"/>
        <v>0</v>
      </c>
      <c r="AP342" t="str">
        <f t="shared" si="23"/>
        <v>salgar</v>
      </c>
    </row>
    <row r="343" spans="1:42" ht="25.5" customHeight="1" x14ac:dyDescent="0.25">
      <c r="A343" s="33" t="s">
        <v>202</v>
      </c>
      <c r="B343" s="11" t="s">
        <v>24</v>
      </c>
      <c r="C343" s="34" t="s">
        <v>112</v>
      </c>
      <c r="D343" s="69"/>
      <c r="E343" s="11" t="s">
        <v>203</v>
      </c>
      <c r="F343" s="25" t="s">
        <v>106</v>
      </c>
      <c r="G343" s="25" t="s">
        <v>106</v>
      </c>
      <c r="H343" s="26" t="s">
        <v>106</v>
      </c>
      <c r="I343" s="26" t="str">
        <f>IF($AO343,"#N/D",IFERROR(INDEX(Olimpiadas!$A$2:$A$61,MATCH($AM343,Olimpiadas!$C$2:$C$61,0)),"#N/D"))</f>
        <v>#N/D</v>
      </c>
      <c r="J343" s="26" t="str">
        <f>IF($AO343,"#N/D",IFERROR(INDEX(Minculturas!$A$2:$A$48,MATCH($AM343,Minculturas!$C$2:$C$48,0)),"#N/D"))</f>
        <v>#N/D</v>
      </c>
      <c r="K343" s="26" t="str">
        <f>IF($AO343,"#N/D",IFERROR(INDEX(Minculturas!$B$2:$B$48,MATCH($AM343,Minculturas!$C$2:$C$48,0)),"#N/D"))</f>
        <v>#N/D</v>
      </c>
      <c r="L343" s="27">
        <v>5</v>
      </c>
      <c r="M343" s="28">
        <v>0</v>
      </c>
      <c r="N343" s="28">
        <v>0</v>
      </c>
      <c r="O343" s="28">
        <v>1</v>
      </c>
      <c r="P343" s="28">
        <v>0</v>
      </c>
      <c r="Q343" s="28">
        <v>3</v>
      </c>
      <c r="R343" s="28">
        <v>0</v>
      </c>
      <c r="S343" s="28">
        <v>1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7">
        <f>SUM(Tabla43[[#This Row],[Edificación colapsada]:[Robo]])</f>
        <v>5</v>
      </c>
      <c r="AF343" s="28"/>
      <c r="AG343" s="28"/>
      <c r="AH343" s="28">
        <v>39.9</v>
      </c>
      <c r="AI343" s="28"/>
      <c r="AJ343" s="28"/>
      <c r="AK343" s="29" t="s">
        <v>114</v>
      </c>
      <c r="AM343" t="str">
        <f t="shared" si="20"/>
        <v>samana</v>
      </c>
      <c r="AN343" t="str">
        <f t="shared" si="21"/>
        <v>caldas</v>
      </c>
      <c r="AO343" t="b">
        <f t="shared" si="22"/>
        <v>0</v>
      </c>
      <c r="AP343" t="str">
        <f t="shared" si="23"/>
        <v>samana</v>
      </c>
    </row>
    <row r="344" spans="1:42" ht="25.5" customHeight="1" x14ac:dyDescent="0.25">
      <c r="A344" s="33" t="s">
        <v>442</v>
      </c>
      <c r="B344" s="11" t="s">
        <v>41</v>
      </c>
      <c r="C344" s="34" t="s">
        <v>112</v>
      </c>
      <c r="D344" s="69"/>
      <c r="E344" s="11" t="s">
        <v>443</v>
      </c>
      <c r="F344" s="25" t="s">
        <v>106</v>
      </c>
      <c r="G344" s="25" t="s">
        <v>106</v>
      </c>
      <c r="H344" s="26" t="s">
        <v>106</v>
      </c>
      <c r="I344" s="26" t="str">
        <f>IF($AO344,"#N/D",IFERROR(INDEX(Olimpiadas!$A$2:$A$61,MATCH($AM344,Olimpiadas!$C$2:$C$61,0)),"#N/D"))</f>
        <v>#N/D</v>
      </c>
      <c r="J344" s="26" t="str">
        <f>IF($AO344,"#N/D",IFERROR(INDEX(Minculturas!$A$2:$A$48,MATCH($AM344,Minculturas!$C$2:$C$48,0)),"#N/D"))</f>
        <v>#N/D</v>
      </c>
      <c r="K344" s="26" t="str">
        <f>IF($AO344,"#N/D",IFERROR(INDEX(Minculturas!$B$2:$B$48,MATCH($AM344,Minculturas!$C$2:$C$48,0)),"#N/D"))</f>
        <v>#N/D</v>
      </c>
      <c r="L344" s="27">
        <v>1</v>
      </c>
      <c r="M344" s="28">
        <v>0</v>
      </c>
      <c r="N344" s="28">
        <v>0</v>
      </c>
      <c r="O344" s="28">
        <v>1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7">
        <f>SUM(Tabla43[[#This Row],[Edificación colapsada]:[Robo]])</f>
        <v>1</v>
      </c>
      <c r="AF344" s="28"/>
      <c r="AG344" s="28"/>
      <c r="AH344" s="28">
        <v>47.7</v>
      </c>
      <c r="AI344" s="28"/>
      <c r="AJ344" s="28"/>
      <c r="AK344" s="29" t="s">
        <v>114</v>
      </c>
      <c r="AM344" t="str">
        <f t="shared" si="20"/>
        <v>samaniego</v>
      </c>
      <c r="AN344" t="str">
        <f t="shared" si="21"/>
        <v>narino</v>
      </c>
      <c r="AO344" t="b">
        <f t="shared" si="22"/>
        <v>0</v>
      </c>
      <c r="AP344" t="str">
        <f t="shared" si="23"/>
        <v>samaniego</v>
      </c>
    </row>
    <row r="345" spans="1:42" ht="25.5" customHeight="1" x14ac:dyDescent="0.25">
      <c r="A345" s="33" t="s">
        <v>345</v>
      </c>
      <c r="B345" s="11" t="s">
        <v>48</v>
      </c>
      <c r="C345" s="34" t="s">
        <v>112</v>
      </c>
      <c r="D345" s="69"/>
      <c r="E345" s="11" t="s">
        <v>346</v>
      </c>
      <c r="F345" s="25" t="s">
        <v>106</v>
      </c>
      <c r="G345" s="25" t="s">
        <v>106</v>
      </c>
      <c r="H345" s="26" t="s">
        <v>106</v>
      </c>
      <c r="I345" s="26" t="str">
        <f>IF($AO345,"#N/D",IFERROR(INDEX(Olimpiadas!$A$2:$A$61,MATCH($AM345,Olimpiadas!$C$2:$C$61,0)),"#N/D"))</f>
        <v>#N/D</v>
      </c>
      <c r="J345" s="26" t="str">
        <f>IF($AO345,"#N/D",IFERROR(INDEX(Minculturas!$A$2:$A$48,MATCH($AM345,Minculturas!$C$2:$C$48,0)),"#N/D"))</f>
        <v>#N/D</v>
      </c>
      <c r="K345" s="26" t="str">
        <f>IF($AO345,"#N/D",IFERROR(INDEX(Minculturas!$B$2:$B$48,MATCH($AM345,Minculturas!$C$2:$C$48,0)),"#N/D"))</f>
        <v>#N/D</v>
      </c>
      <c r="L345" s="27">
        <v>2</v>
      </c>
      <c r="M345" s="28">
        <v>0</v>
      </c>
      <c r="N345" s="28">
        <v>1</v>
      </c>
      <c r="O345" s="28">
        <v>0</v>
      </c>
      <c r="P345" s="28">
        <v>0</v>
      </c>
      <c r="Q345" s="28">
        <v>0</v>
      </c>
      <c r="R345" s="28">
        <v>0</v>
      </c>
      <c r="S345" s="28">
        <v>1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7">
        <f>SUM(Tabla43[[#This Row],[Edificación colapsada]:[Robo]])</f>
        <v>2</v>
      </c>
      <c r="AF345" s="28"/>
      <c r="AG345" s="28"/>
      <c r="AH345" s="28">
        <v>53.7</v>
      </c>
      <c r="AI345" s="28"/>
      <c r="AJ345" s="28"/>
      <c r="AK345" s="29" t="s">
        <v>114</v>
      </c>
      <c r="AM345" t="str">
        <f t="shared" si="20"/>
        <v>san antonio</v>
      </c>
      <c r="AN345" t="str">
        <f t="shared" si="21"/>
        <v>tolima</v>
      </c>
      <c r="AO345" t="b">
        <f t="shared" si="22"/>
        <v>0</v>
      </c>
      <c r="AP345" t="str">
        <f t="shared" si="23"/>
        <v>san antonio</v>
      </c>
    </row>
    <row r="346" spans="1:42" ht="25.5" customHeight="1" x14ac:dyDescent="0.25">
      <c r="A346" s="33" t="s">
        <v>1202</v>
      </c>
      <c r="B346" s="11" t="s">
        <v>35</v>
      </c>
      <c r="C346" s="34" t="s">
        <v>112</v>
      </c>
      <c r="D346" s="69"/>
      <c r="E346" s="11" t="s">
        <v>1203</v>
      </c>
      <c r="F346" s="25" t="s">
        <v>1204</v>
      </c>
      <c r="G346" s="25" t="s">
        <v>1203</v>
      </c>
      <c r="H346" s="26" t="s">
        <v>106</v>
      </c>
      <c r="I346" s="26" t="str">
        <f>IF($AO346,"#N/D",IFERROR(INDEX(Olimpiadas!$A$2:$A$61,MATCH($AM346,Olimpiadas!$C$2:$C$61,0)),"#N/D"))</f>
        <v>#N/D</v>
      </c>
      <c r="J346" s="26" t="str">
        <f>IF($AO346,"#N/D",IFERROR(INDEX(Minculturas!$A$2:$A$48,MATCH($AM346,Minculturas!$C$2:$C$48,0)),"#N/D"))</f>
        <v>#N/D</v>
      </c>
      <c r="K346" s="26" t="str">
        <f>IF($AO346,"#N/D",IFERROR(INDEX(Minculturas!$B$2:$B$48,MATCH($AM346,Minculturas!$C$2:$C$48,0)),"#N/D"))</f>
        <v>#N/D</v>
      </c>
      <c r="L346" s="27">
        <v>1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1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7">
        <f>SUM(Tabla43[[#This Row],[Edificación colapsada]:[Robo]])</f>
        <v>1</v>
      </c>
      <c r="AF346" s="28"/>
      <c r="AG346" s="28"/>
      <c r="AH346" s="28">
        <v>21.8</v>
      </c>
      <c r="AI346" s="28"/>
      <c r="AJ346" s="28"/>
      <c r="AK346" s="29" t="s">
        <v>114</v>
      </c>
      <c r="AM346" t="str">
        <f t="shared" si="20"/>
        <v>san antonio del tequendama</v>
      </c>
      <c r="AN346" t="str">
        <f t="shared" si="21"/>
        <v>cundinamarca</v>
      </c>
      <c r="AO346" t="b">
        <f t="shared" si="22"/>
        <v>0</v>
      </c>
      <c r="AP346" t="str">
        <f t="shared" si="23"/>
        <v>san antonio del tequendama</v>
      </c>
    </row>
    <row r="347" spans="1:42" ht="25.5" customHeight="1" x14ac:dyDescent="0.25">
      <c r="A347" s="33" t="s">
        <v>645</v>
      </c>
      <c r="B347" s="11" t="s">
        <v>10</v>
      </c>
      <c r="C347" s="34" t="s">
        <v>112</v>
      </c>
      <c r="D347" s="69"/>
      <c r="E347" s="11" t="s">
        <v>646</v>
      </c>
      <c r="F347" s="25" t="s">
        <v>106</v>
      </c>
      <c r="G347" s="25" t="s">
        <v>106</v>
      </c>
      <c r="H347" s="26" t="s">
        <v>106</v>
      </c>
      <c r="I347" s="26" t="str">
        <f>IF($AO347,"#N/D",IFERROR(INDEX(Olimpiadas!$A$2:$A$61,MATCH($AM347,Olimpiadas!$C$2:$C$61,0)),"#N/D"))</f>
        <v>#N/D</v>
      </c>
      <c r="J347" s="26" t="str">
        <f>IF($AO347,"#N/D",IFERROR(INDEX(Minculturas!$A$2:$A$48,MATCH($AM347,Minculturas!$C$2:$C$48,0)),"#N/D"))</f>
        <v>#N/D</v>
      </c>
      <c r="K347" s="26" t="str">
        <f>IF($AO347,"#N/D",IFERROR(INDEX(Minculturas!$B$2:$B$48,MATCH($AM347,Minculturas!$C$2:$C$48,0)),"#N/D"))</f>
        <v>#N/D</v>
      </c>
      <c r="L347" s="27">
        <v>1</v>
      </c>
      <c r="M347" s="28">
        <v>0</v>
      </c>
      <c r="N347" s="28">
        <v>0</v>
      </c>
      <c r="O347" s="28">
        <v>1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7">
        <f>SUM(Tabla43[[#This Row],[Edificación colapsada]:[Robo]])</f>
        <v>1</v>
      </c>
      <c r="AF347" s="28"/>
      <c r="AG347" s="28"/>
      <c r="AH347" s="28">
        <v>30.5</v>
      </c>
      <c r="AI347" s="28"/>
      <c r="AJ347" s="28"/>
      <c r="AK347" s="29" t="s">
        <v>114</v>
      </c>
      <c r="AM347" t="str">
        <f t="shared" si="20"/>
        <v>san carlos</v>
      </c>
      <c r="AN347" t="str">
        <f t="shared" si="21"/>
        <v>antioquia</v>
      </c>
      <c r="AO347" t="b">
        <f t="shared" si="22"/>
        <v>0</v>
      </c>
      <c r="AP347" t="str">
        <f t="shared" si="23"/>
        <v>san carlos</v>
      </c>
    </row>
    <row r="348" spans="1:42" ht="25.5" customHeight="1" x14ac:dyDescent="0.25">
      <c r="A348" s="33" t="s">
        <v>1156</v>
      </c>
      <c r="B348" s="11" t="s">
        <v>29</v>
      </c>
      <c r="C348" s="34" t="s">
        <v>112</v>
      </c>
      <c r="D348" s="69"/>
      <c r="E348" s="11" t="s">
        <v>1157</v>
      </c>
      <c r="F348" s="25" t="s">
        <v>106</v>
      </c>
      <c r="G348" s="25" t="s">
        <v>106</v>
      </c>
      <c r="H348" s="26" t="s">
        <v>106</v>
      </c>
      <c r="I348" s="26" t="str">
        <f>IF($AO348,"#N/D",IFERROR(INDEX(Olimpiadas!$A$2:$A$61,MATCH($AM348,Olimpiadas!$C$2:$C$61,0)),"#N/D"))</f>
        <v>#N/D</v>
      </c>
      <c r="J348" s="26" t="str">
        <f>IF($AO348,"#N/D",IFERROR(INDEX(Minculturas!$A$2:$A$48,MATCH($AM348,Minculturas!$C$2:$C$48,0)),"#N/D"))</f>
        <v>#N/D</v>
      </c>
      <c r="K348" s="26" t="str">
        <f>IF($AO348,"#N/D",IFERROR(INDEX(Minculturas!$B$2:$B$48,MATCH($AM348,Minculturas!$C$2:$C$48,0)),"#N/D"))</f>
        <v>#N/D</v>
      </c>
      <c r="L348" s="27">
        <v>1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1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7">
        <f>SUM(Tabla43[[#This Row],[Edificación colapsada]:[Robo]])</f>
        <v>1</v>
      </c>
      <c r="AF348" s="28"/>
      <c r="AG348" s="28"/>
      <c r="AH348" s="28">
        <v>40.700000000000003</v>
      </c>
      <c r="AI348" s="28"/>
      <c r="AJ348" s="28"/>
      <c r="AK348" s="29" t="s">
        <v>114</v>
      </c>
      <c r="AM348" t="str">
        <f t="shared" si="20"/>
        <v>san diego</v>
      </c>
      <c r="AN348" t="str">
        <f t="shared" si="21"/>
        <v>cesar</v>
      </c>
      <c r="AO348" t="b">
        <f t="shared" si="22"/>
        <v>0</v>
      </c>
      <c r="AP348" t="str">
        <f t="shared" si="23"/>
        <v>san diego</v>
      </c>
    </row>
    <row r="349" spans="1:42" ht="25.5" customHeight="1" x14ac:dyDescent="0.25">
      <c r="A349" s="33" t="s">
        <v>543</v>
      </c>
      <c r="B349" s="11" t="s">
        <v>35</v>
      </c>
      <c r="C349" s="34" t="s">
        <v>112</v>
      </c>
      <c r="D349" s="69"/>
      <c r="E349" s="11" t="s">
        <v>544</v>
      </c>
      <c r="F349" s="25" t="s">
        <v>106</v>
      </c>
      <c r="G349" s="25" t="s">
        <v>106</v>
      </c>
      <c r="H349" s="26" t="s">
        <v>106</v>
      </c>
      <c r="I349" s="26" t="str">
        <f>IF($AO349,"#N/D",IFERROR(INDEX(Olimpiadas!$A$2:$A$61,MATCH($AM349,Olimpiadas!$C$2:$C$61,0)),"#N/D"))</f>
        <v>#N/D</v>
      </c>
      <c r="J349" s="26" t="str">
        <f>IF($AO349,"#N/D",IFERROR(INDEX(Minculturas!$A$2:$A$48,MATCH($AM349,Minculturas!$C$2:$C$48,0)),"#N/D"))</f>
        <v>#N/D</v>
      </c>
      <c r="K349" s="26" t="str">
        <f>IF($AO349,"#N/D",IFERROR(INDEX(Minculturas!$B$2:$B$48,MATCH($AM349,Minculturas!$C$2:$C$48,0)),"#N/D"))</f>
        <v>#N/D</v>
      </c>
      <c r="L349" s="27">
        <v>4</v>
      </c>
      <c r="M349" s="28">
        <v>0</v>
      </c>
      <c r="N349" s="28">
        <v>0</v>
      </c>
      <c r="O349" s="28">
        <v>0</v>
      </c>
      <c r="P349" s="28">
        <v>1</v>
      </c>
      <c r="Q349" s="28">
        <v>2</v>
      </c>
      <c r="R349" s="28">
        <v>0</v>
      </c>
      <c r="S349" s="28">
        <v>1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7">
        <f>SUM(Tabla43[[#This Row],[Edificación colapsada]:[Robo]])</f>
        <v>4</v>
      </c>
      <c r="AF349" s="28"/>
      <c r="AG349" s="28"/>
      <c r="AH349" s="28">
        <v>20.2</v>
      </c>
      <c r="AI349" s="28"/>
      <c r="AJ349" s="28"/>
      <c r="AK349" s="29" t="s">
        <v>114</v>
      </c>
      <c r="AM349" t="str">
        <f t="shared" si="20"/>
        <v>san francisco</v>
      </c>
      <c r="AN349" t="str">
        <f t="shared" si="21"/>
        <v>cundinamarca</v>
      </c>
      <c r="AO349" t="b">
        <f t="shared" si="22"/>
        <v>1</v>
      </c>
      <c r="AP349" t="str">
        <f t="shared" si="23"/>
        <v>san francisco|cundinamarca</v>
      </c>
    </row>
    <row r="350" spans="1:42" ht="25.5" customHeight="1" x14ac:dyDescent="0.25">
      <c r="A350" s="33" t="s">
        <v>948</v>
      </c>
      <c r="B350" s="11" t="s">
        <v>10</v>
      </c>
      <c r="C350" s="34" t="s">
        <v>112</v>
      </c>
      <c r="D350" s="69"/>
      <c r="E350" s="11" t="s">
        <v>544</v>
      </c>
      <c r="F350" s="25" t="s">
        <v>106</v>
      </c>
      <c r="G350" s="25" t="s">
        <v>106</v>
      </c>
      <c r="H350" s="26" t="s">
        <v>106</v>
      </c>
      <c r="I350" s="26" t="str">
        <f>IF($AO350,"#N/D",IFERROR(INDEX(Olimpiadas!$A$2:$A$61,MATCH($AM350,Olimpiadas!$C$2:$C$61,0)),"#N/D"))</f>
        <v>#N/D</v>
      </c>
      <c r="J350" s="26" t="str">
        <f>IF($AO350,"#N/D",IFERROR(INDEX(Minculturas!$A$2:$A$48,MATCH($AM350,Minculturas!$C$2:$C$48,0)),"#N/D"))</f>
        <v>#N/D</v>
      </c>
      <c r="K350" s="26" t="str">
        <f>IF($AO350,"#N/D",IFERROR(INDEX(Minculturas!$B$2:$B$48,MATCH($AM350,Minculturas!$C$2:$C$48,0)),"#N/D"))</f>
        <v>#N/D</v>
      </c>
      <c r="L350" s="27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7">
        <f>SUM(Tabla43[[#This Row],[Edificación colapsada]:[Robo]])</f>
        <v>0</v>
      </c>
      <c r="AF350" s="28"/>
      <c r="AG350" s="28"/>
      <c r="AH350" s="28">
        <v>46.4</v>
      </c>
      <c r="AI350" s="28"/>
      <c r="AJ350" s="28"/>
      <c r="AK350" s="29" t="s">
        <v>365</v>
      </c>
      <c r="AM350" t="str">
        <f t="shared" si="20"/>
        <v>san francisco</v>
      </c>
      <c r="AN350" t="str">
        <f t="shared" si="21"/>
        <v>antioquia</v>
      </c>
      <c r="AO350" t="b">
        <f t="shared" si="22"/>
        <v>1</v>
      </c>
      <c r="AP350" t="str">
        <f t="shared" si="23"/>
        <v>san francisco|antioquia</v>
      </c>
    </row>
    <row r="351" spans="1:42" ht="25.5" customHeight="1" x14ac:dyDescent="0.25">
      <c r="A351" s="33" t="s">
        <v>647</v>
      </c>
      <c r="B351" s="11" t="s">
        <v>10</v>
      </c>
      <c r="C351" s="34" t="s">
        <v>112</v>
      </c>
      <c r="D351" s="69"/>
      <c r="E351" s="11" t="s">
        <v>648</v>
      </c>
      <c r="F351" s="25" t="s">
        <v>106</v>
      </c>
      <c r="G351" s="25" t="s">
        <v>106</v>
      </c>
      <c r="H351" s="26" t="s">
        <v>106</v>
      </c>
      <c r="I351" s="26" t="str">
        <f>IF($AO351,"#N/D",IFERROR(INDEX(Olimpiadas!$A$2:$A$61,MATCH($AM351,Olimpiadas!$C$2:$C$61,0)),"#N/D"))</f>
        <v>#N/D</v>
      </c>
      <c r="J351" s="26" t="str">
        <f>IF($AO351,"#N/D",IFERROR(INDEX(Minculturas!$A$2:$A$48,MATCH($AM351,Minculturas!$C$2:$C$48,0)),"#N/D"))</f>
        <v>#N/D</v>
      </c>
      <c r="K351" s="26" t="str">
        <f>IF($AO351,"#N/D",IFERROR(INDEX(Minculturas!$B$2:$B$48,MATCH($AM351,Minculturas!$C$2:$C$48,0)),"#N/D"))</f>
        <v>#N/D</v>
      </c>
      <c r="L351" s="27">
        <v>1</v>
      </c>
      <c r="M351" s="28">
        <v>0</v>
      </c>
      <c r="N351" s="28">
        <v>1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7">
        <f>SUM(Tabla43[[#This Row],[Edificación colapsada]:[Robo]])</f>
        <v>1</v>
      </c>
      <c r="AF351" s="28"/>
      <c r="AG351" s="28"/>
      <c r="AH351" s="28">
        <v>30.5</v>
      </c>
      <c r="AI351" s="28"/>
      <c r="AJ351" s="28"/>
      <c r="AK351" s="29" t="s">
        <v>114</v>
      </c>
      <c r="AM351" t="str">
        <f t="shared" si="20"/>
        <v>san jeronimo</v>
      </c>
      <c r="AN351" t="str">
        <f t="shared" si="21"/>
        <v>antioquia</v>
      </c>
      <c r="AO351" t="b">
        <f t="shared" si="22"/>
        <v>0</v>
      </c>
      <c r="AP351" t="str">
        <f t="shared" si="23"/>
        <v>san jeronimo</v>
      </c>
    </row>
    <row r="352" spans="1:42" ht="25.5" customHeight="1" x14ac:dyDescent="0.25">
      <c r="A352" s="33" t="s">
        <v>204</v>
      </c>
      <c r="B352" s="11" t="s">
        <v>24</v>
      </c>
      <c r="C352" s="34" t="s">
        <v>112</v>
      </c>
      <c r="D352" s="69"/>
      <c r="E352" s="11" t="s">
        <v>205</v>
      </c>
      <c r="F352" s="25" t="s">
        <v>106</v>
      </c>
      <c r="G352" s="25" t="s">
        <v>106</v>
      </c>
      <c r="H352" s="26" t="s">
        <v>106</v>
      </c>
      <c r="I352" s="26" t="str">
        <f>IF($AO352,"#N/D",IFERROR(INDEX(Olimpiadas!$A$2:$A$61,MATCH($AM352,Olimpiadas!$C$2:$C$61,0)),"#N/D"))</f>
        <v>#N/D</v>
      </c>
      <c r="J352" s="26" t="str">
        <f>IF($AO352,"#N/D",IFERROR(INDEX(Minculturas!$A$2:$A$48,MATCH($AM352,Minculturas!$C$2:$C$48,0)),"#N/D"))</f>
        <v>#N/D</v>
      </c>
      <c r="K352" s="26" t="str">
        <f>IF($AO352,"#N/D",IFERROR(INDEX(Minculturas!$B$2:$B$48,MATCH($AM352,Minculturas!$C$2:$C$48,0)),"#N/D"))</f>
        <v>#N/D</v>
      </c>
      <c r="L352" s="27">
        <v>7</v>
      </c>
      <c r="M352" s="28">
        <v>0</v>
      </c>
      <c r="N352" s="28">
        <v>2</v>
      </c>
      <c r="O352" s="28">
        <v>0</v>
      </c>
      <c r="P352" s="28">
        <v>1</v>
      </c>
      <c r="Q352" s="28">
        <v>0</v>
      </c>
      <c r="R352" s="28">
        <v>1</v>
      </c>
      <c r="S352" s="28">
        <v>1</v>
      </c>
      <c r="T352" s="28">
        <v>0</v>
      </c>
      <c r="U352" s="28">
        <v>0</v>
      </c>
      <c r="V352" s="28">
        <v>0</v>
      </c>
      <c r="W352" s="28">
        <v>0</v>
      </c>
      <c r="X352" s="28">
        <v>1</v>
      </c>
      <c r="Y352" s="28">
        <v>0</v>
      </c>
      <c r="Z352" s="28">
        <v>1</v>
      </c>
      <c r="AA352" s="28">
        <v>0</v>
      </c>
      <c r="AB352" s="28">
        <v>0</v>
      </c>
      <c r="AC352" s="28">
        <v>0</v>
      </c>
      <c r="AD352" s="28">
        <v>0</v>
      </c>
      <c r="AE352" s="27">
        <f>SUM(Tabla43[[#This Row],[Edificación colapsada]:[Robo]])</f>
        <v>7</v>
      </c>
      <c r="AF352" s="26" t="s">
        <v>206</v>
      </c>
      <c r="AG352" s="26" t="s">
        <v>206</v>
      </c>
      <c r="AH352" s="28">
        <v>39.9</v>
      </c>
      <c r="AI352" s="28"/>
      <c r="AJ352" s="28"/>
      <c r="AK352" s="29" t="s">
        <v>114</v>
      </c>
      <c r="AM352" t="str">
        <f t="shared" si="20"/>
        <v>san jose</v>
      </c>
      <c r="AN352" t="str">
        <f t="shared" si="21"/>
        <v>caldas</v>
      </c>
      <c r="AO352" t="b">
        <f t="shared" si="22"/>
        <v>0</v>
      </c>
      <c r="AP352" t="str">
        <f t="shared" si="23"/>
        <v>san jose</v>
      </c>
    </row>
    <row r="353" spans="1:42" ht="25.5" customHeight="1" x14ac:dyDescent="0.25">
      <c r="A353" s="33" t="s">
        <v>139</v>
      </c>
      <c r="B353" s="11" t="s">
        <v>48</v>
      </c>
      <c r="C353" s="34" t="s">
        <v>112</v>
      </c>
      <c r="D353" s="69"/>
      <c r="E353" s="11" t="s">
        <v>140</v>
      </c>
      <c r="F353" s="25" t="s">
        <v>141</v>
      </c>
      <c r="G353" s="25" t="s">
        <v>140</v>
      </c>
      <c r="H353" s="26" t="s">
        <v>106</v>
      </c>
      <c r="I353" s="26" t="str">
        <f>IF($AO353,"#N/D",IFERROR(INDEX(Olimpiadas!$A$2:$A$61,MATCH($AM353,Olimpiadas!$C$2:$C$61,0)),"#N/D"))</f>
        <v>#N/D</v>
      </c>
      <c r="J353" s="26" t="str">
        <f>IF($AO353,"#N/D",IFERROR(INDEX(Minculturas!$A$2:$A$48,MATCH($AM353,Minculturas!$C$2:$C$48,0)),"#N/D"))</f>
        <v>#N/D</v>
      </c>
      <c r="K353" s="26" t="str">
        <f>IF($AO353,"#N/D",IFERROR(INDEX(Minculturas!$B$2:$B$48,MATCH($AM353,Minculturas!$C$2:$C$48,0)),"#N/D"))</f>
        <v>#N/D</v>
      </c>
      <c r="L353" s="27">
        <v>5</v>
      </c>
      <c r="M353" s="28">
        <v>0</v>
      </c>
      <c r="N353" s="28">
        <v>0</v>
      </c>
      <c r="O353" s="28">
        <v>1</v>
      </c>
      <c r="P353" s="28">
        <v>1</v>
      </c>
      <c r="Q353" s="28">
        <v>2</v>
      </c>
      <c r="R353" s="28">
        <v>0</v>
      </c>
      <c r="S353" s="28">
        <v>0</v>
      </c>
      <c r="T353" s="28">
        <v>1</v>
      </c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7">
        <f>SUM(Tabla43[[#This Row],[Edificación colapsada]:[Robo]])</f>
        <v>5</v>
      </c>
      <c r="AF353" s="28"/>
      <c r="AG353" s="28"/>
      <c r="AH353" s="28">
        <v>39.4</v>
      </c>
      <c r="AI353" s="28"/>
      <c r="AJ353" s="28"/>
      <c r="AK353" s="29" t="s">
        <v>114</v>
      </c>
      <c r="AM353" t="str">
        <f t="shared" si="20"/>
        <v>san luis</v>
      </c>
      <c r="AN353" t="str">
        <f t="shared" si="21"/>
        <v>tolima</v>
      </c>
      <c r="AO353" t="b">
        <f t="shared" si="22"/>
        <v>1</v>
      </c>
      <c r="AP353" t="str">
        <f t="shared" si="23"/>
        <v>san luis|tolima</v>
      </c>
    </row>
    <row r="354" spans="1:42" ht="25.5" customHeight="1" x14ac:dyDescent="0.25">
      <c r="A354" s="33" t="s">
        <v>949</v>
      </c>
      <c r="B354" s="11" t="s">
        <v>10</v>
      </c>
      <c r="C354" s="34" t="s">
        <v>112</v>
      </c>
      <c r="D354" s="69"/>
      <c r="E354" s="11" t="s">
        <v>140</v>
      </c>
      <c r="F354" s="25" t="s">
        <v>106</v>
      </c>
      <c r="G354" s="25" t="s">
        <v>106</v>
      </c>
      <c r="H354" s="26" t="s">
        <v>106</v>
      </c>
      <c r="I354" s="26" t="str">
        <f>IF($AO354,"#N/D",IFERROR(INDEX(Olimpiadas!$A$2:$A$61,MATCH($AM354,Olimpiadas!$C$2:$C$61,0)),"#N/D"))</f>
        <v>#N/D</v>
      </c>
      <c r="J354" s="26" t="str">
        <f>IF($AO354,"#N/D",IFERROR(INDEX(Minculturas!$A$2:$A$48,MATCH($AM354,Minculturas!$C$2:$C$48,0)),"#N/D"))</f>
        <v>#N/D</v>
      </c>
      <c r="K354" s="26" t="str">
        <f>IF($AO354,"#N/D",IFERROR(INDEX(Minculturas!$B$2:$B$48,MATCH($AM354,Minculturas!$C$2:$C$48,0)),"#N/D"))</f>
        <v>#N/D</v>
      </c>
      <c r="L354" s="27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7">
        <f>SUM(Tabla43[[#This Row],[Edificación colapsada]:[Robo]])</f>
        <v>0</v>
      </c>
      <c r="AF354" s="28"/>
      <c r="AG354" s="28"/>
      <c r="AH354" s="28">
        <v>32.4</v>
      </c>
      <c r="AI354" s="28"/>
      <c r="AJ354" s="28"/>
      <c r="AK354" s="29" t="s">
        <v>365</v>
      </c>
      <c r="AM354" t="str">
        <f t="shared" si="20"/>
        <v>san luis</v>
      </c>
      <c r="AN354" t="str">
        <f t="shared" si="21"/>
        <v>antioquia</v>
      </c>
      <c r="AO354" t="b">
        <f t="shared" si="22"/>
        <v>1</v>
      </c>
      <c r="AP354" t="str">
        <f t="shared" si="23"/>
        <v>san luis|antioquia</v>
      </c>
    </row>
    <row r="355" spans="1:42" ht="25.5" customHeight="1" x14ac:dyDescent="0.25">
      <c r="A355" s="33" t="s">
        <v>709</v>
      </c>
      <c r="B355" s="11" t="s">
        <v>19</v>
      </c>
      <c r="C355" s="34" t="s">
        <v>112</v>
      </c>
      <c r="D355" s="69"/>
      <c r="E355" s="11" t="s">
        <v>710</v>
      </c>
      <c r="F355" s="25" t="s">
        <v>106</v>
      </c>
      <c r="G355" s="25" t="s">
        <v>106</v>
      </c>
      <c r="H355" s="26" t="s">
        <v>106</v>
      </c>
      <c r="I355" s="26" t="str">
        <f>IF($AO355,"#N/D",IFERROR(INDEX(Olimpiadas!$A$2:$A$61,MATCH($AM355,Olimpiadas!$C$2:$C$61,0)),"#N/D"))</f>
        <v>#N/D</v>
      </c>
      <c r="J355" s="26" t="str">
        <f>IF($AO355,"#N/D",IFERROR(INDEX(Minculturas!$A$2:$A$48,MATCH($AM355,Minculturas!$C$2:$C$48,0)),"#N/D"))</f>
        <v>#N/D</v>
      </c>
      <c r="K355" s="26" t="str">
        <f>IF($AO355,"#N/D",IFERROR(INDEX(Minculturas!$B$2:$B$48,MATCH($AM355,Minculturas!$C$2:$C$48,0)),"#N/D"))</f>
        <v>#N/D</v>
      </c>
      <c r="L355" s="27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7">
        <f>SUM(Tabla43[[#This Row],[Edificación colapsada]:[Robo]])</f>
        <v>0</v>
      </c>
      <c r="AF355" s="28"/>
      <c r="AG355" s="28"/>
      <c r="AH355" s="28">
        <v>54</v>
      </c>
      <c r="AI355" s="28"/>
      <c r="AJ355" s="28"/>
      <c r="AK355" s="29" t="s">
        <v>246</v>
      </c>
      <c r="AM355" t="str">
        <f t="shared" si="20"/>
        <v>san pablo</v>
      </c>
      <c r="AN355" t="str">
        <f t="shared" si="21"/>
        <v>bolivar</v>
      </c>
      <c r="AO355" t="b">
        <f t="shared" si="22"/>
        <v>0</v>
      </c>
      <c r="AP355" t="str">
        <f t="shared" si="23"/>
        <v>san pablo</v>
      </c>
    </row>
    <row r="356" spans="1:42" ht="25.5" customHeight="1" x14ac:dyDescent="0.25">
      <c r="A356" s="33" t="s">
        <v>1085</v>
      </c>
      <c r="B356" s="11" t="s">
        <v>49</v>
      </c>
      <c r="C356" s="34" t="s">
        <v>112</v>
      </c>
      <c r="D356" s="69"/>
      <c r="E356" s="11" t="s">
        <v>1086</v>
      </c>
      <c r="F356" s="25" t="s">
        <v>106</v>
      </c>
      <c r="G356" s="25" t="s">
        <v>106</v>
      </c>
      <c r="H356" s="26" t="s">
        <v>106</v>
      </c>
      <c r="I356" s="26" t="str">
        <f>IF($AO356,"#N/D",IFERROR(INDEX(Olimpiadas!$A$2:$A$61,MATCH($AM356,Olimpiadas!$C$2:$C$61,0)),"#N/D"))</f>
        <v>#N/D</v>
      </c>
      <c r="J356" s="26" t="str">
        <f>IF($AO356,"#N/D",IFERROR(INDEX(Minculturas!$A$2:$A$48,MATCH($AM356,Minculturas!$C$2:$C$48,0)),"#N/D"))</f>
        <v>#N/D</v>
      </c>
      <c r="K356" s="26" t="str">
        <f>IF($AO356,"#N/D",IFERROR(INDEX(Minculturas!$B$2:$B$48,MATCH($AM356,Minculturas!$C$2:$C$48,0)),"#N/D"))</f>
        <v>#N/D</v>
      </c>
      <c r="L356" s="27">
        <v>1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1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7">
        <f>SUM(Tabla43[[#This Row],[Edificación colapsada]:[Robo]])</f>
        <v>1</v>
      </c>
      <c r="AF356" s="28" t="s">
        <v>1087</v>
      </c>
      <c r="AG356" s="28" t="s">
        <v>1088</v>
      </c>
      <c r="AH356" s="28">
        <v>18</v>
      </c>
      <c r="AI356" s="28"/>
      <c r="AJ356" s="28"/>
      <c r="AK356" s="29" t="s">
        <v>246</v>
      </c>
      <c r="AM356" t="str">
        <f t="shared" si="20"/>
        <v>san pedro</v>
      </c>
      <c r="AN356" t="str">
        <f t="shared" si="21"/>
        <v>valle del cauca</v>
      </c>
      <c r="AO356" t="b">
        <f t="shared" si="22"/>
        <v>0</v>
      </c>
      <c r="AP356" t="str">
        <f t="shared" si="23"/>
        <v>san pedro</v>
      </c>
    </row>
    <row r="357" spans="1:42" ht="25.5" customHeight="1" x14ac:dyDescent="0.25">
      <c r="A357" s="33" t="s">
        <v>950</v>
      </c>
      <c r="B357" s="11" t="s">
        <v>10</v>
      </c>
      <c r="C357" s="34" t="s">
        <v>112</v>
      </c>
      <c r="D357" s="69"/>
      <c r="E357" s="11" t="s">
        <v>951</v>
      </c>
      <c r="F357" s="25" t="s">
        <v>106</v>
      </c>
      <c r="G357" s="25" t="s">
        <v>106</v>
      </c>
      <c r="H357" s="26" t="s">
        <v>106</v>
      </c>
      <c r="I357" s="26" t="str">
        <f>IF($AO357,"#N/D",IFERROR(INDEX(Olimpiadas!$A$2:$A$61,MATCH($AM357,Olimpiadas!$C$2:$C$61,0)),"#N/D"))</f>
        <v>#N/D</v>
      </c>
      <c r="J357" s="26" t="str">
        <f>IF($AO357,"#N/D",IFERROR(INDEX(Minculturas!$A$2:$A$48,MATCH($AM357,Minculturas!$C$2:$C$48,0)),"#N/D"))</f>
        <v>#N/D</v>
      </c>
      <c r="K357" s="26" t="str">
        <f>IF($AO357,"#N/D",IFERROR(INDEX(Minculturas!$B$2:$B$48,MATCH($AM357,Minculturas!$C$2:$C$48,0)),"#N/D"))</f>
        <v>#N/D</v>
      </c>
      <c r="L357" s="27">
        <v>1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1</v>
      </c>
      <c r="AA357" s="28">
        <v>0</v>
      </c>
      <c r="AB357" s="28">
        <v>0</v>
      </c>
      <c r="AC357" s="28">
        <v>0</v>
      </c>
      <c r="AD357" s="28">
        <v>0</v>
      </c>
      <c r="AE357" s="27">
        <f>SUM(Tabla43[[#This Row],[Edificación colapsada]:[Robo]])</f>
        <v>1</v>
      </c>
      <c r="AF357" s="28"/>
      <c r="AG357" s="28"/>
      <c r="AH357" s="28">
        <v>62.3</v>
      </c>
      <c r="AI357" s="28"/>
      <c r="AJ357" s="28"/>
      <c r="AK357" s="29" t="s">
        <v>114</v>
      </c>
      <c r="AM357" t="str">
        <f t="shared" si="20"/>
        <v>san pedro de uraba</v>
      </c>
      <c r="AN357" t="str">
        <f t="shared" si="21"/>
        <v>antioquia</v>
      </c>
      <c r="AO357" t="b">
        <f t="shared" si="22"/>
        <v>0</v>
      </c>
      <c r="AP357" t="str">
        <f t="shared" si="23"/>
        <v>san pedro de uraba</v>
      </c>
    </row>
    <row r="358" spans="1:42" ht="25.5" customHeight="1" x14ac:dyDescent="0.25">
      <c r="A358" s="33" t="s">
        <v>649</v>
      </c>
      <c r="B358" s="11" t="s">
        <v>10</v>
      </c>
      <c r="C358" s="34" t="s">
        <v>112</v>
      </c>
      <c r="D358" s="69"/>
      <c r="E358" s="11" t="s">
        <v>650</v>
      </c>
      <c r="F358" s="25" t="s">
        <v>106</v>
      </c>
      <c r="G358" s="25" t="s">
        <v>106</v>
      </c>
      <c r="H358" s="26" t="s">
        <v>106</v>
      </c>
      <c r="I358" s="26" t="str">
        <f>IF($AO358,"#N/D",IFERROR(INDEX(Olimpiadas!$A$2:$A$61,MATCH($AM358,Olimpiadas!$C$2:$C$61,0)),"#N/D"))</f>
        <v>#N/D</v>
      </c>
      <c r="J358" s="26" t="str">
        <f>IF($AO358,"#N/D",IFERROR(INDEX(Minculturas!$A$2:$A$48,MATCH($AM358,Minculturas!$C$2:$C$48,0)),"#N/D"))</f>
        <v>#N/D</v>
      </c>
      <c r="K358" s="26" t="str">
        <f>IF($AO358,"#N/D",IFERROR(INDEX(Minculturas!$B$2:$B$48,MATCH($AM358,Minculturas!$C$2:$C$48,0)),"#N/D"))</f>
        <v>#N/D</v>
      </c>
      <c r="L358" s="27">
        <v>1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1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7">
        <f>SUM(Tabla43[[#This Row],[Edificación colapsada]:[Robo]])</f>
        <v>1</v>
      </c>
      <c r="AF358" s="28"/>
      <c r="AG358" s="28"/>
      <c r="AH358" s="28">
        <v>36.799999999999997</v>
      </c>
      <c r="AI358" s="28"/>
      <c r="AJ358" s="28"/>
      <c r="AK358" s="29" t="s">
        <v>365</v>
      </c>
      <c r="AM358" t="str">
        <f t="shared" si="20"/>
        <v>san rafael</v>
      </c>
      <c r="AN358" t="str">
        <f t="shared" si="21"/>
        <v>antioquia</v>
      </c>
      <c r="AO358" t="b">
        <f t="shared" si="22"/>
        <v>0</v>
      </c>
      <c r="AP358" t="str">
        <f t="shared" si="23"/>
        <v>san rafael</v>
      </c>
    </row>
    <row r="359" spans="1:42" ht="25.5" customHeight="1" x14ac:dyDescent="0.25">
      <c r="A359" s="33" t="s">
        <v>711</v>
      </c>
      <c r="B359" s="11" t="s">
        <v>28</v>
      </c>
      <c r="C359" s="34" t="s">
        <v>112</v>
      </c>
      <c r="D359" s="69"/>
      <c r="E359" s="11" t="s">
        <v>712</v>
      </c>
      <c r="F359" s="25" t="s">
        <v>106</v>
      </c>
      <c r="G359" s="25" t="s">
        <v>106</v>
      </c>
      <c r="H359" s="26" t="s">
        <v>106</v>
      </c>
      <c r="I359" s="26" t="str">
        <f>IF($AO359,"#N/D",IFERROR(INDEX(Olimpiadas!$A$2:$A$61,MATCH($AM359,Olimpiadas!$C$2:$C$61,0)),"#N/D"))</f>
        <v>#N/D</v>
      </c>
      <c r="J359" s="26" t="str">
        <f>IF($AO359,"#N/D",IFERROR(INDEX(Minculturas!$A$2:$A$48,MATCH($AM359,Minculturas!$C$2:$C$48,0)),"#N/D"))</f>
        <v>#N/D</v>
      </c>
      <c r="K359" s="26" t="str">
        <f>IF($AO359,"#N/D",IFERROR(INDEX(Minculturas!$B$2:$B$48,MATCH($AM359,Minculturas!$C$2:$C$48,0)),"#N/D"))</f>
        <v>#N/D</v>
      </c>
      <c r="L359" s="27">
        <v>1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0</v>
      </c>
      <c r="Y359" s="28">
        <v>0</v>
      </c>
      <c r="Z359" s="28">
        <v>1</v>
      </c>
      <c r="AA359" s="28">
        <v>0</v>
      </c>
      <c r="AB359" s="28">
        <v>0</v>
      </c>
      <c r="AC359" s="28">
        <v>0</v>
      </c>
      <c r="AD359" s="28">
        <v>0</v>
      </c>
      <c r="AE359" s="27">
        <f>SUM(Tabla43[[#This Row],[Edificación colapsada]:[Robo]])</f>
        <v>1</v>
      </c>
      <c r="AF359" s="28"/>
      <c r="AG359" s="28"/>
      <c r="AH359" s="28">
        <v>46.4</v>
      </c>
      <c r="AI359" s="28"/>
      <c r="AJ359" s="28"/>
      <c r="AK359" s="29" t="s">
        <v>114</v>
      </c>
      <c r="AM359" t="str">
        <f t="shared" si="20"/>
        <v>san sebastian</v>
      </c>
      <c r="AN359" t="str">
        <f t="shared" si="21"/>
        <v>cauca</v>
      </c>
      <c r="AO359" t="b">
        <f t="shared" si="22"/>
        <v>0</v>
      </c>
      <c r="AP359" t="str">
        <f t="shared" si="23"/>
        <v>san sebastian</v>
      </c>
    </row>
    <row r="360" spans="1:42" ht="25.5" customHeight="1" x14ac:dyDescent="0.25">
      <c r="A360" s="33" t="s">
        <v>952</v>
      </c>
      <c r="B360" s="11" t="s">
        <v>10</v>
      </c>
      <c r="C360" s="34" t="s">
        <v>112</v>
      </c>
      <c r="D360" s="69"/>
      <c r="E360" s="11" t="s">
        <v>953</v>
      </c>
      <c r="F360" s="25" t="s">
        <v>106</v>
      </c>
      <c r="G360" s="25" t="s">
        <v>106</v>
      </c>
      <c r="H360" s="26" t="s">
        <v>106</v>
      </c>
      <c r="I360" s="26" t="str">
        <f>IF($AO360,"#N/D",IFERROR(INDEX(Olimpiadas!$A$2:$A$61,MATCH($AM360,Olimpiadas!$C$2:$C$61,0)),"#N/D"))</f>
        <v>#N/D</v>
      </c>
      <c r="J360" s="26" t="str">
        <f>IF($AO360,"#N/D",IFERROR(INDEX(Minculturas!$A$2:$A$48,MATCH($AM360,Minculturas!$C$2:$C$48,0)),"#N/D"))</f>
        <v>#N/D</v>
      </c>
      <c r="K360" s="26" t="str">
        <f>IF($AO360,"#N/D",IFERROR(INDEX(Minculturas!$B$2:$B$48,MATCH($AM360,Minculturas!$C$2:$C$48,0)),"#N/D"))</f>
        <v>#N/D</v>
      </c>
      <c r="L360" s="27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7">
        <f>SUM(Tabla43[[#This Row],[Edificación colapsada]:[Robo]])</f>
        <v>0</v>
      </c>
      <c r="AF360" s="28"/>
      <c r="AG360" s="28"/>
      <c r="AH360" s="28">
        <v>27.8</v>
      </c>
      <c r="AI360" s="28"/>
      <c r="AJ360" s="28"/>
      <c r="AK360" s="29" t="s">
        <v>954</v>
      </c>
      <c r="AM360" t="str">
        <f t="shared" si="20"/>
        <v>san vicente ferrer</v>
      </c>
      <c r="AN360" t="str">
        <f t="shared" si="21"/>
        <v>antioquia</v>
      </c>
      <c r="AO360" t="b">
        <f t="shared" si="22"/>
        <v>0</v>
      </c>
      <c r="AP360" t="str">
        <f t="shared" si="23"/>
        <v>san vicente ferrer</v>
      </c>
    </row>
    <row r="361" spans="1:42" ht="25.5" customHeight="1" x14ac:dyDescent="0.25">
      <c r="A361" s="33" t="s">
        <v>713</v>
      </c>
      <c r="B361" s="11" t="s">
        <v>41</v>
      </c>
      <c r="C361" s="34" t="s">
        <v>112</v>
      </c>
      <c r="D361" s="69"/>
      <c r="E361" s="11" t="s">
        <v>714</v>
      </c>
      <c r="F361" s="25" t="s">
        <v>106</v>
      </c>
      <c r="G361" s="25" t="s">
        <v>106</v>
      </c>
      <c r="H361" s="26" t="s">
        <v>106</v>
      </c>
      <c r="I361" s="26" t="str">
        <f>IF($AO361,"#N/D",IFERROR(INDEX(Olimpiadas!$A$2:$A$61,MATCH($AM361,Olimpiadas!$C$2:$C$61,0)),"#N/D"))</f>
        <v>#N/D</v>
      </c>
      <c r="J361" s="26" t="str">
        <f>IF($AO361,"#N/D",IFERROR(INDEX(Minculturas!$A$2:$A$48,MATCH($AM361,Minculturas!$C$2:$C$48,0)),"#N/D"))</f>
        <v>#N/D</v>
      </c>
      <c r="K361" s="26" t="str">
        <f>IF($AO361,"#N/D",IFERROR(INDEX(Minculturas!$B$2:$B$48,MATCH($AM361,Minculturas!$C$2:$C$48,0)),"#N/D"))</f>
        <v>#N/D</v>
      </c>
      <c r="L361" s="27">
        <v>1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1</v>
      </c>
      <c r="AA361" s="28">
        <v>0</v>
      </c>
      <c r="AB361" s="28">
        <v>0</v>
      </c>
      <c r="AC361" s="28">
        <v>0</v>
      </c>
      <c r="AD361" s="28">
        <v>0</v>
      </c>
      <c r="AE361" s="27">
        <f>SUM(Tabla43[[#This Row],[Edificación colapsada]:[Robo]])</f>
        <v>1</v>
      </c>
      <c r="AF361" s="28"/>
      <c r="AG361" s="28"/>
      <c r="AH361" s="28">
        <v>28.9</v>
      </c>
      <c r="AI361" s="28"/>
      <c r="AJ361" s="28"/>
      <c r="AK361" s="29" t="s">
        <v>230</v>
      </c>
      <c r="AM361" t="str">
        <f t="shared" si="20"/>
        <v>sandona</v>
      </c>
      <c r="AN361" t="str">
        <f t="shared" si="21"/>
        <v>narino</v>
      </c>
      <c r="AO361" t="b">
        <f t="shared" si="22"/>
        <v>0</v>
      </c>
      <c r="AP361" t="str">
        <f t="shared" si="23"/>
        <v>sandona</v>
      </c>
    </row>
    <row r="362" spans="1:42" ht="25.5" customHeight="1" x14ac:dyDescent="0.25">
      <c r="A362" s="33" t="s">
        <v>955</v>
      </c>
      <c r="B362" s="11" t="s">
        <v>10</v>
      </c>
      <c r="C362" s="34" t="s">
        <v>112</v>
      </c>
      <c r="D362" s="69"/>
      <c r="E362" s="11" t="s">
        <v>956</v>
      </c>
      <c r="F362" s="25" t="s">
        <v>106</v>
      </c>
      <c r="G362" s="25" t="s">
        <v>106</v>
      </c>
      <c r="H362" s="26" t="s">
        <v>106</v>
      </c>
      <c r="I362" s="26" t="str">
        <f>IF($AO362,"#N/D",IFERROR(INDEX(Olimpiadas!$A$2:$A$61,MATCH($AM362,Olimpiadas!$C$2:$C$61,0)),"#N/D"))</f>
        <v>#N/D</v>
      </c>
      <c r="J362" s="26" t="str">
        <f>IF($AO362,"#N/D",IFERROR(INDEX(Minculturas!$A$2:$A$48,MATCH($AM362,Minculturas!$C$2:$C$48,0)),"#N/D"))</f>
        <v>#N/D</v>
      </c>
      <c r="K362" s="26" t="str">
        <f>IF($AO362,"#N/D",IFERROR(INDEX(Minculturas!$B$2:$B$48,MATCH($AM362,Minculturas!$C$2:$C$48,0)),"#N/D"))</f>
        <v>#N/D</v>
      </c>
      <c r="L362" s="27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7">
        <f>SUM(Tabla43[[#This Row],[Edificación colapsada]:[Robo]])</f>
        <v>0</v>
      </c>
      <c r="AF362" s="28"/>
      <c r="AG362" s="28"/>
      <c r="AH362" s="28">
        <v>28.1</v>
      </c>
      <c r="AI362" s="28"/>
      <c r="AJ362" s="28"/>
      <c r="AK362" s="29" t="s">
        <v>365</v>
      </c>
      <c r="AM362" t="str">
        <f t="shared" si="20"/>
        <v>santa barbara</v>
      </c>
      <c r="AN362" t="str">
        <f t="shared" si="21"/>
        <v>antioquia</v>
      </c>
      <c r="AO362" t="b">
        <f t="shared" si="22"/>
        <v>0</v>
      </c>
      <c r="AP362" t="str">
        <f t="shared" si="23"/>
        <v>santa barbara</v>
      </c>
    </row>
    <row r="363" spans="1:42" ht="25.5" customHeight="1" x14ac:dyDescent="0.25">
      <c r="A363" s="33" t="s">
        <v>394</v>
      </c>
      <c r="B363" s="11" t="s">
        <v>10</v>
      </c>
      <c r="C363" s="34" t="s">
        <v>112</v>
      </c>
      <c r="D363" s="69"/>
      <c r="E363" s="11" t="s">
        <v>395</v>
      </c>
      <c r="F363" s="25" t="s">
        <v>106</v>
      </c>
      <c r="G363" s="25" t="s">
        <v>106</v>
      </c>
      <c r="H363" s="26" t="s">
        <v>106</v>
      </c>
      <c r="I363" s="26" t="str">
        <f>IF($AO363,"#N/D",IFERROR(INDEX(Olimpiadas!$A$2:$A$61,MATCH($AM363,Olimpiadas!$C$2:$C$61,0)),"#N/D"))</f>
        <v>#N/D</v>
      </c>
      <c r="J363" s="26" t="str">
        <f>IF($AO363,"#N/D",IFERROR(INDEX(Minculturas!$A$2:$A$48,MATCH($AM363,Minculturas!$C$2:$C$48,0)),"#N/D"))</f>
        <v>#N/D</v>
      </c>
      <c r="K363" s="26" t="str">
        <f>IF($AO363,"#N/D",IFERROR(INDEX(Minculturas!$B$2:$B$48,MATCH($AM363,Minculturas!$C$2:$C$48,0)),"#N/D"))</f>
        <v>#N/D</v>
      </c>
      <c r="L363" s="27">
        <v>2</v>
      </c>
      <c r="M363" s="28">
        <v>0</v>
      </c>
      <c r="N363" s="28">
        <v>1</v>
      </c>
      <c r="O363" s="28">
        <v>0</v>
      </c>
      <c r="P363" s="28">
        <v>0</v>
      </c>
      <c r="Q363" s="28">
        <v>0</v>
      </c>
      <c r="R363" s="28">
        <v>1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7">
        <f>SUM(Tabla43[[#This Row],[Edificación colapsada]:[Robo]])</f>
        <v>2</v>
      </c>
      <c r="AF363" s="28"/>
      <c r="AG363" s="28"/>
      <c r="AH363" s="28">
        <v>29.7</v>
      </c>
      <c r="AI363" s="28"/>
      <c r="AJ363" s="28"/>
      <c r="AK363" s="29" t="s">
        <v>365</v>
      </c>
      <c r="AM363" t="str">
        <f t="shared" si="20"/>
        <v>santa fe de antioquia</v>
      </c>
      <c r="AN363" t="str">
        <f t="shared" si="21"/>
        <v>antioquia</v>
      </c>
      <c r="AO363" t="b">
        <f t="shared" si="22"/>
        <v>0</v>
      </c>
      <c r="AP363" t="str">
        <f t="shared" si="23"/>
        <v>santa fe de antioquia</v>
      </c>
    </row>
    <row r="364" spans="1:42" ht="25.5" customHeight="1" x14ac:dyDescent="0.25">
      <c r="A364" s="33" t="s">
        <v>504</v>
      </c>
      <c r="B364" s="11" t="s">
        <v>48</v>
      </c>
      <c r="C364" s="34" t="s">
        <v>112</v>
      </c>
      <c r="D364" s="69"/>
      <c r="E364" s="11" t="s">
        <v>505</v>
      </c>
      <c r="F364" s="25" t="s">
        <v>506</v>
      </c>
      <c r="G364" s="25" t="s">
        <v>505</v>
      </c>
      <c r="H364" s="26" t="s">
        <v>106</v>
      </c>
      <c r="I364" s="26" t="str">
        <f>IF($AO364,"#N/D",IFERROR(INDEX(Olimpiadas!$A$2:$A$61,MATCH($AM364,Olimpiadas!$C$2:$C$61,0)),"#N/D"))</f>
        <v>#N/D</v>
      </c>
      <c r="J364" s="26" t="str">
        <f>IF($AO364,"#N/D",IFERROR(INDEX(Minculturas!$A$2:$A$48,MATCH($AM364,Minculturas!$C$2:$C$48,0)),"#N/D"))</f>
        <v>#N/D</v>
      </c>
      <c r="K364" s="26" t="str">
        <f>IF($AO364,"#N/D",IFERROR(INDEX(Minculturas!$B$2:$B$48,MATCH($AM364,Minculturas!$C$2:$C$48,0)),"#N/D"))</f>
        <v>#N/D</v>
      </c>
      <c r="L364" s="27">
        <v>1</v>
      </c>
      <c r="M364" s="28">
        <v>0</v>
      </c>
      <c r="N364" s="28">
        <v>1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7">
        <f>SUM(Tabla43[[#This Row],[Edificación colapsada]:[Robo]])</f>
        <v>1</v>
      </c>
      <c r="AF364" s="28"/>
      <c r="AG364" s="28"/>
      <c r="AH364" s="28">
        <v>50.9</v>
      </c>
      <c r="AI364" s="28"/>
      <c r="AJ364" s="28"/>
      <c r="AK364" s="29" t="s">
        <v>114</v>
      </c>
      <c r="AM364" t="str">
        <f t="shared" si="20"/>
        <v>santa isabel</v>
      </c>
      <c r="AN364" t="str">
        <f t="shared" si="21"/>
        <v>tolima</v>
      </c>
      <c r="AO364" t="b">
        <f t="shared" si="22"/>
        <v>0</v>
      </c>
      <c r="AP364" t="str">
        <f t="shared" si="23"/>
        <v>santa isabel</v>
      </c>
    </row>
    <row r="365" spans="1:42" ht="25.5" customHeight="1" x14ac:dyDescent="0.25">
      <c r="A365" s="33" t="s">
        <v>297</v>
      </c>
      <c r="B365" s="11" t="s">
        <v>37</v>
      </c>
      <c r="C365" s="34" t="s">
        <v>112</v>
      </c>
      <c r="D365" s="69"/>
      <c r="E365" s="11" t="s">
        <v>298</v>
      </c>
      <c r="F365" s="25" t="s">
        <v>299</v>
      </c>
      <c r="G365" s="25" t="s">
        <v>298</v>
      </c>
      <c r="H365" s="26" t="s">
        <v>106</v>
      </c>
      <c r="I365" s="26" t="str">
        <f>IF($AO365,"#N/D",IFERROR(INDEX(Olimpiadas!$A$2:$A$61,MATCH($AM365,Olimpiadas!$C$2:$C$61,0)),"#N/D"))</f>
        <v>#N/D</v>
      </c>
      <c r="J365" s="26" t="str">
        <f>IF($AO365,"#N/D",IFERROR(INDEX(Minculturas!$A$2:$A$48,MATCH($AM365,Minculturas!$C$2:$C$48,0)),"#N/D"))</f>
        <v>#N/D</v>
      </c>
      <c r="K365" s="26" t="str">
        <f>IF($AO365,"#N/D",IFERROR(INDEX(Minculturas!$B$2:$B$48,MATCH($AM365,Minculturas!$C$2:$C$48,0)),"#N/D"))</f>
        <v>#N/D</v>
      </c>
      <c r="L365" s="27">
        <v>2</v>
      </c>
      <c r="M365" s="28">
        <v>0</v>
      </c>
      <c r="N365" s="28">
        <v>0</v>
      </c>
      <c r="O365" s="28">
        <v>1</v>
      </c>
      <c r="P365" s="28">
        <v>0</v>
      </c>
      <c r="Q365" s="28">
        <v>1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7">
        <f>SUM(Tabla43[[#This Row],[Edificación colapsada]:[Robo]])</f>
        <v>2</v>
      </c>
      <c r="AF365" s="28" t="s">
        <v>175</v>
      </c>
      <c r="AG365" s="28" t="s">
        <v>300</v>
      </c>
      <c r="AH365" s="28">
        <v>51.5</v>
      </c>
      <c r="AI365" s="28"/>
      <c r="AJ365" s="28"/>
      <c r="AK365" s="29" t="s">
        <v>114</v>
      </c>
      <c r="AM365" t="str">
        <f t="shared" si="20"/>
        <v>santa maria</v>
      </c>
      <c r="AN365" t="str">
        <f t="shared" si="21"/>
        <v>huila</v>
      </c>
      <c r="AO365" t="b">
        <f t="shared" si="22"/>
        <v>0</v>
      </c>
      <c r="AP365" t="str">
        <f t="shared" si="23"/>
        <v>santa maria</v>
      </c>
    </row>
    <row r="366" spans="1:42" ht="25.5" customHeight="1" x14ac:dyDescent="0.25">
      <c r="A366" s="33" t="s">
        <v>1158</v>
      </c>
      <c r="B366" s="11" t="s">
        <v>39</v>
      </c>
      <c r="C366" s="34" t="s">
        <v>112</v>
      </c>
      <c r="D366" s="69"/>
      <c r="E366" s="11" t="s">
        <v>1159</v>
      </c>
      <c r="F366" s="25" t="s">
        <v>106</v>
      </c>
      <c r="G366" s="25" t="s">
        <v>106</v>
      </c>
      <c r="H366" s="26" t="s">
        <v>106</v>
      </c>
      <c r="I366" s="26" t="str">
        <f>IF($AO366,"#N/D",IFERROR(INDEX(Olimpiadas!$A$2:$A$61,MATCH($AM366,Olimpiadas!$C$2:$C$61,0)),"#N/D"))</f>
        <v>#N/D</v>
      </c>
      <c r="J366" s="26" t="str">
        <f>IF($AO366,"#N/D",IFERROR(INDEX(Minculturas!$A$2:$A$48,MATCH($AM366,Minculturas!$C$2:$C$48,0)),"#N/D"))</f>
        <v>#N/D</v>
      </c>
      <c r="K366" s="26" t="str">
        <f>IF($AO366,"#N/D",IFERROR(INDEX(Minculturas!$B$2:$B$48,MATCH($AM366,Minculturas!$C$2:$C$48,0)),"#N/D"))</f>
        <v>#N/D</v>
      </c>
      <c r="L366" s="27">
        <v>2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2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7">
        <f>SUM(Tabla43[[#This Row],[Edificación colapsada]:[Robo]])</f>
        <v>2</v>
      </c>
      <c r="AF366" s="28"/>
      <c r="AG366" s="28"/>
      <c r="AH366" s="28">
        <v>24.4</v>
      </c>
      <c r="AI366" s="28"/>
      <c r="AJ366" s="28"/>
      <c r="AK366" s="29" t="s">
        <v>114</v>
      </c>
      <c r="AM366" t="str">
        <f t="shared" si="20"/>
        <v>santa marta</v>
      </c>
      <c r="AN366" t="str">
        <f t="shared" si="21"/>
        <v>magdalena</v>
      </c>
      <c r="AO366" t="b">
        <f t="shared" si="22"/>
        <v>0</v>
      </c>
      <c r="AP366" t="str">
        <f t="shared" si="23"/>
        <v>santa marta</v>
      </c>
    </row>
    <row r="367" spans="1:42" ht="25.5" customHeight="1" x14ac:dyDescent="0.25">
      <c r="A367" s="33" t="s">
        <v>715</v>
      </c>
      <c r="B367" s="11" t="s">
        <v>28</v>
      </c>
      <c r="C367" s="34" t="s">
        <v>112</v>
      </c>
      <c r="D367" s="69"/>
      <c r="E367" s="11" t="s">
        <v>716</v>
      </c>
      <c r="F367" s="25" t="s">
        <v>106</v>
      </c>
      <c r="G367" s="25" t="s">
        <v>106</v>
      </c>
      <c r="H367" s="26" t="s">
        <v>106</v>
      </c>
      <c r="I367" s="26" t="str">
        <f>IF($AO367,"#N/D",IFERROR(INDEX(Olimpiadas!$A$2:$A$61,MATCH($AM367,Olimpiadas!$C$2:$C$61,0)),"#N/D"))</f>
        <v>#N/D</v>
      </c>
      <c r="J367" s="26" t="str">
        <f>IF($AO367,"#N/D",IFERROR(INDEX(Minculturas!$A$2:$A$48,MATCH($AM367,Minculturas!$C$2:$C$48,0)),"#N/D"))</f>
        <v>#N/D</v>
      </c>
      <c r="K367" s="26" t="str">
        <f>IF($AO367,"#N/D",IFERROR(INDEX(Minculturas!$B$2:$B$48,MATCH($AM367,Minculturas!$C$2:$C$48,0)),"#N/D"))</f>
        <v>#N/D</v>
      </c>
      <c r="L367" s="27">
        <v>1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1</v>
      </c>
      <c r="AA367" s="28">
        <v>0</v>
      </c>
      <c r="AB367" s="28">
        <v>0</v>
      </c>
      <c r="AC367" s="28">
        <v>0</v>
      </c>
      <c r="AD367" s="28">
        <v>0</v>
      </c>
      <c r="AE367" s="27">
        <f>SUM(Tabla43[[#This Row],[Edificación colapsada]:[Robo]])</f>
        <v>1</v>
      </c>
      <c r="AF367" s="28"/>
      <c r="AG367" s="28"/>
      <c r="AH367" s="28">
        <v>66.099999999999994</v>
      </c>
      <c r="AI367" s="28"/>
      <c r="AJ367" s="28"/>
      <c r="AK367" s="29" t="s">
        <v>114</v>
      </c>
      <c r="AM367" t="str">
        <f t="shared" si="20"/>
        <v>santa rosa</v>
      </c>
      <c r="AN367" t="str">
        <f t="shared" si="21"/>
        <v>cauca</v>
      </c>
      <c r="AO367" t="b">
        <f t="shared" si="22"/>
        <v>0</v>
      </c>
      <c r="AP367" t="str">
        <f t="shared" si="23"/>
        <v>santa rosa</v>
      </c>
    </row>
    <row r="368" spans="1:42" ht="25.5" customHeight="1" x14ac:dyDescent="0.25">
      <c r="A368" s="33" t="s">
        <v>1089</v>
      </c>
      <c r="B368" s="11" t="s">
        <v>45</v>
      </c>
      <c r="C368" s="34" t="s">
        <v>112</v>
      </c>
      <c r="D368" s="69"/>
      <c r="E368" s="11" t="s">
        <v>1090</v>
      </c>
      <c r="F368" s="25" t="s">
        <v>106</v>
      </c>
      <c r="G368" s="25" t="s">
        <v>106</v>
      </c>
      <c r="H368" s="26" t="s">
        <v>106</v>
      </c>
      <c r="I368" s="26" t="str">
        <f>IF($AO368,"#N/D",IFERROR(INDEX(Olimpiadas!$A$2:$A$61,MATCH($AM368,Olimpiadas!$C$2:$C$61,0)),"#N/D"))</f>
        <v>#N/D</v>
      </c>
      <c r="J368" s="26" t="str">
        <f>IF($AO368,"#N/D",IFERROR(INDEX(Minculturas!$A$2:$A$48,MATCH($AM368,Minculturas!$C$2:$C$48,0)),"#N/D"))</f>
        <v>#N/D</v>
      </c>
      <c r="K368" s="26" t="str">
        <f>IF($AO368,"#N/D",IFERROR(INDEX(Minculturas!$B$2:$B$48,MATCH($AM368,Minculturas!$C$2:$C$48,0)),"#N/D"))</f>
        <v>#N/D</v>
      </c>
      <c r="L368" s="27">
        <v>18</v>
      </c>
      <c r="M368" s="28">
        <v>0</v>
      </c>
      <c r="N368" s="28">
        <v>2</v>
      </c>
      <c r="O368" s="28">
        <v>1</v>
      </c>
      <c r="P368" s="28">
        <v>1</v>
      </c>
      <c r="Q368" s="28">
        <v>1</v>
      </c>
      <c r="R368" s="28">
        <v>2</v>
      </c>
      <c r="S368" s="28">
        <v>2</v>
      </c>
      <c r="T368" s="28">
        <v>0</v>
      </c>
      <c r="U368" s="28">
        <v>0</v>
      </c>
      <c r="V368" s="28">
        <v>0</v>
      </c>
      <c r="W368" s="28">
        <v>5</v>
      </c>
      <c r="X368" s="28">
        <v>0</v>
      </c>
      <c r="Y368" s="28">
        <v>1</v>
      </c>
      <c r="Z368" s="28">
        <v>3</v>
      </c>
      <c r="AA368" s="28">
        <v>0</v>
      </c>
      <c r="AB368" s="28">
        <v>0</v>
      </c>
      <c r="AC368" s="28">
        <v>0</v>
      </c>
      <c r="AD368" s="28">
        <v>0</v>
      </c>
      <c r="AE368" s="27">
        <f>SUM(Tabla43[[#This Row],[Edificación colapsada]:[Robo]])</f>
        <v>18</v>
      </c>
      <c r="AF368" s="28" t="s">
        <v>1091</v>
      </c>
      <c r="AG368" s="28" t="s">
        <v>1092</v>
      </c>
      <c r="AH368" s="28">
        <v>21.2</v>
      </c>
      <c r="AI368" s="28"/>
      <c r="AJ368" s="28"/>
      <c r="AK368" s="29" t="s">
        <v>114</v>
      </c>
      <c r="AM368" t="str">
        <f t="shared" si="20"/>
        <v>santa rosa de cabal</v>
      </c>
      <c r="AN368" t="str">
        <f t="shared" si="21"/>
        <v>risaralda</v>
      </c>
      <c r="AO368" t="b">
        <f t="shared" si="22"/>
        <v>0</v>
      </c>
      <c r="AP368" t="str">
        <f t="shared" si="23"/>
        <v>santa rosa de cabal</v>
      </c>
    </row>
    <row r="369" spans="1:42" ht="25.5" customHeight="1" x14ac:dyDescent="0.25">
      <c r="A369" s="33" t="s">
        <v>651</v>
      </c>
      <c r="B369" s="11" t="s">
        <v>10</v>
      </c>
      <c r="C369" s="34" t="s">
        <v>112</v>
      </c>
      <c r="D369" s="69"/>
      <c r="E369" s="11" t="s">
        <v>652</v>
      </c>
      <c r="F369" s="25" t="s">
        <v>106</v>
      </c>
      <c r="G369" s="25" t="s">
        <v>106</v>
      </c>
      <c r="H369" s="26" t="s">
        <v>106</v>
      </c>
      <c r="I369" s="26" t="str">
        <f>IF($AO369,"#N/D",IFERROR(INDEX(Olimpiadas!$A$2:$A$61,MATCH($AM369,Olimpiadas!$C$2:$C$61,0)),"#N/D"))</f>
        <v>#N/D</v>
      </c>
      <c r="J369" s="26" t="str">
        <f>IF($AO369,"#N/D",IFERROR(INDEX(Minculturas!$A$2:$A$48,MATCH($AM369,Minculturas!$C$2:$C$48,0)),"#N/D"))</f>
        <v>#N/D</v>
      </c>
      <c r="K369" s="26" t="str">
        <f>IF($AO369,"#N/D",IFERROR(INDEX(Minculturas!$B$2:$B$48,MATCH($AM369,Minculturas!$C$2:$C$48,0)),"#N/D"))</f>
        <v>#N/D</v>
      </c>
      <c r="L369" s="27">
        <v>1</v>
      </c>
      <c r="M369" s="28">
        <v>0</v>
      </c>
      <c r="N369" s="28">
        <v>1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7">
        <f>SUM(Tabla43[[#This Row],[Edificación colapsada]:[Robo]])</f>
        <v>1</v>
      </c>
      <c r="AF369" s="28"/>
      <c r="AG369" s="28"/>
      <c r="AH369" s="28">
        <v>30.9</v>
      </c>
      <c r="AI369" s="28"/>
      <c r="AJ369" s="28"/>
      <c r="AK369" s="29" t="s">
        <v>365</v>
      </c>
      <c r="AM369" t="str">
        <f t="shared" si="20"/>
        <v>santa rosa de osos</v>
      </c>
      <c r="AN369" t="str">
        <f t="shared" si="21"/>
        <v>antioquia</v>
      </c>
      <c r="AO369" t="b">
        <f t="shared" si="22"/>
        <v>0</v>
      </c>
      <c r="AP369" t="str">
        <f t="shared" si="23"/>
        <v>santa rosa de osos</v>
      </c>
    </row>
    <row r="370" spans="1:42" ht="25.5" customHeight="1" x14ac:dyDescent="0.25">
      <c r="A370" s="33" t="s">
        <v>717</v>
      </c>
      <c r="B370" s="11" t="s">
        <v>28</v>
      </c>
      <c r="C370" s="34" t="s">
        <v>112</v>
      </c>
      <c r="D370" s="69"/>
      <c r="E370" s="11" t="s">
        <v>718</v>
      </c>
      <c r="F370" s="25" t="s">
        <v>106</v>
      </c>
      <c r="G370" s="25" t="s">
        <v>106</v>
      </c>
      <c r="H370" s="26" t="s">
        <v>106</v>
      </c>
      <c r="I370" s="26" t="str">
        <f>IF($AO370,"#N/D",IFERROR(INDEX(Olimpiadas!$A$2:$A$61,MATCH($AM370,Olimpiadas!$C$2:$C$61,0)),"#N/D"))</f>
        <v>#N/D</v>
      </c>
      <c r="J370" s="26" t="str">
        <f>IF($AO370,"#N/D",IFERROR(INDEX(Minculturas!$A$2:$A$48,MATCH($AM370,Minculturas!$C$2:$C$48,0)),"#N/D"))</f>
        <v>#N/D</v>
      </c>
      <c r="K370" s="26" t="str">
        <f>IF($AO370,"#N/D",IFERROR(INDEX(Minculturas!$B$2:$B$48,MATCH($AM370,Minculturas!$C$2:$C$48,0)),"#N/D"))</f>
        <v>#N/D</v>
      </c>
      <c r="L370" s="27">
        <v>13</v>
      </c>
      <c r="M370" s="28">
        <v>1</v>
      </c>
      <c r="N370" s="28">
        <v>0</v>
      </c>
      <c r="O370" s="28">
        <v>0</v>
      </c>
      <c r="P370" s="28">
        <v>3</v>
      </c>
      <c r="Q370" s="28">
        <v>0</v>
      </c>
      <c r="R370" s="28">
        <v>1</v>
      </c>
      <c r="S370" s="28">
        <v>3</v>
      </c>
      <c r="T370" s="28">
        <v>0</v>
      </c>
      <c r="U370" s="28">
        <v>0</v>
      </c>
      <c r="V370" s="28">
        <v>0</v>
      </c>
      <c r="W370" s="28">
        <v>1</v>
      </c>
      <c r="X370" s="28">
        <v>0</v>
      </c>
      <c r="Y370" s="28">
        <v>1</v>
      </c>
      <c r="Z370" s="28">
        <v>3</v>
      </c>
      <c r="AA370" s="28">
        <v>0</v>
      </c>
      <c r="AB370" s="28">
        <v>0</v>
      </c>
      <c r="AC370" s="28">
        <v>0</v>
      </c>
      <c r="AD370" s="28">
        <v>0</v>
      </c>
      <c r="AE370" s="27">
        <f>SUM(Tabla43[[#This Row],[Edificación colapsada]:[Robo]])</f>
        <v>13</v>
      </c>
      <c r="AF370" s="28"/>
      <c r="AG370" s="28"/>
      <c r="AH370" s="28">
        <v>23.8</v>
      </c>
      <c r="AI370" s="28"/>
      <c r="AJ370" s="28"/>
      <c r="AK370" s="29" t="s">
        <v>114</v>
      </c>
      <c r="AM370" t="str">
        <f t="shared" si="20"/>
        <v>santander de quilichao</v>
      </c>
      <c r="AN370" t="str">
        <f t="shared" si="21"/>
        <v>cauca</v>
      </c>
      <c r="AO370" t="b">
        <f t="shared" si="22"/>
        <v>0</v>
      </c>
      <c r="AP370" t="str">
        <f t="shared" si="23"/>
        <v>santander de quilichao</v>
      </c>
    </row>
    <row r="371" spans="1:42" ht="25.5" customHeight="1" x14ac:dyDescent="0.25">
      <c r="A371" s="33" t="s">
        <v>957</v>
      </c>
      <c r="B371" s="11" t="s">
        <v>10</v>
      </c>
      <c r="C371" s="34" t="s">
        <v>112</v>
      </c>
      <c r="D371" s="69"/>
      <c r="E371" s="11" t="s">
        <v>958</v>
      </c>
      <c r="F371" s="25" t="s">
        <v>106</v>
      </c>
      <c r="G371" s="25" t="s">
        <v>106</v>
      </c>
      <c r="H371" s="26" t="s">
        <v>106</v>
      </c>
      <c r="I371" s="26" t="str">
        <f>IF($AO371,"#N/D",IFERROR(INDEX(Olimpiadas!$A$2:$A$61,MATCH($AM371,Olimpiadas!$C$2:$C$61,0)),"#N/D"))</f>
        <v>#N/D</v>
      </c>
      <c r="J371" s="26" t="str">
        <f>IF($AO371,"#N/D",IFERROR(INDEX(Minculturas!$A$2:$A$48,MATCH($AM371,Minculturas!$C$2:$C$48,0)),"#N/D"))</f>
        <v>#N/D</v>
      </c>
      <c r="K371" s="26" t="str">
        <f>IF($AO371,"#N/D",IFERROR(INDEX(Minculturas!$B$2:$B$48,MATCH($AM371,Minculturas!$C$2:$C$48,0)),"#N/D"))</f>
        <v>#N/D</v>
      </c>
      <c r="L371" s="27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7">
        <f>SUM(Tabla43[[#This Row],[Edificación colapsada]:[Robo]])</f>
        <v>0</v>
      </c>
      <c r="AF371" s="28"/>
      <c r="AG371" s="28"/>
      <c r="AH371" s="28">
        <v>41.5</v>
      </c>
      <c r="AI371" s="28"/>
      <c r="AJ371" s="28"/>
      <c r="AK371" s="29" t="s">
        <v>365</v>
      </c>
      <c r="AM371" t="str">
        <f t="shared" si="20"/>
        <v>santo domingo</v>
      </c>
      <c r="AN371" t="str">
        <f t="shared" si="21"/>
        <v>antioquia</v>
      </c>
      <c r="AO371" t="b">
        <f t="shared" si="22"/>
        <v>0</v>
      </c>
      <c r="AP371" t="str">
        <f t="shared" si="23"/>
        <v>santo domingo</v>
      </c>
    </row>
    <row r="372" spans="1:42" ht="25.5" customHeight="1" x14ac:dyDescent="0.25">
      <c r="A372" s="33" t="s">
        <v>247</v>
      </c>
      <c r="B372" s="11" t="s">
        <v>42</v>
      </c>
      <c r="C372" s="34" t="s">
        <v>112</v>
      </c>
      <c r="D372" s="69"/>
      <c r="E372" s="11" t="s">
        <v>248</v>
      </c>
      <c r="F372" s="25" t="s">
        <v>106</v>
      </c>
      <c r="G372" s="25" t="s">
        <v>106</v>
      </c>
      <c r="H372" s="26" t="s">
        <v>106</v>
      </c>
      <c r="I372" s="26" t="str">
        <f>IF($AO372,"#N/D",IFERROR(INDEX(Olimpiadas!$A$2:$A$61,MATCH($AM372,Olimpiadas!$C$2:$C$61,0)),"#N/D"))</f>
        <v>#N/D</v>
      </c>
      <c r="J372" s="26" t="str">
        <f>IF($AO372,"#N/D",IFERROR(INDEX(Minculturas!$A$2:$A$48,MATCH($AM372,Minculturas!$C$2:$C$48,0)),"#N/D"))</f>
        <v>#N/D</v>
      </c>
      <c r="K372" s="26" t="str">
        <f>IF($AO372,"#N/D",IFERROR(INDEX(Minculturas!$B$2:$B$48,MATCH($AM372,Minculturas!$C$2:$C$48,0)),"#N/D"))</f>
        <v>#N/D</v>
      </c>
      <c r="L372" s="27">
        <v>2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2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7">
        <f>SUM(Tabla43[[#This Row],[Edificación colapsada]:[Robo]])</f>
        <v>2</v>
      </c>
      <c r="AF372" s="28"/>
      <c r="AG372" s="28"/>
      <c r="AH372" s="28">
        <v>46.6</v>
      </c>
      <c r="AI372" s="28"/>
      <c r="AJ372" s="28"/>
      <c r="AK372" s="29" t="s">
        <v>114</v>
      </c>
      <c r="AM372" t="str">
        <f t="shared" si="20"/>
        <v>silos</v>
      </c>
      <c r="AN372" t="str">
        <f t="shared" si="21"/>
        <v>norte de santander</v>
      </c>
      <c r="AO372" t="b">
        <f t="shared" si="22"/>
        <v>0</v>
      </c>
      <c r="AP372" t="str">
        <f t="shared" si="23"/>
        <v>silos</v>
      </c>
    </row>
    <row r="373" spans="1:42" ht="25.5" customHeight="1" x14ac:dyDescent="0.25">
      <c r="A373" s="33" t="s">
        <v>444</v>
      </c>
      <c r="B373" s="11" t="s">
        <v>28</v>
      </c>
      <c r="C373" s="34" t="s">
        <v>112</v>
      </c>
      <c r="D373" s="69"/>
      <c r="E373" s="11" t="s">
        <v>445</v>
      </c>
      <c r="F373" s="25" t="s">
        <v>106</v>
      </c>
      <c r="G373" s="25" t="s">
        <v>106</v>
      </c>
      <c r="H373" s="26" t="s">
        <v>106</v>
      </c>
      <c r="I373" s="26" t="str">
        <f>IF($AO373,"#N/D",IFERROR(INDEX(Olimpiadas!$A$2:$A$61,MATCH($AM373,Olimpiadas!$C$2:$C$61,0)),"#N/D"))</f>
        <v>#N/D</v>
      </c>
      <c r="J373" s="26" t="str">
        <f>IF($AO373,"#N/D",IFERROR(INDEX(Minculturas!$A$2:$A$48,MATCH($AM373,Minculturas!$C$2:$C$48,0)),"#N/D"))</f>
        <v>#N/D</v>
      </c>
      <c r="K373" s="26" t="str">
        <f>IF($AO373,"#N/D",IFERROR(INDEX(Minculturas!$B$2:$B$48,MATCH($AM373,Minculturas!$C$2:$C$48,0)),"#N/D"))</f>
        <v>#N/D</v>
      </c>
      <c r="L373" s="27">
        <v>2</v>
      </c>
      <c r="M373" s="28">
        <v>0</v>
      </c>
      <c r="N373" s="28">
        <v>1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1</v>
      </c>
      <c r="AA373" s="28">
        <v>0</v>
      </c>
      <c r="AB373" s="28">
        <v>0</v>
      </c>
      <c r="AC373" s="28">
        <v>0</v>
      </c>
      <c r="AD373" s="28">
        <v>0</v>
      </c>
      <c r="AE373" s="27">
        <f>SUM(Tabla43[[#This Row],[Edificación colapsada]:[Robo]])</f>
        <v>2</v>
      </c>
      <c r="AF373" s="28"/>
      <c r="AG373" s="28"/>
      <c r="AH373" s="28">
        <v>43.8</v>
      </c>
      <c r="AI373" s="28"/>
      <c r="AJ373" s="28"/>
      <c r="AK373" s="29" t="s">
        <v>114</v>
      </c>
      <c r="AM373" t="str">
        <f t="shared" si="20"/>
        <v>silvia</v>
      </c>
      <c r="AN373" t="str">
        <f t="shared" si="21"/>
        <v>cauca</v>
      </c>
      <c r="AO373" t="b">
        <f t="shared" si="22"/>
        <v>0</v>
      </c>
      <c r="AP373" t="str">
        <f t="shared" si="23"/>
        <v>silvia</v>
      </c>
    </row>
    <row r="374" spans="1:42" ht="25.5" customHeight="1" x14ac:dyDescent="0.25">
      <c r="A374" s="33" t="s">
        <v>976</v>
      </c>
      <c r="B374" s="11" t="s">
        <v>47</v>
      </c>
      <c r="C374" s="34" t="s">
        <v>112</v>
      </c>
      <c r="D374" s="69"/>
      <c r="E374" s="11" t="s">
        <v>977</v>
      </c>
      <c r="F374" s="25" t="s">
        <v>106</v>
      </c>
      <c r="G374" s="25" t="s">
        <v>106</v>
      </c>
      <c r="H374" s="26" t="s">
        <v>106</v>
      </c>
      <c r="I374" s="26" t="str">
        <f>IF($AO374,"#N/D",IFERROR(INDEX(Olimpiadas!$A$2:$A$61,MATCH($AM374,Olimpiadas!$C$2:$C$61,0)),"#N/D"))</f>
        <v>#N/D</v>
      </c>
      <c r="J374" s="26" t="str">
        <f>IF($AO374,"#N/D",IFERROR(INDEX(Minculturas!$A$2:$A$48,MATCH($AM374,Minculturas!$C$2:$C$48,0)),"#N/D"))</f>
        <v>#N/D</v>
      </c>
      <c r="K374" s="26" t="str">
        <f>IF($AO374,"#N/D",IFERROR(INDEX(Minculturas!$B$2:$B$48,MATCH($AM374,Minculturas!$C$2:$C$48,0)),"#N/D"))</f>
        <v>#N/D</v>
      </c>
      <c r="L374" s="27">
        <v>4</v>
      </c>
      <c r="M374" s="28">
        <v>0</v>
      </c>
      <c r="N374" s="28">
        <v>0</v>
      </c>
      <c r="O374" s="28">
        <v>1</v>
      </c>
      <c r="P374" s="28">
        <v>0</v>
      </c>
      <c r="Q374" s="28">
        <v>0</v>
      </c>
      <c r="R374" s="28">
        <v>0</v>
      </c>
      <c r="S374" s="28">
        <v>0</v>
      </c>
      <c r="T374" s="28">
        <v>1</v>
      </c>
      <c r="U374" s="28">
        <v>0</v>
      </c>
      <c r="V374" s="28">
        <v>0</v>
      </c>
      <c r="W374" s="28">
        <v>2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7">
        <f>SUM(Tabla43[[#This Row],[Edificación colapsada]:[Robo]])</f>
        <v>4</v>
      </c>
      <c r="AF374" s="28"/>
      <c r="AG374" s="28"/>
      <c r="AH374" s="28">
        <v>30.4</v>
      </c>
      <c r="AI374" s="28"/>
      <c r="AJ374" s="28"/>
      <c r="AK374" s="29" t="s">
        <v>246</v>
      </c>
      <c r="AM374" t="str">
        <f t="shared" si="20"/>
        <v>sincelejo</v>
      </c>
      <c r="AN374" t="str">
        <f t="shared" si="21"/>
        <v>sucre</v>
      </c>
      <c r="AO374" t="b">
        <f t="shared" si="22"/>
        <v>0</v>
      </c>
      <c r="AP374" t="str">
        <f t="shared" si="23"/>
        <v>sincelejo</v>
      </c>
    </row>
    <row r="375" spans="1:42" ht="25.5" customHeight="1" x14ac:dyDescent="0.25">
      <c r="A375" s="33" t="s">
        <v>207</v>
      </c>
      <c r="B375" s="11" t="s">
        <v>10</v>
      </c>
      <c r="C375" s="34" t="s">
        <v>112</v>
      </c>
      <c r="D375" s="69"/>
      <c r="E375" s="11" t="s">
        <v>208</v>
      </c>
      <c r="F375" s="25" t="s">
        <v>106</v>
      </c>
      <c r="G375" s="25" t="s">
        <v>106</v>
      </c>
      <c r="H375" s="26" t="s">
        <v>106</v>
      </c>
      <c r="I375" s="26" t="str">
        <f>IF($AO375,"#N/D",IFERROR(INDEX(Olimpiadas!$A$2:$A$61,MATCH($AM375,Olimpiadas!$C$2:$C$61,0)),"#N/D"))</f>
        <v>#N/D</v>
      </c>
      <c r="J375" s="26" t="str">
        <f>IF($AO375,"#N/D",IFERROR(INDEX(Minculturas!$A$2:$A$48,MATCH($AM375,Minculturas!$C$2:$C$48,0)),"#N/D"))</f>
        <v>#N/D</v>
      </c>
      <c r="K375" s="26" t="str">
        <f>IF($AO375,"#N/D",IFERROR(INDEX(Minculturas!$B$2:$B$48,MATCH($AM375,Minculturas!$C$2:$C$48,0)),"#N/D"))</f>
        <v>#N/D</v>
      </c>
      <c r="L375" s="27">
        <v>8</v>
      </c>
      <c r="M375" s="28">
        <v>0</v>
      </c>
      <c r="N375" s="28">
        <v>1</v>
      </c>
      <c r="O375" s="28">
        <v>3</v>
      </c>
      <c r="P375" s="28">
        <v>0</v>
      </c>
      <c r="Q375" s="28">
        <v>0</v>
      </c>
      <c r="R375" s="28">
        <v>4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7">
        <f>SUM(Tabla43[[#This Row],[Edificación colapsada]:[Robo]])</f>
        <v>8</v>
      </c>
      <c r="AF375" s="28"/>
      <c r="AG375" s="28"/>
      <c r="AH375" s="28">
        <v>37.9</v>
      </c>
      <c r="AI375" s="28"/>
      <c r="AJ375" s="28"/>
      <c r="AK375" s="29" t="s">
        <v>114</v>
      </c>
      <c r="AM375" t="str">
        <f t="shared" si="20"/>
        <v>sonson</v>
      </c>
      <c r="AN375" t="str">
        <f t="shared" si="21"/>
        <v>antioquia</v>
      </c>
      <c r="AO375" t="b">
        <f t="shared" si="22"/>
        <v>0</v>
      </c>
      <c r="AP375" t="str">
        <f t="shared" si="23"/>
        <v>sonson</v>
      </c>
    </row>
    <row r="376" spans="1:42" ht="25.5" customHeight="1" x14ac:dyDescent="0.25">
      <c r="A376" s="33" t="s">
        <v>653</v>
      </c>
      <c r="B376" s="11" t="s">
        <v>10</v>
      </c>
      <c r="C376" s="34" t="s">
        <v>112</v>
      </c>
      <c r="D376" s="69"/>
      <c r="E376" s="11" t="s">
        <v>654</v>
      </c>
      <c r="F376" s="25" t="s">
        <v>106</v>
      </c>
      <c r="G376" s="25" t="s">
        <v>106</v>
      </c>
      <c r="H376" s="26" t="s">
        <v>106</v>
      </c>
      <c r="I376" s="26" t="str">
        <f>IF($AO376,"#N/D",IFERROR(INDEX(Olimpiadas!$A$2:$A$61,MATCH($AM376,Olimpiadas!$C$2:$C$61,0)),"#N/D"))</f>
        <v>#N/D</v>
      </c>
      <c r="J376" s="26" t="str">
        <f>IF($AO376,"#N/D",IFERROR(INDEX(Minculturas!$A$2:$A$48,MATCH($AM376,Minculturas!$C$2:$C$48,0)),"#N/D"))</f>
        <v>#N/D</v>
      </c>
      <c r="K376" s="26" t="str">
        <f>IF($AO376,"#N/D",IFERROR(INDEX(Minculturas!$B$2:$B$48,MATCH($AM376,Minculturas!$C$2:$C$48,0)),"#N/D"))</f>
        <v>#N/D</v>
      </c>
      <c r="L376" s="27">
        <v>1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1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7">
        <f>SUM(Tabla43[[#This Row],[Edificación colapsada]:[Robo]])</f>
        <v>1</v>
      </c>
      <c r="AF376" s="28"/>
      <c r="AG376" s="28"/>
      <c r="AH376" s="28">
        <v>28.7</v>
      </c>
      <c r="AI376" s="28"/>
      <c r="AJ376" s="28"/>
      <c r="AK376" s="29" t="s">
        <v>365</v>
      </c>
      <c r="AM376" t="str">
        <f t="shared" si="20"/>
        <v>sopetran</v>
      </c>
      <c r="AN376" t="str">
        <f t="shared" si="21"/>
        <v>antioquia</v>
      </c>
      <c r="AO376" t="b">
        <f t="shared" si="22"/>
        <v>0</v>
      </c>
      <c r="AP376" t="str">
        <f t="shared" si="23"/>
        <v>sopetran</v>
      </c>
    </row>
    <row r="377" spans="1:42" ht="25.5" customHeight="1" x14ac:dyDescent="0.25">
      <c r="A377" s="33" t="s">
        <v>719</v>
      </c>
      <c r="B377" s="11" t="s">
        <v>28</v>
      </c>
      <c r="C377" s="34" t="s">
        <v>112</v>
      </c>
      <c r="D377" s="69"/>
      <c r="E377" s="11" t="s">
        <v>720</v>
      </c>
      <c r="F377" s="25" t="s">
        <v>106</v>
      </c>
      <c r="G377" s="25" t="s">
        <v>106</v>
      </c>
      <c r="H377" s="26" t="s">
        <v>106</v>
      </c>
      <c r="I377" s="26" t="str">
        <f>IF($AO377,"#N/D",IFERROR(INDEX(Olimpiadas!$A$2:$A$61,MATCH($AM377,Olimpiadas!$C$2:$C$61,0)),"#N/D"))</f>
        <v>#N/D</v>
      </c>
      <c r="J377" s="26" t="str">
        <f>IF($AO377,"#N/D",IFERROR(INDEX(Minculturas!$A$2:$A$48,MATCH($AM377,Minculturas!$C$2:$C$48,0)),"#N/D"))</f>
        <v>#N/D</v>
      </c>
      <c r="K377" s="26" t="str">
        <f>IF($AO377,"#N/D",IFERROR(INDEX(Minculturas!$B$2:$B$48,MATCH($AM377,Minculturas!$C$2:$C$48,0)),"#N/D"))</f>
        <v>#N/D</v>
      </c>
      <c r="L377" s="27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7">
        <f>SUM(Tabla43[[#This Row],[Edificación colapsada]:[Robo]])</f>
        <v>0</v>
      </c>
      <c r="AF377" s="28"/>
      <c r="AG377" s="28"/>
      <c r="AH377" s="28">
        <v>32.299999999999997</v>
      </c>
      <c r="AI377" s="28"/>
      <c r="AJ377" s="28"/>
      <c r="AK377" s="29" t="s">
        <v>246</v>
      </c>
      <c r="AM377" t="str">
        <f t="shared" si="20"/>
        <v>sotara</v>
      </c>
      <c r="AN377" t="str">
        <f t="shared" si="21"/>
        <v>cauca</v>
      </c>
      <c r="AO377" t="b">
        <f t="shared" si="22"/>
        <v>0</v>
      </c>
      <c r="AP377" t="str">
        <f t="shared" si="23"/>
        <v>sotara</v>
      </c>
    </row>
    <row r="378" spans="1:42" ht="25.5" customHeight="1" x14ac:dyDescent="0.25">
      <c r="A378" s="33" t="s">
        <v>446</v>
      </c>
      <c r="B378" s="11" t="s">
        <v>28</v>
      </c>
      <c r="C378" s="34" t="s">
        <v>112</v>
      </c>
      <c r="D378" s="69"/>
      <c r="E378" s="11" t="s">
        <v>447</v>
      </c>
      <c r="F378" s="25" t="s">
        <v>106</v>
      </c>
      <c r="G378" s="25" t="s">
        <v>106</v>
      </c>
      <c r="H378" s="26" t="s">
        <v>106</v>
      </c>
      <c r="I378" s="26" t="str">
        <f>IF($AO378,"#N/D",IFERROR(INDEX(Olimpiadas!$A$2:$A$61,MATCH($AM378,Olimpiadas!$C$2:$C$61,0)),"#N/D"))</f>
        <v>#N/D</v>
      </c>
      <c r="J378" s="26" t="str">
        <f>IF($AO378,"#N/D",IFERROR(INDEX(Minculturas!$A$2:$A$48,MATCH($AM378,Minculturas!$C$2:$C$48,0)),"#N/D"))</f>
        <v>#N/D</v>
      </c>
      <c r="K378" s="26" t="str">
        <f>IF($AO378,"#N/D",IFERROR(INDEX(Minculturas!$B$2:$B$48,MATCH($AM378,Minculturas!$C$2:$C$48,0)),"#N/D"))</f>
        <v>#N/D</v>
      </c>
      <c r="L378" s="27">
        <v>2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1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1</v>
      </c>
      <c r="AA378" s="28">
        <v>0</v>
      </c>
      <c r="AB378" s="28">
        <v>0</v>
      </c>
      <c r="AC378" s="28">
        <v>0</v>
      </c>
      <c r="AD378" s="28">
        <v>0</v>
      </c>
      <c r="AE378" s="27">
        <f>SUM(Tabla43[[#This Row],[Edificación colapsada]:[Robo]])</f>
        <v>2</v>
      </c>
      <c r="AF378" s="28"/>
      <c r="AG378" s="28"/>
      <c r="AH378" s="28">
        <v>44.1</v>
      </c>
      <c r="AI378" s="28"/>
      <c r="AJ378" s="28"/>
      <c r="AK378" s="29" t="s">
        <v>114</v>
      </c>
      <c r="AM378" t="str">
        <f t="shared" si="20"/>
        <v>suarez</v>
      </c>
      <c r="AN378" t="str">
        <f t="shared" si="21"/>
        <v>cauca</v>
      </c>
      <c r="AO378" t="b">
        <f t="shared" si="22"/>
        <v>1</v>
      </c>
      <c r="AP378" t="str">
        <f t="shared" si="23"/>
        <v>suarez|cauca</v>
      </c>
    </row>
    <row r="379" spans="1:42" ht="25.5" customHeight="1" x14ac:dyDescent="0.25">
      <c r="A379" s="33" t="s">
        <v>570</v>
      </c>
      <c r="B379" s="11" t="s">
        <v>48</v>
      </c>
      <c r="C379" s="34" t="s">
        <v>112</v>
      </c>
      <c r="D379" s="69"/>
      <c r="E379" s="11" t="s">
        <v>447</v>
      </c>
      <c r="F379" s="25" t="s">
        <v>106</v>
      </c>
      <c r="G379" s="25" t="s">
        <v>106</v>
      </c>
      <c r="H379" s="26" t="s">
        <v>106</v>
      </c>
      <c r="I379" s="26" t="str">
        <f>IF($AO379,"#N/D",IFERROR(INDEX(Olimpiadas!$A$2:$A$61,MATCH($AM379,Olimpiadas!$C$2:$C$61,0)),"#N/D"))</f>
        <v>#N/D</v>
      </c>
      <c r="J379" s="26" t="str">
        <f>IF($AO379,"#N/D",IFERROR(INDEX(Minculturas!$A$2:$A$48,MATCH($AM379,Minculturas!$C$2:$C$48,0)),"#N/D"))</f>
        <v>#N/D</v>
      </c>
      <c r="K379" s="26" t="str">
        <f>IF($AO379,"#N/D",IFERROR(INDEX(Minculturas!$B$2:$B$48,MATCH($AM379,Minculturas!$C$2:$C$48,0)),"#N/D"))</f>
        <v>#N/D</v>
      </c>
      <c r="L379" s="27">
        <v>1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1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7">
        <f>SUM(Tabla43[[#This Row],[Edificación colapsada]:[Robo]])</f>
        <v>1</v>
      </c>
      <c r="AF379" s="28"/>
      <c r="AG379" s="28"/>
      <c r="AH379" s="28">
        <v>34.299999999999997</v>
      </c>
      <c r="AI379" s="28"/>
      <c r="AJ379" s="28"/>
      <c r="AK379" s="29" t="s">
        <v>549</v>
      </c>
      <c r="AM379" t="str">
        <f t="shared" si="20"/>
        <v>suarez</v>
      </c>
      <c r="AN379" t="str">
        <f t="shared" si="21"/>
        <v>tolima</v>
      </c>
      <c r="AO379" t="b">
        <f t="shared" si="22"/>
        <v>1</v>
      </c>
      <c r="AP379" t="str">
        <f t="shared" si="23"/>
        <v>suarez|tolima</v>
      </c>
    </row>
    <row r="380" spans="1:42" ht="25.5" customHeight="1" x14ac:dyDescent="0.25">
      <c r="A380" s="33" t="s">
        <v>808</v>
      </c>
      <c r="B380" s="11" t="s">
        <v>35</v>
      </c>
      <c r="C380" s="34" t="s">
        <v>112</v>
      </c>
      <c r="D380" s="69"/>
      <c r="E380" s="11" t="s">
        <v>809</v>
      </c>
      <c r="F380" s="25" t="s">
        <v>106</v>
      </c>
      <c r="G380" s="25" t="s">
        <v>106</v>
      </c>
      <c r="H380" s="26" t="s">
        <v>106</v>
      </c>
      <c r="I380" s="26" t="str">
        <f>IF($AO380,"#N/D",IFERROR(INDEX(Olimpiadas!$A$2:$A$61,MATCH($AM380,Olimpiadas!$C$2:$C$61,0)),"#N/D"))</f>
        <v>#N/D</v>
      </c>
      <c r="J380" s="26" t="str">
        <f>IF($AO380,"#N/D",IFERROR(INDEX(Minculturas!$A$2:$A$48,MATCH($AM380,Minculturas!$C$2:$C$48,0)),"#N/D"))</f>
        <v>#N/D</v>
      </c>
      <c r="K380" s="26" t="str">
        <f>IF($AO380,"#N/D",IFERROR(INDEX(Minculturas!$B$2:$B$48,MATCH($AM380,Minculturas!$C$2:$C$48,0)),"#N/D"))</f>
        <v>#N/D</v>
      </c>
      <c r="L380" s="27">
        <v>1</v>
      </c>
      <c r="M380" s="28">
        <v>0</v>
      </c>
      <c r="N380" s="28">
        <v>0</v>
      </c>
      <c r="O380" s="28">
        <v>0</v>
      </c>
      <c r="P380" s="28">
        <v>0</v>
      </c>
      <c r="Q380" s="28">
        <v>1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7">
        <f>SUM(Tabla43[[#This Row],[Edificación colapsada]:[Robo]])</f>
        <v>1</v>
      </c>
      <c r="AF380" s="28"/>
      <c r="AG380" s="28"/>
      <c r="AH380" s="28">
        <v>12.6</v>
      </c>
      <c r="AI380" s="28"/>
      <c r="AJ380" s="28"/>
      <c r="AK380" s="29" t="s">
        <v>114</v>
      </c>
      <c r="AM380" t="str">
        <f t="shared" si="20"/>
        <v>subachoque</v>
      </c>
      <c r="AN380" t="str">
        <f t="shared" si="21"/>
        <v>cundinamarca</v>
      </c>
      <c r="AO380" t="b">
        <f t="shared" si="22"/>
        <v>0</v>
      </c>
      <c r="AP380" t="str">
        <f t="shared" si="23"/>
        <v>subachoque</v>
      </c>
    </row>
    <row r="381" spans="1:42" ht="25.5" customHeight="1" x14ac:dyDescent="0.25">
      <c r="A381" s="33" t="s">
        <v>721</v>
      </c>
      <c r="B381" s="11" t="s">
        <v>28</v>
      </c>
      <c r="C381" s="34" t="s">
        <v>112</v>
      </c>
      <c r="D381" s="69"/>
      <c r="E381" s="11" t="s">
        <v>47</v>
      </c>
      <c r="F381" s="25" t="s">
        <v>106</v>
      </c>
      <c r="G381" s="25" t="s">
        <v>106</v>
      </c>
      <c r="H381" s="26" t="s">
        <v>106</v>
      </c>
      <c r="I381" s="26" t="str">
        <f>IF($AO381,"#N/D",IFERROR(INDEX(Olimpiadas!$A$2:$A$61,MATCH($AM381,Olimpiadas!$C$2:$C$61,0)),"#N/D"))</f>
        <v>#N/D</v>
      </c>
      <c r="J381" s="26" t="str">
        <f>IF($AO381,"#N/D",IFERROR(INDEX(Minculturas!$A$2:$A$48,MATCH($AM381,Minculturas!$C$2:$C$48,0)),"#N/D"))</f>
        <v>#N/D</v>
      </c>
      <c r="K381" s="26" t="str">
        <f>IF($AO381,"#N/D",IFERROR(INDEX(Minculturas!$B$2:$B$48,MATCH($AM381,Minculturas!$C$2:$C$48,0)),"#N/D"))</f>
        <v>#N/D</v>
      </c>
      <c r="L381" s="27">
        <v>1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1</v>
      </c>
      <c r="AA381" s="28">
        <v>0</v>
      </c>
      <c r="AB381" s="28">
        <v>0</v>
      </c>
      <c r="AC381" s="28">
        <v>0</v>
      </c>
      <c r="AD381" s="28">
        <v>0</v>
      </c>
      <c r="AE381" s="27">
        <f>SUM(Tabla43[[#This Row],[Edificación colapsada]:[Robo]])</f>
        <v>1</v>
      </c>
      <c r="AF381" s="28"/>
      <c r="AG381" s="28"/>
      <c r="AH381" s="28">
        <v>75.5</v>
      </c>
      <c r="AI381" s="28"/>
      <c r="AJ381" s="28"/>
      <c r="AK381" s="29" t="s">
        <v>114</v>
      </c>
      <c r="AM381" t="str">
        <f t="shared" si="20"/>
        <v>sucre</v>
      </c>
      <c r="AN381" t="str">
        <f t="shared" si="21"/>
        <v>cauca</v>
      </c>
      <c r="AO381" t="b">
        <f t="shared" si="22"/>
        <v>0</v>
      </c>
      <c r="AP381" t="str">
        <f t="shared" si="23"/>
        <v>sucre</v>
      </c>
    </row>
    <row r="382" spans="1:42" ht="25.5" customHeight="1" x14ac:dyDescent="0.25">
      <c r="A382" s="33" t="s">
        <v>396</v>
      </c>
      <c r="B382" s="11" t="s">
        <v>24</v>
      </c>
      <c r="C382" s="34" t="s">
        <v>112</v>
      </c>
      <c r="D382" s="69"/>
      <c r="E382" s="11" t="s">
        <v>397</v>
      </c>
      <c r="F382" s="25" t="s">
        <v>106</v>
      </c>
      <c r="G382" s="25" t="s">
        <v>106</v>
      </c>
      <c r="H382" s="26" t="s">
        <v>106</v>
      </c>
      <c r="I382" s="26" t="str">
        <f>IF($AO382,"#N/D",IFERROR(INDEX(Olimpiadas!$A$2:$A$61,MATCH($AM382,Olimpiadas!$C$2:$C$61,0)),"#N/D"))</f>
        <v>#N/D</v>
      </c>
      <c r="J382" s="26" t="str">
        <f>IF($AO382,"#N/D",IFERROR(INDEX(Minculturas!$A$2:$A$48,MATCH($AM382,Minculturas!$C$2:$C$48,0)),"#N/D"))</f>
        <v>#N/D</v>
      </c>
      <c r="K382" s="26" t="str">
        <f>IF($AO382,"#N/D",IFERROR(INDEX(Minculturas!$B$2:$B$48,MATCH($AM382,Minculturas!$C$2:$C$48,0)),"#N/D"))</f>
        <v>#N/D</v>
      </c>
      <c r="L382" s="27">
        <v>6</v>
      </c>
      <c r="M382" s="28">
        <v>0</v>
      </c>
      <c r="N382" s="28">
        <v>3</v>
      </c>
      <c r="O382" s="28">
        <v>0</v>
      </c>
      <c r="P382" s="28">
        <v>1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2</v>
      </c>
      <c r="AA382" s="28">
        <v>0</v>
      </c>
      <c r="AB382" s="28">
        <v>0</v>
      </c>
      <c r="AC382" s="28">
        <v>0</v>
      </c>
      <c r="AD382" s="28">
        <v>0</v>
      </c>
      <c r="AE382" s="27">
        <f>SUM(Tabla43[[#This Row],[Edificación colapsada]:[Robo]])</f>
        <v>6</v>
      </c>
      <c r="AF382" s="28"/>
      <c r="AG382" s="28"/>
      <c r="AH382" s="28">
        <v>31.3</v>
      </c>
      <c r="AI382" s="28"/>
      <c r="AJ382" s="28"/>
      <c r="AK382" s="29" t="s">
        <v>114</v>
      </c>
      <c r="AM382" t="str">
        <f t="shared" si="20"/>
        <v>supia</v>
      </c>
      <c r="AN382" t="str">
        <f t="shared" si="21"/>
        <v>caldas</v>
      </c>
      <c r="AO382" t="b">
        <f t="shared" si="22"/>
        <v>0</v>
      </c>
      <c r="AP382" t="str">
        <f t="shared" si="23"/>
        <v>supia</v>
      </c>
    </row>
    <row r="383" spans="1:42" ht="25.5" customHeight="1" x14ac:dyDescent="0.25">
      <c r="A383" s="33" t="s">
        <v>722</v>
      </c>
      <c r="B383" s="11" t="s">
        <v>31</v>
      </c>
      <c r="C383" s="34" t="s">
        <v>112</v>
      </c>
      <c r="D383" s="69"/>
      <c r="E383" s="11" t="s">
        <v>723</v>
      </c>
      <c r="F383" s="25" t="s">
        <v>106</v>
      </c>
      <c r="G383" s="25" t="s">
        <v>106</v>
      </c>
      <c r="H383" s="26" t="s">
        <v>106</v>
      </c>
      <c r="I383" s="26" t="str">
        <f>IF($AO383,"#N/D",IFERROR(INDEX(Olimpiadas!$A$2:$A$61,MATCH($AM383,Olimpiadas!$C$2:$C$61,0)),"#N/D"))</f>
        <v>#N/D</v>
      </c>
      <c r="J383" s="26" t="str">
        <f>IF($AO383,"#N/D",IFERROR(INDEX(Minculturas!$A$2:$A$48,MATCH($AM383,Minculturas!$C$2:$C$48,0)),"#N/D"))</f>
        <v>#N/D</v>
      </c>
      <c r="K383" s="26" t="str">
        <f>IF($AO383,"#N/D",IFERROR(INDEX(Minculturas!$B$2:$B$48,MATCH($AM383,Minculturas!$C$2:$C$48,0)),"#N/D"))</f>
        <v>#N/D</v>
      </c>
      <c r="L383" s="27">
        <v>12</v>
      </c>
      <c r="M383" s="28">
        <v>0</v>
      </c>
      <c r="N383" s="28">
        <v>3</v>
      </c>
      <c r="O383" s="28">
        <v>5</v>
      </c>
      <c r="P383" s="28">
        <v>1</v>
      </c>
      <c r="Q383" s="28">
        <v>0</v>
      </c>
      <c r="R383" s="28">
        <v>1</v>
      </c>
      <c r="S383" s="28">
        <v>0</v>
      </c>
      <c r="T383" s="28">
        <v>0</v>
      </c>
      <c r="U383" s="28">
        <v>0</v>
      </c>
      <c r="V383" s="28">
        <v>0</v>
      </c>
      <c r="W383" s="28">
        <v>1</v>
      </c>
      <c r="X383" s="28">
        <v>1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7">
        <f>SUM(Tabla43[[#This Row],[Edificación colapsada]:[Robo]])</f>
        <v>12</v>
      </c>
      <c r="AF383" s="28" t="s">
        <v>305</v>
      </c>
      <c r="AG383" s="28" t="s">
        <v>724</v>
      </c>
      <c r="AH383" s="28">
        <v>59.9</v>
      </c>
      <c r="AI383" s="28"/>
      <c r="AJ383" s="28"/>
      <c r="AK383" s="29" t="s">
        <v>114</v>
      </c>
      <c r="AM383" t="str">
        <f t="shared" si="20"/>
        <v>tado</v>
      </c>
      <c r="AN383" t="str">
        <f t="shared" si="21"/>
        <v>choco</v>
      </c>
      <c r="AO383" t="b">
        <f t="shared" si="22"/>
        <v>0</v>
      </c>
      <c r="AP383" t="str">
        <f t="shared" si="23"/>
        <v>tado</v>
      </c>
    </row>
    <row r="384" spans="1:42" ht="25.5" customHeight="1" x14ac:dyDescent="0.25">
      <c r="A384" s="33" t="s">
        <v>209</v>
      </c>
      <c r="B384" s="11" t="s">
        <v>10</v>
      </c>
      <c r="C384" s="34" t="s">
        <v>112</v>
      </c>
      <c r="D384" s="69"/>
      <c r="E384" s="11" t="s">
        <v>210</v>
      </c>
      <c r="F384" s="25" t="s">
        <v>106</v>
      </c>
      <c r="G384" s="25" t="s">
        <v>106</v>
      </c>
      <c r="H384" s="26" t="s">
        <v>106</v>
      </c>
      <c r="I384" s="26" t="str">
        <f>IF($AO384,"#N/D",IFERROR(INDEX(Olimpiadas!$A$2:$A$61,MATCH($AM384,Olimpiadas!$C$2:$C$61,0)),"#N/D"))</f>
        <v>#N/D</v>
      </c>
      <c r="J384" s="26" t="str">
        <f>IF($AO384,"#N/D",IFERROR(INDEX(Minculturas!$A$2:$A$48,MATCH($AM384,Minculturas!$C$2:$C$48,0)),"#N/D"))</f>
        <v>#N/D</v>
      </c>
      <c r="K384" s="26" t="str">
        <f>IF($AO384,"#N/D",IFERROR(INDEX(Minculturas!$B$2:$B$48,MATCH($AM384,Minculturas!$C$2:$C$48,0)),"#N/D"))</f>
        <v>#N/D</v>
      </c>
      <c r="L384" s="27">
        <v>11</v>
      </c>
      <c r="M384" s="28">
        <v>0</v>
      </c>
      <c r="N384" s="28">
        <v>2</v>
      </c>
      <c r="O384" s="28">
        <v>1</v>
      </c>
      <c r="P384" s="28">
        <v>0</v>
      </c>
      <c r="Q384" s="28">
        <v>4</v>
      </c>
      <c r="R384" s="28">
        <v>2</v>
      </c>
      <c r="S384" s="28">
        <v>1</v>
      </c>
      <c r="T384" s="28">
        <v>0</v>
      </c>
      <c r="U384" s="28">
        <v>1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7">
        <f>SUM(Tabla43[[#This Row],[Edificación colapsada]:[Robo]])</f>
        <v>11</v>
      </c>
      <c r="AF384" s="28"/>
      <c r="AG384" s="28"/>
      <c r="AH384" s="28">
        <v>36.6</v>
      </c>
      <c r="AI384" s="28"/>
      <c r="AJ384" s="28"/>
      <c r="AK384" s="29" t="s">
        <v>114</v>
      </c>
      <c r="AM384" t="str">
        <f t="shared" si="20"/>
        <v>tamesis</v>
      </c>
      <c r="AN384" t="str">
        <f t="shared" si="21"/>
        <v>antioquia</v>
      </c>
      <c r="AO384" t="b">
        <f t="shared" si="22"/>
        <v>0</v>
      </c>
      <c r="AP384" t="str">
        <f t="shared" si="23"/>
        <v>tamesis</v>
      </c>
    </row>
    <row r="385" spans="1:42" ht="25.5" customHeight="1" x14ac:dyDescent="0.25">
      <c r="A385" s="33" t="s">
        <v>959</v>
      </c>
      <c r="B385" s="11" t="s">
        <v>10</v>
      </c>
      <c r="C385" s="34" t="s">
        <v>112</v>
      </c>
      <c r="D385" s="69"/>
      <c r="E385" s="11" t="s">
        <v>960</v>
      </c>
      <c r="F385" s="25" t="s">
        <v>106</v>
      </c>
      <c r="G385" s="25" t="s">
        <v>106</v>
      </c>
      <c r="H385" s="26" t="s">
        <v>106</v>
      </c>
      <c r="I385" s="26" t="str">
        <f>IF($AO385,"#N/D",IFERROR(INDEX(Olimpiadas!$A$2:$A$61,MATCH($AM385,Olimpiadas!$C$2:$C$61,0)),"#N/D"))</f>
        <v>#N/D</v>
      </c>
      <c r="J385" s="26" t="str">
        <f>IF($AO385,"#N/D",IFERROR(INDEX(Minculturas!$A$2:$A$48,MATCH($AM385,Minculturas!$C$2:$C$48,0)),"#N/D"))</f>
        <v>#N/D</v>
      </c>
      <c r="K385" s="26" t="str">
        <f>IF($AO385,"#N/D",IFERROR(INDEX(Minculturas!$B$2:$B$48,MATCH($AM385,Minculturas!$C$2:$C$48,0)),"#N/D"))</f>
        <v>#N/D</v>
      </c>
      <c r="L385" s="27">
        <v>1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1</v>
      </c>
      <c r="AA385" s="28">
        <v>0</v>
      </c>
      <c r="AB385" s="28">
        <v>0</v>
      </c>
      <c r="AC385" s="28">
        <v>0</v>
      </c>
      <c r="AD385" s="28">
        <v>0</v>
      </c>
      <c r="AE385" s="27">
        <f>SUM(Tabla43[[#This Row],[Edificación colapsada]:[Robo]])</f>
        <v>1</v>
      </c>
      <c r="AF385" s="28"/>
      <c r="AG385" s="28"/>
      <c r="AH385" s="28">
        <v>42.6</v>
      </c>
      <c r="AI385" s="28"/>
      <c r="AJ385" s="28"/>
      <c r="AK385" s="29" t="s">
        <v>114</v>
      </c>
      <c r="AM385" t="str">
        <f t="shared" si="20"/>
        <v>tarso</v>
      </c>
      <c r="AN385" t="str">
        <f t="shared" si="21"/>
        <v>antioquia</v>
      </c>
      <c r="AO385" t="b">
        <f t="shared" si="22"/>
        <v>0</v>
      </c>
      <c r="AP385" t="str">
        <f t="shared" si="23"/>
        <v>tarso</v>
      </c>
    </row>
    <row r="386" spans="1:42" ht="25.5" customHeight="1" x14ac:dyDescent="0.25">
      <c r="A386" s="33" t="s">
        <v>144</v>
      </c>
      <c r="B386" s="11" t="s">
        <v>37</v>
      </c>
      <c r="C386" s="34" t="s">
        <v>112</v>
      </c>
      <c r="D386" s="69"/>
      <c r="E386" s="11" t="s">
        <v>145</v>
      </c>
      <c r="F386" s="25" t="s">
        <v>106</v>
      </c>
      <c r="G386" s="25" t="s">
        <v>106</v>
      </c>
      <c r="H386" s="26" t="s">
        <v>106</v>
      </c>
      <c r="I386" s="26" t="str">
        <f>IF($AO386,"#N/D",IFERROR(INDEX(Olimpiadas!$A$2:$A$61,MATCH($AM386,Olimpiadas!$C$2:$C$61,0)),"#N/D"))</f>
        <v>#N/D</v>
      </c>
      <c r="J386" s="26" t="str">
        <f>IF($AO386,"#N/D",IFERROR(INDEX(Minculturas!$A$2:$A$48,MATCH($AM386,Minculturas!$C$2:$C$48,0)),"#N/D"))</f>
        <v>#N/D</v>
      </c>
      <c r="K386" s="26" t="str">
        <f>IF($AO386,"#N/D",IFERROR(INDEX(Minculturas!$B$2:$B$48,MATCH($AM386,Minculturas!$C$2:$C$48,0)),"#N/D"))</f>
        <v>#N/D</v>
      </c>
      <c r="L386" s="27">
        <v>8</v>
      </c>
      <c r="M386" s="28">
        <v>0</v>
      </c>
      <c r="N386" s="28">
        <v>0</v>
      </c>
      <c r="O386" s="28">
        <v>2</v>
      </c>
      <c r="P386" s="28">
        <v>1</v>
      </c>
      <c r="Q386" s="28">
        <v>4</v>
      </c>
      <c r="R386" s="28">
        <v>0</v>
      </c>
      <c r="S386" s="28">
        <v>0</v>
      </c>
      <c r="T386" s="28">
        <v>1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7">
        <f>SUM(Tabla43[[#This Row],[Edificación colapsada]:[Robo]])</f>
        <v>8</v>
      </c>
      <c r="AF386" s="28" t="s">
        <v>146</v>
      </c>
      <c r="AG386" s="28" t="s">
        <v>147</v>
      </c>
      <c r="AH386" s="28">
        <v>44.5</v>
      </c>
      <c r="AI386" s="28"/>
      <c r="AJ386" s="28"/>
      <c r="AK386" s="29" t="s">
        <v>114</v>
      </c>
      <c r="AM386" t="str">
        <f t="shared" ref="AM386:AM433" si="24">TRIM(SUBSTITUTE(SUBSTITUTE(SUBSTITUTE(SUBSTITUTE(SUBSTITUTE(SUBSTITUTE(SUBSTITUTE(SUBSTITUTE(SUBSTITUTE(LOWER(E386),"á","a"),"é","e"),"í","i"),"ó","o"),"ú","u"),"ñ","n"),"-"," "),","," "),"."," "))</f>
        <v>tello</v>
      </c>
      <c r="AN386" t="str">
        <f t="shared" ref="AN386:AN433" si="25">TRIM(SUBSTITUTE(SUBSTITUTE(SUBSTITUTE(SUBSTITUTE(SUBSTITUTE(SUBSTITUTE(SUBSTITUTE(SUBSTITUTE(SUBSTITUTE(LOWER(B386),"á","a"),"é","e"),"í","i"),"ó","o"),"ú","u"),"ñ","n"),"-"," "),","," "),"."," "))</f>
        <v>huila</v>
      </c>
      <c r="AO386" t="b">
        <f t="shared" ref="AO386:AO433" si="26">COUNTIF($AM$2:$AM$433,AM386)&gt;COUNTIFS($AM$2:$AM$433,AM386,$AN$2:$AN$433,AN386)</f>
        <v>0</v>
      </c>
      <c r="AP386" t="str">
        <f t="shared" ref="AP386:AP433" si="27">IF(AO386,AM386&amp;"|"&amp;AN386,AM386)</f>
        <v>tello</v>
      </c>
    </row>
    <row r="387" spans="1:42" ht="25.5" customHeight="1" x14ac:dyDescent="0.25">
      <c r="A387" s="33" t="s">
        <v>748</v>
      </c>
      <c r="B387" s="11" t="s">
        <v>37</v>
      </c>
      <c r="C387" s="34" t="s">
        <v>112</v>
      </c>
      <c r="D387" s="69"/>
      <c r="E387" s="11" t="s">
        <v>749</v>
      </c>
      <c r="F387" s="25" t="s">
        <v>750</v>
      </c>
      <c r="G387" s="25" t="s">
        <v>749</v>
      </c>
      <c r="H387" s="26" t="s">
        <v>106</v>
      </c>
      <c r="I387" s="26" t="str">
        <f>IF($AO387,"#N/D",IFERROR(INDEX(Olimpiadas!$A$2:$A$61,MATCH($AM387,Olimpiadas!$C$2:$C$61,0)),"#N/D"))</f>
        <v>#N/D</v>
      </c>
      <c r="J387" s="26" t="str">
        <f>IF($AO387,"#N/D",IFERROR(INDEX(Minculturas!$A$2:$A$48,MATCH($AM387,Minculturas!$C$2:$C$48,0)),"#N/D"))</f>
        <v>#N/D</v>
      </c>
      <c r="K387" s="26" t="str">
        <f>IF($AO387,"#N/D",IFERROR(INDEX(Minculturas!$B$2:$B$48,MATCH($AM387,Minculturas!$C$2:$C$48,0)),"#N/D"))</f>
        <v>#N/D</v>
      </c>
      <c r="L387" s="27">
        <v>1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1</v>
      </c>
      <c r="AA387" s="28">
        <v>0</v>
      </c>
      <c r="AB387" s="28">
        <v>0</v>
      </c>
      <c r="AC387" s="28">
        <v>0</v>
      </c>
      <c r="AD387" s="28">
        <v>0</v>
      </c>
      <c r="AE387" s="27">
        <f>SUM(Tabla43[[#This Row],[Edificación colapsada]:[Robo]])</f>
        <v>1</v>
      </c>
      <c r="AF387" s="28"/>
      <c r="AG387" s="28"/>
      <c r="AH387" s="28">
        <v>39.9</v>
      </c>
      <c r="AI387" s="28"/>
      <c r="AJ387" s="28"/>
      <c r="AK387" s="29" t="s">
        <v>246</v>
      </c>
      <c r="AM387" t="str">
        <f t="shared" si="24"/>
        <v>teruel</v>
      </c>
      <c r="AN387" t="str">
        <f t="shared" si="25"/>
        <v>huila</v>
      </c>
      <c r="AO387" t="b">
        <f t="shared" si="26"/>
        <v>0</v>
      </c>
      <c r="AP387" t="str">
        <f t="shared" si="27"/>
        <v>teruel</v>
      </c>
    </row>
    <row r="388" spans="1:42" ht="25.5" customHeight="1" x14ac:dyDescent="0.25">
      <c r="A388" s="33" t="s">
        <v>1209</v>
      </c>
      <c r="B388" s="11" t="s">
        <v>35</v>
      </c>
      <c r="C388" s="34" t="s">
        <v>112</v>
      </c>
      <c r="D388" s="69"/>
      <c r="E388" s="11" t="s">
        <v>1210</v>
      </c>
      <c r="F388" s="25" t="s">
        <v>106</v>
      </c>
      <c r="G388" s="25" t="s">
        <v>106</v>
      </c>
      <c r="H388" s="26" t="s">
        <v>106</v>
      </c>
      <c r="I388" s="26" t="str">
        <f>IF($AO388,"#N/D",IFERROR(INDEX(Olimpiadas!$A$2:$A$61,MATCH($AM388,Olimpiadas!$C$2:$C$61,0)),"#N/D"))</f>
        <v>#N/D</v>
      </c>
      <c r="J388" s="26" t="str">
        <f>IF($AO388,"#N/D",IFERROR(INDEX(Minculturas!$A$2:$A$48,MATCH($AM388,Minculturas!$C$2:$C$48,0)),"#N/D"))</f>
        <v>#N/D</v>
      </c>
      <c r="K388" s="26" t="str">
        <f>IF($AO388,"#N/D",IFERROR(INDEX(Minculturas!$B$2:$B$48,MATCH($AM388,Minculturas!$C$2:$C$48,0)),"#N/D"))</f>
        <v>#N/D</v>
      </c>
      <c r="L388" s="27">
        <v>1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1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7">
        <f>SUM(Tabla43[[#This Row],[Edificación colapsada]:[Robo]])</f>
        <v>1</v>
      </c>
      <c r="AF388" s="28"/>
      <c r="AG388" s="28"/>
      <c r="AH388" s="28">
        <v>27.4</v>
      </c>
      <c r="AI388" s="28"/>
      <c r="AJ388" s="28"/>
      <c r="AK388" s="29" t="s">
        <v>246</v>
      </c>
      <c r="AM388" t="str">
        <f t="shared" si="24"/>
        <v>tibacuy</v>
      </c>
      <c r="AN388" t="str">
        <f t="shared" si="25"/>
        <v>cundinamarca</v>
      </c>
      <c r="AO388" t="b">
        <f t="shared" si="26"/>
        <v>0</v>
      </c>
      <c r="AP388" t="str">
        <f t="shared" si="27"/>
        <v>tibacuy</v>
      </c>
    </row>
    <row r="389" spans="1:42" ht="25.5" customHeight="1" x14ac:dyDescent="0.25">
      <c r="A389" s="33" t="s">
        <v>301</v>
      </c>
      <c r="B389" s="11" t="s">
        <v>37</v>
      </c>
      <c r="C389" s="34" t="s">
        <v>112</v>
      </c>
      <c r="D389" s="69"/>
      <c r="E389" s="11" t="s">
        <v>302</v>
      </c>
      <c r="F389" s="25" t="s">
        <v>106</v>
      </c>
      <c r="G389" s="25" t="s">
        <v>106</v>
      </c>
      <c r="H389" s="26" t="s">
        <v>302</v>
      </c>
      <c r="I389" s="26" t="str">
        <f>IF($AO389,"#N/D",IFERROR(INDEX(Olimpiadas!$A$2:$A$61,MATCH($AM389,Olimpiadas!$C$2:$C$61,0)),"#N/D"))</f>
        <v>INSTITUCIÓN EDUCATIVA CASCAJAL</v>
      </c>
      <c r="J389" s="26" t="str">
        <f>IF($AO389,"#N/D",IFERROR(INDEX(Minculturas!$A$2:$A$48,MATCH($AM389,Minculturas!$C$2:$C$48,0)),"#N/D"))</f>
        <v>#N/D</v>
      </c>
      <c r="K389" s="26" t="str">
        <f>IF($AO389,"#N/D",IFERROR(INDEX(Minculturas!$B$2:$B$48,MATCH($AM389,Minculturas!$C$2:$C$48,0)),"#N/D"))</f>
        <v>#N/D</v>
      </c>
      <c r="L389" s="27">
        <v>2</v>
      </c>
      <c r="M389" s="28">
        <v>0</v>
      </c>
      <c r="N389" s="28">
        <v>0</v>
      </c>
      <c r="O389" s="28">
        <v>0</v>
      </c>
      <c r="P389" s="28">
        <v>0</v>
      </c>
      <c r="Q389" s="28">
        <v>1</v>
      </c>
      <c r="R389" s="28">
        <v>0</v>
      </c>
      <c r="S389" s="28">
        <v>0</v>
      </c>
      <c r="T389" s="28">
        <v>1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7">
        <f>SUM(Tabla43[[#This Row],[Edificación colapsada]:[Robo]])</f>
        <v>2</v>
      </c>
      <c r="AF389" s="28"/>
      <c r="AG389" s="28"/>
      <c r="AH389" s="28">
        <v>40.799999999999997</v>
      </c>
      <c r="AI389" s="28"/>
      <c r="AJ389" s="28"/>
      <c r="AK389" s="29" t="s">
        <v>114</v>
      </c>
      <c r="AM389" t="str">
        <f t="shared" si="24"/>
        <v>timana</v>
      </c>
      <c r="AN389" t="str">
        <f t="shared" si="25"/>
        <v>huila</v>
      </c>
      <c r="AO389" t="b">
        <f t="shared" si="26"/>
        <v>0</v>
      </c>
      <c r="AP389" t="str">
        <f t="shared" si="27"/>
        <v>timana</v>
      </c>
    </row>
    <row r="390" spans="1:42" ht="25.5" customHeight="1" x14ac:dyDescent="0.25">
      <c r="A390" s="33" t="s">
        <v>725</v>
      </c>
      <c r="B390" s="11" t="s">
        <v>28</v>
      </c>
      <c r="C390" s="34" t="s">
        <v>112</v>
      </c>
      <c r="D390" s="69"/>
      <c r="E390" s="11" t="s">
        <v>726</v>
      </c>
      <c r="F390" s="25" t="s">
        <v>106</v>
      </c>
      <c r="G390" s="25" t="s">
        <v>106</v>
      </c>
      <c r="H390" s="26" t="s">
        <v>106</v>
      </c>
      <c r="I390" s="26" t="str">
        <f>IF($AO390,"#N/D",IFERROR(INDEX(Olimpiadas!$A$2:$A$61,MATCH($AM390,Olimpiadas!$C$2:$C$61,0)),"#N/D"))</f>
        <v>#N/D</v>
      </c>
      <c r="J390" s="26" t="str">
        <f>IF($AO390,"#N/D",IFERROR(INDEX(Minculturas!$A$2:$A$48,MATCH($AM390,Minculturas!$C$2:$C$48,0)),"#N/D"))</f>
        <v>#N/D</v>
      </c>
      <c r="K390" s="26" t="str">
        <f>IF($AO390,"#N/D",IFERROR(INDEX(Minculturas!$B$2:$B$48,MATCH($AM390,Minculturas!$C$2:$C$48,0)),"#N/D"))</f>
        <v>#N/D</v>
      </c>
      <c r="L390" s="27">
        <v>1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1</v>
      </c>
      <c r="AA390" s="28">
        <v>0</v>
      </c>
      <c r="AB390" s="28">
        <v>0</v>
      </c>
      <c r="AC390" s="28">
        <v>0</v>
      </c>
      <c r="AD390" s="28">
        <v>0</v>
      </c>
      <c r="AE390" s="27">
        <f>SUM(Tabla43[[#This Row],[Edificación colapsada]:[Robo]])</f>
        <v>1</v>
      </c>
      <c r="AF390" s="28"/>
      <c r="AG390" s="28"/>
      <c r="AH390" s="28">
        <v>35.700000000000003</v>
      </c>
      <c r="AI390" s="28"/>
      <c r="AJ390" s="28"/>
      <c r="AK390" s="29" t="s">
        <v>114</v>
      </c>
      <c r="AM390" t="str">
        <f t="shared" si="24"/>
        <v>timbio</v>
      </c>
      <c r="AN390" t="str">
        <f t="shared" si="25"/>
        <v>cauca</v>
      </c>
      <c r="AO390" t="b">
        <f t="shared" si="26"/>
        <v>0</v>
      </c>
      <c r="AP390" t="str">
        <f t="shared" si="27"/>
        <v>timbio</v>
      </c>
    </row>
    <row r="391" spans="1:42" ht="25.5" customHeight="1" x14ac:dyDescent="0.25">
      <c r="A391" s="33" t="s">
        <v>727</v>
      </c>
      <c r="B391" s="11" t="s">
        <v>28</v>
      </c>
      <c r="C391" s="34" t="s">
        <v>112</v>
      </c>
      <c r="D391" s="69"/>
      <c r="E391" s="11" t="s">
        <v>728</v>
      </c>
      <c r="F391" s="25" t="s">
        <v>106</v>
      </c>
      <c r="G391" s="25" t="s">
        <v>106</v>
      </c>
      <c r="H391" s="26" t="s">
        <v>106</v>
      </c>
      <c r="I391" s="26" t="str">
        <f>IF($AO391,"#N/D",IFERROR(INDEX(Olimpiadas!$A$2:$A$61,MATCH($AM391,Olimpiadas!$C$2:$C$61,0)),"#N/D"))</f>
        <v>#N/D</v>
      </c>
      <c r="J391" s="26" t="str">
        <f>IF($AO391,"#N/D",IFERROR(INDEX(Minculturas!$A$2:$A$48,MATCH($AM391,Minculturas!$C$2:$C$48,0)),"#N/D"))</f>
        <v>#N/D</v>
      </c>
      <c r="K391" s="26" t="str">
        <f>IF($AO391,"#N/D",IFERROR(INDEX(Minculturas!$B$2:$B$48,MATCH($AM391,Minculturas!$C$2:$C$48,0)),"#N/D"))</f>
        <v>#N/D</v>
      </c>
      <c r="L391" s="27">
        <v>1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1</v>
      </c>
      <c r="AA391" s="28">
        <v>0</v>
      </c>
      <c r="AB391" s="28">
        <v>0</v>
      </c>
      <c r="AC391" s="28">
        <v>0</v>
      </c>
      <c r="AD391" s="28">
        <v>0</v>
      </c>
      <c r="AE391" s="27">
        <f>SUM(Tabla43[[#This Row],[Edificación colapsada]:[Robo]])</f>
        <v>1</v>
      </c>
      <c r="AF391" s="28"/>
      <c r="AG391" s="28"/>
      <c r="AH391" s="28">
        <v>72.400000000000006</v>
      </c>
      <c r="AI391" s="28"/>
      <c r="AJ391" s="28"/>
      <c r="AK391" s="29" t="s">
        <v>114</v>
      </c>
      <c r="AM391" t="str">
        <f t="shared" si="24"/>
        <v>timbiqui</v>
      </c>
      <c r="AN391" t="str">
        <f t="shared" si="25"/>
        <v>cauca</v>
      </c>
      <c r="AO391" t="b">
        <f t="shared" si="26"/>
        <v>0</v>
      </c>
      <c r="AP391" t="str">
        <f t="shared" si="27"/>
        <v>timbiqui</v>
      </c>
    </row>
    <row r="392" spans="1:42" ht="25.5" customHeight="1" x14ac:dyDescent="0.25">
      <c r="A392" s="33" t="s">
        <v>398</v>
      </c>
      <c r="B392" s="11" t="s">
        <v>10</v>
      </c>
      <c r="C392" s="34" t="s">
        <v>112</v>
      </c>
      <c r="D392" s="69"/>
      <c r="E392" s="11" t="s">
        <v>399</v>
      </c>
      <c r="F392" s="25" t="s">
        <v>106</v>
      </c>
      <c r="G392" s="25" t="s">
        <v>106</v>
      </c>
      <c r="H392" s="26" t="s">
        <v>106</v>
      </c>
      <c r="I392" s="26" t="str">
        <f>IF($AO392,"#N/D",IFERROR(INDEX(Olimpiadas!$A$2:$A$61,MATCH($AM392,Olimpiadas!$C$2:$C$61,0)),"#N/D"))</f>
        <v>#N/D</v>
      </c>
      <c r="J392" s="26" t="str">
        <f>IF($AO392,"#N/D",IFERROR(INDEX(Minculturas!$A$2:$A$48,MATCH($AM392,Minculturas!$C$2:$C$48,0)),"#N/D"))</f>
        <v>#N/D</v>
      </c>
      <c r="K392" s="26" t="str">
        <f>IF($AO392,"#N/D",IFERROR(INDEX(Minculturas!$B$2:$B$48,MATCH($AM392,Minculturas!$C$2:$C$48,0)),"#N/D"))</f>
        <v>#N/D</v>
      </c>
      <c r="L392" s="27">
        <v>3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2</v>
      </c>
      <c r="S392" s="28">
        <v>0</v>
      </c>
      <c r="T392" s="28">
        <v>1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  <c r="AC392" s="28">
        <v>0</v>
      </c>
      <c r="AD392" s="28">
        <v>0</v>
      </c>
      <c r="AE392" s="27">
        <f>SUM(Tabla43[[#This Row],[Edificación colapsada]:[Robo]])</f>
        <v>3</v>
      </c>
      <c r="AF392" s="28"/>
      <c r="AG392" s="28"/>
      <c r="AH392" s="28">
        <v>30.3</v>
      </c>
      <c r="AI392" s="28"/>
      <c r="AJ392" s="28"/>
      <c r="AK392" s="29" t="s">
        <v>114</v>
      </c>
      <c r="AM392" t="str">
        <f t="shared" si="24"/>
        <v>titiribi</v>
      </c>
      <c r="AN392" t="str">
        <f t="shared" si="25"/>
        <v>antioquia</v>
      </c>
      <c r="AO392" t="b">
        <f t="shared" si="26"/>
        <v>0</v>
      </c>
      <c r="AP392" t="str">
        <f t="shared" si="27"/>
        <v>titiribi</v>
      </c>
    </row>
    <row r="393" spans="1:42" ht="25.5" customHeight="1" x14ac:dyDescent="0.25">
      <c r="A393" s="33" t="s">
        <v>843</v>
      </c>
      <c r="B393" s="11" t="s">
        <v>10</v>
      </c>
      <c r="C393" s="34" t="s">
        <v>112</v>
      </c>
      <c r="D393" s="69"/>
      <c r="E393" s="11" t="s">
        <v>844</v>
      </c>
      <c r="F393" s="25" t="s">
        <v>845</v>
      </c>
      <c r="G393" s="25" t="s">
        <v>844</v>
      </c>
      <c r="H393" s="26" t="s">
        <v>106</v>
      </c>
      <c r="I393" s="26" t="str">
        <f>IF($AO393,"#N/D",IFERROR(INDEX(Olimpiadas!$A$2:$A$61,MATCH($AM393,Olimpiadas!$C$2:$C$61,0)),"#N/D"))</f>
        <v>#N/D</v>
      </c>
      <c r="J393" s="26" t="str">
        <f>IF($AO393,"#N/D",IFERROR(INDEX(Minculturas!$A$2:$A$48,MATCH($AM393,Minculturas!$C$2:$C$48,0)),"#N/D"))</f>
        <v>#N/D</v>
      </c>
      <c r="K393" s="26" t="str">
        <f>IF($AO393,"#N/D",IFERROR(INDEX(Minculturas!$B$2:$B$48,MATCH($AM393,Minculturas!$C$2:$C$48,0)),"#N/D"))</f>
        <v>#N/D</v>
      </c>
      <c r="L393" s="27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7">
        <f>SUM(Tabla43[[#This Row],[Edificación colapsada]:[Robo]])</f>
        <v>0</v>
      </c>
      <c r="AF393" s="28"/>
      <c r="AG393" s="28"/>
      <c r="AH393" s="28">
        <v>53.5</v>
      </c>
      <c r="AI393" s="28"/>
      <c r="AJ393" s="28"/>
      <c r="AK393" s="29" t="s">
        <v>365</v>
      </c>
      <c r="AM393" t="str">
        <f t="shared" si="24"/>
        <v>toledo</v>
      </c>
      <c r="AN393" t="str">
        <f t="shared" si="25"/>
        <v>antioquia</v>
      </c>
      <c r="AO393" t="b">
        <f t="shared" si="26"/>
        <v>0</v>
      </c>
      <c r="AP393" t="str">
        <f t="shared" si="27"/>
        <v>toledo</v>
      </c>
    </row>
    <row r="394" spans="1:42" ht="25.5" customHeight="1" x14ac:dyDescent="0.25">
      <c r="A394" s="33" t="s">
        <v>448</v>
      </c>
      <c r="B394" s="11" t="s">
        <v>28</v>
      </c>
      <c r="C394" s="34" t="s">
        <v>112</v>
      </c>
      <c r="D394" s="69"/>
      <c r="E394" s="11" t="s">
        <v>449</v>
      </c>
      <c r="F394" s="25" t="s">
        <v>106</v>
      </c>
      <c r="G394" s="25" t="s">
        <v>106</v>
      </c>
      <c r="H394" s="26" t="s">
        <v>106</v>
      </c>
      <c r="I394" s="26" t="str">
        <f>IF($AO394,"#N/D",IFERROR(INDEX(Olimpiadas!$A$2:$A$61,MATCH($AM394,Olimpiadas!$C$2:$C$61,0)),"#N/D"))</f>
        <v>#N/D</v>
      </c>
      <c r="J394" s="26" t="str">
        <f>IF($AO394,"#N/D",IFERROR(INDEX(Minculturas!$A$2:$A$48,MATCH($AM394,Minculturas!$C$2:$C$48,0)),"#N/D"))</f>
        <v>#N/D</v>
      </c>
      <c r="K394" s="26" t="str">
        <f>IF($AO394,"#N/D",IFERROR(INDEX(Minculturas!$B$2:$B$48,MATCH($AM394,Minculturas!$C$2:$C$48,0)),"#N/D"))</f>
        <v>#N/D</v>
      </c>
      <c r="L394" s="27">
        <v>1</v>
      </c>
      <c r="M394" s="28">
        <v>0</v>
      </c>
      <c r="N394" s="28">
        <v>0</v>
      </c>
      <c r="O394" s="28">
        <v>0</v>
      </c>
      <c r="P394" s="28">
        <v>1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7">
        <f>SUM(Tabla43[[#This Row],[Edificación colapsada]:[Robo]])</f>
        <v>1</v>
      </c>
      <c r="AF394" s="28"/>
      <c r="AG394" s="28"/>
      <c r="AH394" s="28">
        <v>45.1</v>
      </c>
      <c r="AI394" s="28"/>
      <c r="AJ394" s="28"/>
      <c r="AK394" s="29" t="s">
        <v>114</v>
      </c>
      <c r="AM394" t="str">
        <f t="shared" si="24"/>
        <v>toribio</v>
      </c>
      <c r="AN394" t="str">
        <f t="shared" si="25"/>
        <v>cauca</v>
      </c>
      <c r="AO394" t="b">
        <f t="shared" si="26"/>
        <v>0</v>
      </c>
      <c r="AP394" t="str">
        <f t="shared" si="27"/>
        <v>toribio</v>
      </c>
    </row>
    <row r="395" spans="1:42" ht="25.5" customHeight="1" x14ac:dyDescent="0.25">
      <c r="A395" s="33" t="s">
        <v>1093</v>
      </c>
      <c r="B395" s="11" t="s">
        <v>49</v>
      </c>
      <c r="C395" s="34" t="s">
        <v>112</v>
      </c>
      <c r="D395" s="69"/>
      <c r="E395" s="11" t="s">
        <v>1094</v>
      </c>
      <c r="F395" s="25" t="s">
        <v>106</v>
      </c>
      <c r="G395" s="25" t="s">
        <v>106</v>
      </c>
      <c r="H395" s="26" t="s">
        <v>106</v>
      </c>
      <c r="I395" s="26" t="str">
        <f>IF($AO395,"#N/D",IFERROR(INDEX(Olimpiadas!$A$2:$A$61,MATCH($AM395,Olimpiadas!$C$2:$C$61,0)),"#N/D"))</f>
        <v>#N/D</v>
      </c>
      <c r="J395" s="26" t="str">
        <f>IF($AO395,"#N/D",IFERROR(INDEX(Minculturas!$A$2:$A$48,MATCH($AM395,Minculturas!$C$2:$C$48,0)),"#N/D"))</f>
        <v>#N/D</v>
      </c>
      <c r="K395" s="26" t="str">
        <f>IF($AO395,"#N/D",IFERROR(INDEX(Minculturas!$B$2:$B$48,MATCH($AM395,Minculturas!$C$2:$C$48,0)),"#N/D"))</f>
        <v>#N/D</v>
      </c>
      <c r="L395" s="27">
        <v>2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2</v>
      </c>
      <c r="AA395" s="28">
        <v>0</v>
      </c>
      <c r="AB395" s="28">
        <v>0</v>
      </c>
      <c r="AC395" s="28">
        <v>0</v>
      </c>
      <c r="AD395" s="28">
        <v>0</v>
      </c>
      <c r="AE395" s="27">
        <f>SUM(Tabla43[[#This Row],[Edificación colapsada]:[Robo]])</f>
        <v>2</v>
      </c>
      <c r="AF395" s="28" t="s">
        <v>1095</v>
      </c>
      <c r="AG395" s="28" t="s">
        <v>1096</v>
      </c>
      <c r="AH395" s="28">
        <v>32.1</v>
      </c>
      <c r="AI395" s="28"/>
      <c r="AJ395" s="28"/>
      <c r="AK395" s="29" t="s">
        <v>246</v>
      </c>
      <c r="AM395" t="str">
        <f t="shared" si="24"/>
        <v>toro</v>
      </c>
      <c r="AN395" t="str">
        <f t="shared" si="25"/>
        <v>valle del cauca</v>
      </c>
      <c r="AO395" t="b">
        <f t="shared" si="26"/>
        <v>0</v>
      </c>
      <c r="AP395" t="str">
        <f t="shared" si="27"/>
        <v>toro</v>
      </c>
    </row>
    <row r="396" spans="1:42" ht="25.5" customHeight="1" x14ac:dyDescent="0.25">
      <c r="A396" s="33" t="s">
        <v>249</v>
      </c>
      <c r="B396" s="11" t="s">
        <v>28</v>
      </c>
      <c r="C396" s="34" t="s">
        <v>112</v>
      </c>
      <c r="D396" s="69"/>
      <c r="E396" s="11" t="s">
        <v>250</v>
      </c>
      <c r="F396" s="25" t="s">
        <v>106</v>
      </c>
      <c r="G396" s="25" t="s">
        <v>106</v>
      </c>
      <c r="H396" s="26" t="s">
        <v>106</v>
      </c>
      <c r="I396" s="26" t="str">
        <f>IF($AO396,"#N/D",IFERROR(INDEX(Olimpiadas!$A$2:$A$61,MATCH($AM396,Olimpiadas!$C$2:$C$61,0)),"#N/D"))</f>
        <v>#N/D</v>
      </c>
      <c r="J396" s="26" t="str">
        <f>IF($AO396,"#N/D",IFERROR(INDEX(Minculturas!$A$2:$A$48,MATCH($AM396,Minculturas!$C$2:$C$48,0)),"#N/D"))</f>
        <v>#N/D</v>
      </c>
      <c r="K396" s="26" t="str">
        <f>IF($AO396,"#N/D",IFERROR(INDEX(Minculturas!$B$2:$B$48,MATCH($AM396,Minculturas!$C$2:$C$48,0)),"#N/D"))</f>
        <v>#N/D</v>
      </c>
      <c r="L396" s="27">
        <v>2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1</v>
      </c>
      <c r="S396" s="28">
        <v>1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0</v>
      </c>
      <c r="AC396" s="28">
        <v>0</v>
      </c>
      <c r="AD396" s="28">
        <v>0</v>
      </c>
      <c r="AE396" s="27">
        <f>SUM(Tabla43[[#This Row],[Edificación colapsada]:[Robo]])</f>
        <v>2</v>
      </c>
      <c r="AF396" s="28"/>
      <c r="AG396" s="28"/>
      <c r="AH396" s="28">
        <v>55.1</v>
      </c>
      <c r="AI396" s="28"/>
      <c r="AJ396" s="28"/>
      <c r="AK396" s="29" t="s">
        <v>114</v>
      </c>
      <c r="AM396" t="str">
        <f t="shared" si="24"/>
        <v>totoro</v>
      </c>
      <c r="AN396" t="str">
        <f t="shared" si="25"/>
        <v>cauca</v>
      </c>
      <c r="AO396" t="b">
        <f t="shared" si="26"/>
        <v>0</v>
      </c>
      <c r="AP396" t="str">
        <f t="shared" si="27"/>
        <v>totoro</v>
      </c>
    </row>
    <row r="397" spans="1:42" ht="25.5" customHeight="1" x14ac:dyDescent="0.25">
      <c r="A397" s="33" t="s">
        <v>478</v>
      </c>
      <c r="B397" s="11" t="s">
        <v>49</v>
      </c>
      <c r="C397" s="34" t="s">
        <v>112</v>
      </c>
      <c r="D397" s="69"/>
      <c r="E397" s="11" t="s">
        <v>479</v>
      </c>
      <c r="F397" s="25" t="s">
        <v>480</v>
      </c>
      <c r="G397" s="25" t="s">
        <v>479</v>
      </c>
      <c r="H397" s="26" t="s">
        <v>106</v>
      </c>
      <c r="I397" s="26" t="str">
        <f>IF($AO397,"#N/D",IFERROR(INDEX(Olimpiadas!$A$2:$A$61,MATCH($AM397,Olimpiadas!$C$2:$C$61,0)),"#N/D"))</f>
        <v>#N/D</v>
      </c>
      <c r="J397" s="26" t="str">
        <f>IF($AO397,"#N/D",IFERROR(INDEX(Minculturas!$A$2:$A$48,MATCH($AM397,Minculturas!$C$2:$C$48,0)),"#N/D"))</f>
        <v>#N/D</v>
      </c>
      <c r="K397" s="26" t="str">
        <f>IF($AO397,"#N/D",IFERROR(INDEX(Minculturas!$B$2:$B$48,MATCH($AM397,Minculturas!$C$2:$C$48,0)),"#N/D"))</f>
        <v>#N/D</v>
      </c>
      <c r="L397" s="27">
        <v>2</v>
      </c>
      <c r="M397" s="28">
        <v>0</v>
      </c>
      <c r="N397" s="28">
        <v>0</v>
      </c>
      <c r="O397" s="28">
        <v>2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7">
        <f>SUM(Tabla43[[#This Row],[Edificación colapsada]:[Robo]])</f>
        <v>2</v>
      </c>
      <c r="AF397" s="28" t="s">
        <v>481</v>
      </c>
      <c r="AG397" s="28" t="s">
        <v>482</v>
      </c>
      <c r="AH397" s="28">
        <v>34.9</v>
      </c>
      <c r="AI397" s="28"/>
      <c r="AJ397" s="28"/>
      <c r="AK397" s="29" t="s">
        <v>114</v>
      </c>
      <c r="AM397" t="str">
        <f t="shared" si="24"/>
        <v>trujillo</v>
      </c>
      <c r="AN397" t="str">
        <f t="shared" si="25"/>
        <v>valle del cauca</v>
      </c>
      <c r="AO397" t="b">
        <f t="shared" si="26"/>
        <v>0</v>
      </c>
      <c r="AP397" t="str">
        <f t="shared" si="27"/>
        <v>trujillo</v>
      </c>
    </row>
    <row r="398" spans="1:42" ht="25.5" customHeight="1" x14ac:dyDescent="0.25">
      <c r="A398" s="33" t="s">
        <v>1012</v>
      </c>
      <c r="B398" s="11" t="s">
        <v>49</v>
      </c>
      <c r="C398" s="34" t="s">
        <v>112</v>
      </c>
      <c r="D398" s="69"/>
      <c r="E398" s="11" t="s">
        <v>1013</v>
      </c>
      <c r="F398" s="25" t="s">
        <v>1014</v>
      </c>
      <c r="G398" s="25" t="s">
        <v>1013</v>
      </c>
      <c r="H398" s="26" t="s">
        <v>106</v>
      </c>
      <c r="I398" s="26" t="str">
        <f>IF($AO398,"#N/D",IFERROR(INDEX(Olimpiadas!$A$2:$A$61,MATCH($AM398,Olimpiadas!$C$2:$C$61,0)),"#N/D"))</f>
        <v>#N/D</v>
      </c>
      <c r="J398" s="26" t="str">
        <f>IF($AO398,"#N/D",IFERROR(INDEX(Minculturas!$A$2:$A$48,MATCH($AM398,Minculturas!$C$2:$C$48,0)),"#N/D"))</f>
        <v>#N/D</v>
      </c>
      <c r="K398" s="26" t="str">
        <f>IF($AO398,"#N/D",IFERROR(INDEX(Minculturas!$B$2:$B$48,MATCH($AM398,Minculturas!$C$2:$C$48,0)),"#N/D"))</f>
        <v>#N/D</v>
      </c>
      <c r="L398" s="27">
        <v>34</v>
      </c>
      <c r="M398" s="28">
        <v>0</v>
      </c>
      <c r="N398" s="28">
        <v>9</v>
      </c>
      <c r="O398" s="28">
        <v>9</v>
      </c>
      <c r="P398" s="28">
        <v>1</v>
      </c>
      <c r="Q398" s="28">
        <v>1</v>
      </c>
      <c r="R398" s="28">
        <v>6</v>
      </c>
      <c r="S398" s="28">
        <v>1</v>
      </c>
      <c r="T398" s="28">
        <v>0</v>
      </c>
      <c r="U398" s="28">
        <v>0</v>
      </c>
      <c r="V398" s="28">
        <v>0</v>
      </c>
      <c r="W398" s="28">
        <v>4</v>
      </c>
      <c r="X398" s="28">
        <v>0</v>
      </c>
      <c r="Y398" s="28">
        <v>0</v>
      </c>
      <c r="Z398" s="28">
        <v>3</v>
      </c>
      <c r="AA398" s="28">
        <v>0</v>
      </c>
      <c r="AB398" s="28">
        <v>0</v>
      </c>
      <c r="AC398" s="28">
        <v>0</v>
      </c>
      <c r="AD398" s="28">
        <v>0</v>
      </c>
      <c r="AE398" s="27">
        <f>SUM(Tabla43[[#This Row],[Edificación colapsada]:[Robo]])</f>
        <v>34</v>
      </c>
      <c r="AF398" s="28" t="s">
        <v>1015</v>
      </c>
      <c r="AG398" s="28" t="s">
        <v>1016</v>
      </c>
      <c r="AH398" s="28">
        <v>13.7</v>
      </c>
      <c r="AI398" s="28"/>
      <c r="AJ398" s="28"/>
      <c r="AK398" s="29" t="s">
        <v>114</v>
      </c>
      <c r="AM398" t="str">
        <f t="shared" si="24"/>
        <v>tulua</v>
      </c>
      <c r="AN398" t="str">
        <f t="shared" si="25"/>
        <v>valle del cauca</v>
      </c>
      <c r="AO398" t="b">
        <f t="shared" si="26"/>
        <v>0</v>
      </c>
      <c r="AP398" t="str">
        <f t="shared" si="27"/>
        <v>tulua</v>
      </c>
    </row>
    <row r="399" spans="1:42" ht="25.5" customHeight="1" x14ac:dyDescent="0.25">
      <c r="A399" s="33" t="s">
        <v>148</v>
      </c>
      <c r="B399" s="11" t="s">
        <v>41</v>
      </c>
      <c r="C399" s="34" t="s">
        <v>112</v>
      </c>
      <c r="D399" s="69"/>
      <c r="E399" s="11" t="s">
        <v>149</v>
      </c>
      <c r="F399" s="25" t="s">
        <v>150</v>
      </c>
      <c r="G399" s="25" t="s">
        <v>149</v>
      </c>
      <c r="H399" s="26" t="s">
        <v>149</v>
      </c>
      <c r="I399" s="26" t="str">
        <f>IF($AO399,"#N/D",IFERROR(INDEX(Olimpiadas!$A$2:$A$61,MATCH($AM399,Olimpiadas!$C$2:$C$61,0)),"#N/D"))</f>
        <v>INSTITUCIÓN EDUCATIVA SANTA TERESITA</v>
      </c>
      <c r="J399" s="26" t="str">
        <f>IF($AO399,"#N/D",IFERROR(INDEX(Minculturas!$A$2:$A$48,MATCH($AM399,Minculturas!$C$2:$C$48,0)),"#N/D"))</f>
        <v>#N/D</v>
      </c>
      <c r="K399" s="26" t="str">
        <f>IF($AO399,"#N/D",IFERROR(INDEX(Minculturas!$B$2:$B$48,MATCH($AM399,Minculturas!$C$2:$C$48,0)),"#N/D"))</f>
        <v>#N/D</v>
      </c>
      <c r="L399" s="27">
        <v>3</v>
      </c>
      <c r="M399" s="28">
        <v>0</v>
      </c>
      <c r="N399" s="28">
        <v>2</v>
      </c>
      <c r="O399" s="28">
        <v>0</v>
      </c>
      <c r="P399" s="28">
        <v>0</v>
      </c>
      <c r="Q399" s="28">
        <v>0</v>
      </c>
      <c r="R399" s="28">
        <v>0</v>
      </c>
      <c r="S399" s="28">
        <v>1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7">
        <f>SUM(Tabla43[[#This Row],[Edificación colapsada]:[Robo]])</f>
        <v>3</v>
      </c>
      <c r="AF399" s="28"/>
      <c r="AG399" s="28"/>
      <c r="AH399" s="28">
        <v>53.7</v>
      </c>
      <c r="AI399" s="28"/>
      <c r="AJ399" s="28"/>
      <c r="AK399" s="29" t="s">
        <v>114</v>
      </c>
      <c r="AM399" t="str">
        <f t="shared" si="24"/>
        <v>tumaco</v>
      </c>
      <c r="AN399" t="str">
        <f t="shared" si="25"/>
        <v>narino</v>
      </c>
      <c r="AO399" t="b">
        <f t="shared" si="26"/>
        <v>0</v>
      </c>
      <c r="AP399" t="str">
        <f t="shared" si="27"/>
        <v>tumaco</v>
      </c>
    </row>
    <row r="400" spans="1:42" ht="25.5" customHeight="1" x14ac:dyDescent="0.25">
      <c r="A400" s="33" t="s">
        <v>1185</v>
      </c>
      <c r="B400" s="11" t="s">
        <v>22</v>
      </c>
      <c r="C400" s="34" t="s">
        <v>112</v>
      </c>
      <c r="D400" s="69"/>
      <c r="E400" s="11" t="s">
        <v>1186</v>
      </c>
      <c r="F400" s="25" t="s">
        <v>106</v>
      </c>
      <c r="G400" s="25" t="s">
        <v>106</v>
      </c>
      <c r="H400" s="26" t="s">
        <v>1186</v>
      </c>
      <c r="I400" s="26" t="str">
        <f>IF($AO400,"#N/D",IFERROR(INDEX(Olimpiadas!$A$2:$A$61,MATCH($AM400,Olimpiadas!$C$2:$C$61,0)),"#N/D"))</f>
        <v>INSTITUCIÓN EDUCATIVA SILVINO RODRÍGUEZ</v>
      </c>
      <c r="J400" s="26" t="str">
        <f>IF($AO400,"#N/D",IFERROR(INDEX(Minculturas!$A$2:$A$48,MATCH($AM400,Minculturas!$C$2:$C$48,0)),"#N/D"))</f>
        <v>#N/D</v>
      </c>
      <c r="K400" s="26" t="str">
        <f>IF($AO400,"#N/D",IFERROR(INDEX(Minculturas!$B$2:$B$48,MATCH($AM400,Minculturas!$C$2:$C$48,0)),"#N/D"))</f>
        <v>#N/D</v>
      </c>
      <c r="L400" s="27">
        <v>1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1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7">
        <f>SUM(Tabla43[[#This Row],[Edificación colapsada]:[Robo]])</f>
        <v>1</v>
      </c>
      <c r="AF400" s="28"/>
      <c r="AG400" s="28"/>
      <c r="AH400" s="28">
        <v>11.4</v>
      </c>
      <c r="AI400" s="28"/>
      <c r="AJ400" s="28"/>
      <c r="AK400" s="29" t="s">
        <v>114</v>
      </c>
      <c r="AM400" t="str">
        <f t="shared" si="24"/>
        <v>tunja</v>
      </c>
      <c r="AN400" t="str">
        <f t="shared" si="25"/>
        <v>boyaca</v>
      </c>
      <c r="AO400" t="b">
        <f t="shared" si="26"/>
        <v>0</v>
      </c>
      <c r="AP400" t="str">
        <f t="shared" si="27"/>
        <v>tunja</v>
      </c>
    </row>
    <row r="401" spans="1:42" ht="25.5" customHeight="1" x14ac:dyDescent="0.25">
      <c r="A401" s="33" t="s">
        <v>1160</v>
      </c>
      <c r="B401" s="11" t="s">
        <v>19</v>
      </c>
      <c r="C401" s="34" t="s">
        <v>112</v>
      </c>
      <c r="D401" s="69"/>
      <c r="E401" s="11" t="s">
        <v>1161</v>
      </c>
      <c r="F401" s="25" t="s">
        <v>106</v>
      </c>
      <c r="G401" s="25" t="s">
        <v>106</v>
      </c>
      <c r="H401" s="26" t="s">
        <v>106</v>
      </c>
      <c r="I401" s="26" t="str">
        <f>IF($AO401,"#N/D",IFERROR(INDEX(Olimpiadas!$A$2:$A$61,MATCH($AM401,Olimpiadas!$C$2:$C$61,0)),"#N/D"))</f>
        <v>#N/D</v>
      </c>
      <c r="J401" s="26" t="str">
        <f>IF($AO401,"#N/D",IFERROR(INDEX(Minculturas!$A$2:$A$48,MATCH($AM401,Minculturas!$C$2:$C$48,0)),"#N/D"))</f>
        <v>#N/D</v>
      </c>
      <c r="K401" s="26" t="str">
        <f>IF($AO401,"#N/D",IFERROR(INDEX(Minculturas!$B$2:$B$48,MATCH($AM401,Minculturas!$C$2:$C$48,0)),"#N/D"))</f>
        <v>#N/D</v>
      </c>
      <c r="L401" s="27">
        <v>1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1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  <c r="AC401" s="28">
        <v>0</v>
      </c>
      <c r="AD401" s="28">
        <v>0</v>
      </c>
      <c r="AE401" s="27">
        <f>SUM(Tabla43[[#This Row],[Edificación colapsada]:[Robo]])</f>
        <v>1</v>
      </c>
      <c r="AF401" s="28"/>
      <c r="AG401" s="28"/>
      <c r="AH401" s="28">
        <v>30.4</v>
      </c>
      <c r="AI401" s="28"/>
      <c r="AJ401" s="28"/>
      <c r="AK401" s="29" t="s">
        <v>114</v>
      </c>
      <c r="AM401" t="str">
        <f t="shared" si="24"/>
        <v>turbaco</v>
      </c>
      <c r="AN401" t="str">
        <f t="shared" si="25"/>
        <v>bolivar</v>
      </c>
      <c r="AO401" t="b">
        <f t="shared" si="26"/>
        <v>0</v>
      </c>
      <c r="AP401" t="str">
        <f t="shared" si="27"/>
        <v>turbaco</v>
      </c>
    </row>
    <row r="402" spans="1:42" ht="25.5" customHeight="1" x14ac:dyDescent="0.25">
      <c r="A402" s="33" t="s">
        <v>655</v>
      </c>
      <c r="B402" s="11" t="s">
        <v>10</v>
      </c>
      <c r="C402" s="34" t="s">
        <v>112</v>
      </c>
      <c r="D402" s="69"/>
      <c r="E402" s="11" t="s">
        <v>656</v>
      </c>
      <c r="F402" s="25" t="s">
        <v>106</v>
      </c>
      <c r="G402" s="25" t="s">
        <v>106</v>
      </c>
      <c r="H402" s="26" t="s">
        <v>106</v>
      </c>
      <c r="I402" s="26" t="str">
        <f>IF($AO402,"#N/D",IFERROR(INDEX(Olimpiadas!$A$2:$A$61,MATCH($AM402,Olimpiadas!$C$2:$C$61,0)),"#N/D"))</f>
        <v>#N/D</v>
      </c>
      <c r="J402" s="26" t="str">
        <f>IF($AO402,"#N/D",IFERROR(INDEX(Minculturas!$A$2:$A$48,MATCH($AM402,Minculturas!$C$2:$C$48,0)),"#N/D"))</f>
        <v>#N/D</v>
      </c>
      <c r="K402" s="26" t="str">
        <f>IF($AO402,"#N/D",IFERROR(INDEX(Minculturas!$B$2:$B$48,MATCH($AM402,Minculturas!$C$2:$C$48,0)),"#N/D"))</f>
        <v>#N/D</v>
      </c>
      <c r="L402" s="27">
        <v>1</v>
      </c>
      <c r="M402" s="28">
        <v>0</v>
      </c>
      <c r="N402" s="28">
        <v>0</v>
      </c>
      <c r="O402" s="28">
        <v>0</v>
      </c>
      <c r="P402" s="28">
        <v>0</v>
      </c>
      <c r="Q402" s="28">
        <v>1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  <c r="AC402" s="28">
        <v>0</v>
      </c>
      <c r="AD402" s="28">
        <v>0</v>
      </c>
      <c r="AE402" s="27">
        <f>SUM(Tabla43[[#This Row],[Edificación colapsada]:[Robo]])</f>
        <v>1</v>
      </c>
      <c r="AF402" s="28"/>
      <c r="AG402" s="28"/>
      <c r="AH402" s="28">
        <v>49.9</v>
      </c>
      <c r="AI402" s="28"/>
      <c r="AJ402" s="28"/>
      <c r="AK402" s="29" t="s">
        <v>657</v>
      </c>
      <c r="AM402" t="str">
        <f t="shared" si="24"/>
        <v>turbo</v>
      </c>
      <c r="AN402" t="str">
        <f t="shared" si="25"/>
        <v>antioquia</v>
      </c>
      <c r="AO402" t="b">
        <f t="shared" si="26"/>
        <v>0</v>
      </c>
      <c r="AP402" t="str">
        <f t="shared" si="27"/>
        <v>turbo</v>
      </c>
    </row>
    <row r="403" spans="1:42" ht="25.5" customHeight="1" x14ac:dyDescent="0.25">
      <c r="A403" s="33" t="s">
        <v>268</v>
      </c>
      <c r="B403" s="11" t="s">
        <v>35</v>
      </c>
      <c r="C403" s="34" t="s">
        <v>112</v>
      </c>
      <c r="D403" s="69"/>
      <c r="E403" s="11" t="s">
        <v>269</v>
      </c>
      <c r="F403" s="25" t="s">
        <v>270</v>
      </c>
      <c r="G403" s="25" t="s">
        <v>269</v>
      </c>
      <c r="H403" s="26" t="s">
        <v>106</v>
      </c>
      <c r="I403" s="26" t="str">
        <f>IF($AO403,"#N/D",IFERROR(INDEX(Olimpiadas!$A$2:$A$61,MATCH($AM403,Olimpiadas!$C$2:$C$61,0)),"#N/D"))</f>
        <v>#N/D</v>
      </c>
      <c r="J403" s="26" t="str">
        <f>IF($AO403,"#N/D",IFERROR(INDEX(Minculturas!$A$2:$A$48,MATCH($AM403,Minculturas!$C$2:$C$48,0)),"#N/D"))</f>
        <v>#N/D</v>
      </c>
      <c r="K403" s="26" t="str">
        <f>IF($AO403,"#N/D",IFERROR(INDEX(Minculturas!$B$2:$B$48,MATCH($AM403,Minculturas!$C$2:$C$48,0)),"#N/D"))</f>
        <v>#N/D</v>
      </c>
      <c r="L403" s="27">
        <v>5</v>
      </c>
      <c r="M403" s="28">
        <v>0</v>
      </c>
      <c r="N403" s="28">
        <v>2</v>
      </c>
      <c r="O403" s="28">
        <v>0</v>
      </c>
      <c r="P403" s="28">
        <v>0</v>
      </c>
      <c r="Q403" s="28">
        <v>3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  <c r="AC403" s="28">
        <v>0</v>
      </c>
      <c r="AD403" s="28">
        <v>0</v>
      </c>
      <c r="AE403" s="27">
        <f>SUM(Tabla43[[#This Row],[Edificación colapsada]:[Robo]])</f>
        <v>5</v>
      </c>
      <c r="AF403" s="28"/>
      <c r="AG403" s="28"/>
      <c r="AH403" s="28">
        <v>47</v>
      </c>
      <c r="AI403" s="28"/>
      <c r="AJ403" s="28"/>
      <c r="AK403" s="29" t="s">
        <v>246</v>
      </c>
      <c r="AM403" t="str">
        <f t="shared" si="24"/>
        <v>ubala</v>
      </c>
      <c r="AN403" t="str">
        <f t="shared" si="25"/>
        <v>cundinamarca</v>
      </c>
      <c r="AO403" t="b">
        <f t="shared" si="26"/>
        <v>0</v>
      </c>
      <c r="AP403" t="str">
        <f t="shared" si="27"/>
        <v>ubala</v>
      </c>
    </row>
    <row r="404" spans="1:42" ht="25.5" customHeight="1" x14ac:dyDescent="0.25">
      <c r="A404" s="33" t="s">
        <v>483</v>
      </c>
      <c r="B404" s="11" t="s">
        <v>49</v>
      </c>
      <c r="C404" s="34" t="s">
        <v>112</v>
      </c>
      <c r="D404" s="69"/>
      <c r="E404" s="11" t="s">
        <v>484</v>
      </c>
      <c r="F404" s="25" t="s">
        <v>485</v>
      </c>
      <c r="G404" s="25" t="s">
        <v>484</v>
      </c>
      <c r="H404" s="26" t="s">
        <v>106</v>
      </c>
      <c r="I404" s="26" t="str">
        <f>IF($AO404,"#N/D",IFERROR(INDEX(Olimpiadas!$A$2:$A$61,MATCH($AM404,Olimpiadas!$C$2:$C$61,0)),"#N/D"))</f>
        <v>#N/D</v>
      </c>
      <c r="J404" s="26" t="str">
        <f>IF($AO404,"#N/D",IFERROR(INDEX(Minculturas!$A$2:$A$48,MATCH($AM404,Minculturas!$C$2:$C$48,0)),"#N/D"))</f>
        <v>#N/D</v>
      </c>
      <c r="K404" s="26" t="str">
        <f>IF($AO404,"#N/D",IFERROR(INDEX(Minculturas!$B$2:$B$48,MATCH($AM404,Minculturas!$C$2:$C$48,0)),"#N/D"))</f>
        <v>#N/D</v>
      </c>
      <c r="L404" s="27">
        <v>2</v>
      </c>
      <c r="M404" s="28">
        <v>0</v>
      </c>
      <c r="N404" s="28">
        <v>1</v>
      </c>
      <c r="O404" s="28">
        <v>0</v>
      </c>
      <c r="P404" s="28">
        <v>0</v>
      </c>
      <c r="Q404" s="28">
        <v>0</v>
      </c>
      <c r="R404" s="28">
        <v>0</v>
      </c>
      <c r="S404" s="28">
        <v>1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0</v>
      </c>
      <c r="AC404" s="28">
        <v>0</v>
      </c>
      <c r="AD404" s="28">
        <v>0</v>
      </c>
      <c r="AE404" s="27">
        <f>SUM(Tabla43[[#This Row],[Edificación colapsada]:[Robo]])</f>
        <v>2</v>
      </c>
      <c r="AF404" s="28" t="s">
        <v>486</v>
      </c>
      <c r="AG404" s="28" t="s">
        <v>487</v>
      </c>
      <c r="AH404" s="28">
        <v>24.2</v>
      </c>
      <c r="AI404" s="28"/>
      <c r="AJ404" s="28"/>
      <c r="AK404" s="29" t="s">
        <v>246</v>
      </c>
      <c r="AM404" t="str">
        <f t="shared" si="24"/>
        <v>ulloa</v>
      </c>
      <c r="AN404" t="str">
        <f t="shared" si="25"/>
        <v>valle del cauca</v>
      </c>
      <c r="AO404" t="b">
        <f t="shared" si="26"/>
        <v>0</v>
      </c>
      <c r="AP404" t="str">
        <f t="shared" si="27"/>
        <v>ulloa</v>
      </c>
    </row>
    <row r="405" spans="1:42" ht="25.5" customHeight="1" x14ac:dyDescent="0.25">
      <c r="A405" s="33" t="s">
        <v>609</v>
      </c>
      <c r="B405" s="11" t="s">
        <v>31</v>
      </c>
      <c r="C405" s="34" t="s">
        <v>112</v>
      </c>
      <c r="D405" s="69"/>
      <c r="E405" s="11" t="s">
        <v>610</v>
      </c>
      <c r="F405" s="25" t="s">
        <v>611</v>
      </c>
      <c r="G405" s="25" t="s">
        <v>610</v>
      </c>
      <c r="H405" s="26" t="s">
        <v>106</v>
      </c>
      <c r="I405" s="26" t="str">
        <f>IF($AO405,"#N/D",IFERROR(INDEX(Olimpiadas!$A$2:$A$61,MATCH($AM405,Olimpiadas!$C$2:$C$61,0)),"#N/D"))</f>
        <v>#N/D</v>
      </c>
      <c r="J405" s="26" t="str">
        <f>IF($AO405,"#N/D",IFERROR(INDEX(Minculturas!$A$2:$A$48,MATCH($AM405,Minculturas!$C$2:$C$48,0)),"#N/D"))</f>
        <v>#N/D</v>
      </c>
      <c r="K405" s="26" t="str">
        <f>IF($AO405,"#N/D",IFERROR(INDEX(Minculturas!$B$2:$B$48,MATCH($AM405,Minculturas!$C$2:$C$48,0)),"#N/D"))</f>
        <v>#N/D</v>
      </c>
      <c r="L405" s="27">
        <v>8</v>
      </c>
      <c r="M405" s="28">
        <v>1</v>
      </c>
      <c r="N405" s="28">
        <v>0</v>
      </c>
      <c r="O405" s="28">
        <v>2</v>
      </c>
      <c r="P405" s="28">
        <v>0</v>
      </c>
      <c r="Q405" s="28">
        <v>1</v>
      </c>
      <c r="R405" s="28">
        <v>0</v>
      </c>
      <c r="S405" s="28">
        <v>0</v>
      </c>
      <c r="T405" s="28">
        <v>0</v>
      </c>
      <c r="U405" s="28">
        <v>0</v>
      </c>
      <c r="V405" s="28">
        <v>1</v>
      </c>
      <c r="W405" s="28">
        <v>1</v>
      </c>
      <c r="X405" s="28">
        <v>1</v>
      </c>
      <c r="Y405" s="28">
        <v>0</v>
      </c>
      <c r="Z405" s="28">
        <v>0</v>
      </c>
      <c r="AA405" s="28">
        <v>1</v>
      </c>
      <c r="AB405" s="28">
        <v>0</v>
      </c>
      <c r="AC405" s="28">
        <v>0</v>
      </c>
      <c r="AD405" s="28">
        <v>0</v>
      </c>
      <c r="AE405" s="27">
        <f>SUM(Tabla43[[#This Row],[Edificación colapsada]:[Robo]])</f>
        <v>8</v>
      </c>
      <c r="AF405" s="28"/>
      <c r="AG405" s="28"/>
      <c r="AH405" s="28">
        <v>57.4</v>
      </c>
      <c r="AI405" s="28"/>
      <c r="AJ405" s="28"/>
      <c r="AK405" s="29" t="s">
        <v>114</v>
      </c>
      <c r="AM405" t="str">
        <f t="shared" si="24"/>
        <v>union panamericana</v>
      </c>
      <c r="AN405" t="str">
        <f t="shared" si="25"/>
        <v>choco</v>
      </c>
      <c r="AO405" t="b">
        <f t="shared" si="26"/>
        <v>0</v>
      </c>
      <c r="AP405" t="str">
        <f t="shared" si="27"/>
        <v>union panamericana</v>
      </c>
    </row>
    <row r="406" spans="1:42" ht="25.5" customHeight="1" x14ac:dyDescent="0.25">
      <c r="A406" s="33" t="s">
        <v>961</v>
      </c>
      <c r="B406" s="11" t="s">
        <v>10</v>
      </c>
      <c r="C406" s="34" t="s">
        <v>112</v>
      </c>
      <c r="D406" s="69"/>
      <c r="E406" s="11" t="s">
        <v>962</v>
      </c>
      <c r="F406" s="25" t="s">
        <v>106</v>
      </c>
      <c r="G406" s="25" t="s">
        <v>106</v>
      </c>
      <c r="H406" s="26" t="s">
        <v>106</v>
      </c>
      <c r="I406" s="26" t="str">
        <f>IF($AO406,"#N/D",IFERROR(INDEX(Olimpiadas!$A$2:$A$61,MATCH($AM406,Olimpiadas!$C$2:$C$61,0)),"#N/D"))</f>
        <v>#N/D</v>
      </c>
      <c r="J406" s="26" t="str">
        <f>IF($AO406,"#N/D",IFERROR(INDEX(Minculturas!$A$2:$A$48,MATCH($AM406,Minculturas!$C$2:$C$48,0)),"#N/D"))</f>
        <v>#N/D</v>
      </c>
      <c r="K406" s="26" t="str">
        <f>IF($AO406,"#N/D",IFERROR(INDEX(Minculturas!$B$2:$B$48,MATCH($AM406,Minculturas!$C$2:$C$48,0)),"#N/D"))</f>
        <v>#N/D</v>
      </c>
      <c r="L406" s="27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7">
        <f>SUM(Tabla43[[#This Row],[Edificación colapsada]:[Robo]])</f>
        <v>0</v>
      </c>
      <c r="AF406" s="28"/>
      <c r="AG406" s="28"/>
      <c r="AH406" s="28">
        <v>55.6</v>
      </c>
      <c r="AI406" s="28"/>
      <c r="AJ406" s="28"/>
      <c r="AK406" s="29" t="s">
        <v>365</v>
      </c>
      <c r="AM406" t="str">
        <f t="shared" si="24"/>
        <v>uramita</v>
      </c>
      <c r="AN406" t="str">
        <f t="shared" si="25"/>
        <v>antioquia</v>
      </c>
      <c r="AO406" t="b">
        <f t="shared" si="26"/>
        <v>0</v>
      </c>
      <c r="AP406" t="str">
        <f t="shared" si="27"/>
        <v>uramita</v>
      </c>
    </row>
    <row r="407" spans="1:42" ht="25.5" customHeight="1" x14ac:dyDescent="0.25">
      <c r="A407" s="33" t="s">
        <v>400</v>
      </c>
      <c r="B407" s="11" t="s">
        <v>10</v>
      </c>
      <c r="C407" s="34" t="s">
        <v>112</v>
      </c>
      <c r="D407" s="69"/>
      <c r="E407" s="11" t="s">
        <v>401</v>
      </c>
      <c r="F407" s="25" t="s">
        <v>106</v>
      </c>
      <c r="G407" s="25" t="s">
        <v>106</v>
      </c>
      <c r="H407" s="26" t="s">
        <v>106</v>
      </c>
      <c r="I407" s="26" t="str">
        <f>IF($AO407,"#N/D",IFERROR(INDEX(Olimpiadas!$A$2:$A$61,MATCH($AM407,Olimpiadas!$C$2:$C$61,0)),"#N/D"))</f>
        <v>#N/D</v>
      </c>
      <c r="J407" s="26" t="str">
        <f>IF($AO407,"#N/D",IFERROR(INDEX(Minculturas!$A$2:$A$48,MATCH($AM407,Minculturas!$C$2:$C$48,0)),"#N/D"))</f>
        <v>#N/D</v>
      </c>
      <c r="K407" s="26" t="str">
        <f>IF($AO407,"#N/D",IFERROR(INDEX(Minculturas!$B$2:$B$48,MATCH($AM407,Minculturas!$C$2:$C$48,0)),"#N/D"))</f>
        <v>#N/D</v>
      </c>
      <c r="L407" s="27">
        <v>4</v>
      </c>
      <c r="M407" s="28">
        <v>0</v>
      </c>
      <c r="N407" s="28">
        <v>1</v>
      </c>
      <c r="O407" s="28">
        <v>0</v>
      </c>
      <c r="P407" s="28">
        <v>0</v>
      </c>
      <c r="Q407" s="28">
        <v>3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  <c r="AC407" s="28">
        <v>0</v>
      </c>
      <c r="AD407" s="28">
        <v>0</v>
      </c>
      <c r="AE407" s="27">
        <f>SUM(Tabla43[[#This Row],[Edificación colapsada]:[Robo]])</f>
        <v>4</v>
      </c>
      <c r="AF407" s="28"/>
      <c r="AG407" s="28"/>
      <c r="AH407" s="28">
        <v>46.1</v>
      </c>
      <c r="AI407" s="28"/>
      <c r="AJ407" s="28"/>
      <c r="AK407" s="29" t="s">
        <v>114</v>
      </c>
      <c r="AM407" t="str">
        <f t="shared" si="24"/>
        <v>urrao</v>
      </c>
      <c r="AN407" t="str">
        <f t="shared" si="25"/>
        <v>antioquia</v>
      </c>
      <c r="AO407" t="b">
        <f t="shared" si="26"/>
        <v>0</v>
      </c>
      <c r="AP407" t="str">
        <f t="shared" si="27"/>
        <v>urrao</v>
      </c>
    </row>
    <row r="408" spans="1:42" ht="25.5" customHeight="1" x14ac:dyDescent="0.25">
      <c r="A408" s="33" t="s">
        <v>963</v>
      </c>
      <c r="B408" s="11" t="s">
        <v>10</v>
      </c>
      <c r="C408" s="34" t="s">
        <v>112</v>
      </c>
      <c r="D408" s="69"/>
      <c r="E408" s="11" t="s">
        <v>964</v>
      </c>
      <c r="F408" s="25" t="s">
        <v>106</v>
      </c>
      <c r="G408" s="25" t="s">
        <v>106</v>
      </c>
      <c r="H408" s="26" t="s">
        <v>106</v>
      </c>
      <c r="I408" s="26" t="str">
        <f>IF($AO408,"#N/D",IFERROR(INDEX(Olimpiadas!$A$2:$A$61,MATCH($AM408,Olimpiadas!$C$2:$C$61,0)),"#N/D"))</f>
        <v>#N/D</v>
      </c>
      <c r="J408" s="26" t="str">
        <f>IF($AO408,"#N/D",IFERROR(INDEX(Minculturas!$A$2:$A$48,MATCH($AM408,Minculturas!$C$2:$C$48,0)),"#N/D"))</f>
        <v>#N/D</v>
      </c>
      <c r="K408" s="26" t="str">
        <f>IF($AO408,"#N/D",IFERROR(INDEX(Minculturas!$B$2:$B$48,MATCH($AM408,Minculturas!$C$2:$C$48,0)),"#N/D"))</f>
        <v>#N/D</v>
      </c>
      <c r="L408" s="27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  <c r="AC408" s="28">
        <v>0</v>
      </c>
      <c r="AD408" s="28">
        <v>0</v>
      </c>
      <c r="AE408" s="27">
        <f>SUM(Tabla43[[#This Row],[Edificación colapsada]:[Robo]])</f>
        <v>0</v>
      </c>
      <c r="AF408" s="28"/>
      <c r="AG408" s="28"/>
      <c r="AH408" s="28">
        <v>59.3</v>
      </c>
      <c r="AI408" s="28"/>
      <c r="AJ408" s="28"/>
      <c r="AK408" s="29" t="s">
        <v>657</v>
      </c>
      <c r="AM408" t="str">
        <f t="shared" si="24"/>
        <v>valdivia</v>
      </c>
      <c r="AN408" t="str">
        <f t="shared" si="25"/>
        <v>antioquia</v>
      </c>
      <c r="AO408" t="b">
        <f t="shared" si="26"/>
        <v>0</v>
      </c>
      <c r="AP408" t="str">
        <f t="shared" si="27"/>
        <v>valdivia</v>
      </c>
    </row>
    <row r="409" spans="1:42" ht="25.5" customHeight="1" x14ac:dyDescent="0.25">
      <c r="A409" s="33" t="s">
        <v>1137</v>
      </c>
      <c r="B409" s="11" t="s">
        <v>29</v>
      </c>
      <c r="C409" s="34" t="s">
        <v>112</v>
      </c>
      <c r="D409" s="69"/>
      <c r="E409" s="11" t="s">
        <v>1138</v>
      </c>
      <c r="F409" s="25" t="s">
        <v>106</v>
      </c>
      <c r="G409" s="25" t="s">
        <v>106</v>
      </c>
      <c r="H409" s="26" t="s">
        <v>1138</v>
      </c>
      <c r="I409" s="26" t="str">
        <f>IF($AO409,"#N/D",IFERROR(INDEX(Olimpiadas!$A$2:$A$61,MATCH($AM409,Olimpiadas!$C$2:$C$61,0)),"#N/D"))</f>
        <v>INSTITUCIÓN EDUCATIVA LOPERENA</v>
      </c>
      <c r="J409" s="26" t="str">
        <f>IF($AO409,"#N/D",IFERROR(INDEX(Minculturas!$A$2:$A$48,MATCH($AM409,Minculturas!$C$2:$C$48,0)),"#N/D"))</f>
        <v>#N/D</v>
      </c>
      <c r="K409" s="26" t="str">
        <f>IF($AO409,"#N/D",IFERROR(INDEX(Minculturas!$B$2:$B$48,MATCH($AM409,Minculturas!$C$2:$C$48,0)),"#N/D"))</f>
        <v>#N/D</v>
      </c>
      <c r="L409" s="27">
        <v>2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2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7">
        <f>SUM(Tabla43[[#This Row],[Edificación colapsada]:[Robo]])</f>
        <v>2</v>
      </c>
      <c r="AF409" s="28"/>
      <c r="AG409" s="28"/>
      <c r="AH409" s="28">
        <v>30.5</v>
      </c>
      <c r="AI409" s="28"/>
      <c r="AJ409" s="28"/>
      <c r="AK409" s="29" t="s">
        <v>114</v>
      </c>
      <c r="AM409" t="str">
        <f t="shared" si="24"/>
        <v>valledupar</v>
      </c>
      <c r="AN409" t="str">
        <f t="shared" si="25"/>
        <v>cesar</v>
      </c>
      <c r="AO409" t="b">
        <f t="shared" si="26"/>
        <v>0</v>
      </c>
      <c r="AP409" t="str">
        <f t="shared" si="27"/>
        <v>valledupar</v>
      </c>
    </row>
    <row r="410" spans="1:42" ht="25.5" customHeight="1" x14ac:dyDescent="0.25">
      <c r="A410" s="33" t="s">
        <v>965</v>
      </c>
      <c r="B410" s="11" t="s">
        <v>10</v>
      </c>
      <c r="C410" s="34" t="s">
        <v>112</v>
      </c>
      <c r="D410" s="69"/>
      <c r="E410" s="11" t="s">
        <v>966</v>
      </c>
      <c r="F410" s="25" t="s">
        <v>106</v>
      </c>
      <c r="G410" s="25" t="s">
        <v>106</v>
      </c>
      <c r="H410" s="26" t="s">
        <v>106</v>
      </c>
      <c r="I410" s="26" t="str">
        <f>IF($AO410,"#N/D",IFERROR(INDEX(Olimpiadas!$A$2:$A$61,MATCH($AM410,Olimpiadas!$C$2:$C$61,0)),"#N/D"))</f>
        <v>#N/D</v>
      </c>
      <c r="J410" s="26" t="str">
        <f>IF($AO410,"#N/D",IFERROR(INDEX(Minculturas!$A$2:$A$48,MATCH($AM410,Minculturas!$C$2:$C$48,0)),"#N/D"))</f>
        <v>#N/D</v>
      </c>
      <c r="K410" s="26" t="str">
        <f>IF($AO410,"#N/D",IFERROR(INDEX(Minculturas!$B$2:$B$48,MATCH($AM410,Minculturas!$C$2:$C$48,0)),"#N/D"))</f>
        <v>#N/D</v>
      </c>
      <c r="L410" s="27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0</v>
      </c>
      <c r="AC410" s="28">
        <v>0</v>
      </c>
      <c r="AD410" s="28">
        <v>0</v>
      </c>
      <c r="AE410" s="27">
        <f>SUM(Tabla43[[#This Row],[Edificación colapsada]:[Robo]])</f>
        <v>0</v>
      </c>
      <c r="AF410" s="28"/>
      <c r="AG410" s="28"/>
      <c r="AH410" s="28">
        <v>25.9</v>
      </c>
      <c r="AI410" s="28"/>
      <c r="AJ410" s="28"/>
      <c r="AK410" s="29" t="s">
        <v>365</v>
      </c>
      <c r="AM410" t="str">
        <f t="shared" si="24"/>
        <v>valparaiso</v>
      </c>
      <c r="AN410" t="str">
        <f t="shared" si="25"/>
        <v>antioquia</v>
      </c>
      <c r="AO410" t="b">
        <f t="shared" si="26"/>
        <v>0</v>
      </c>
      <c r="AP410" t="str">
        <f t="shared" si="27"/>
        <v>valparaiso</v>
      </c>
    </row>
    <row r="411" spans="1:42" ht="25.5" customHeight="1" x14ac:dyDescent="0.25">
      <c r="A411" s="33" t="s">
        <v>967</v>
      </c>
      <c r="B411" s="11" t="s">
        <v>10</v>
      </c>
      <c r="C411" s="34" t="s">
        <v>112</v>
      </c>
      <c r="D411" s="69"/>
      <c r="E411" s="11" t="s">
        <v>968</v>
      </c>
      <c r="F411" s="25" t="s">
        <v>106</v>
      </c>
      <c r="G411" s="25" t="s">
        <v>106</v>
      </c>
      <c r="H411" s="26" t="s">
        <v>106</v>
      </c>
      <c r="I411" s="26" t="str">
        <f>IF($AO411,"#N/D",IFERROR(INDEX(Olimpiadas!$A$2:$A$61,MATCH($AM411,Olimpiadas!$C$2:$C$61,0)),"#N/D"))</f>
        <v>#N/D</v>
      </c>
      <c r="J411" s="26" t="str">
        <f>IF($AO411,"#N/D",IFERROR(INDEX(Minculturas!$A$2:$A$48,MATCH($AM411,Minculturas!$C$2:$C$48,0)),"#N/D"))</f>
        <v>#N/D</v>
      </c>
      <c r="K411" s="26" t="str">
        <f>IF($AO411,"#N/D",IFERROR(INDEX(Minculturas!$B$2:$B$48,MATCH($AM411,Minculturas!$C$2:$C$48,0)),"#N/D"))</f>
        <v>#N/D</v>
      </c>
      <c r="L411" s="27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7">
        <f>SUM(Tabla43[[#This Row],[Edificación colapsada]:[Robo]])</f>
        <v>0</v>
      </c>
      <c r="AF411" s="28"/>
      <c r="AG411" s="28"/>
      <c r="AH411" s="28">
        <v>41</v>
      </c>
      <c r="AI411" s="28"/>
      <c r="AJ411" s="28"/>
      <c r="AK411" s="29" t="s">
        <v>365</v>
      </c>
      <c r="AM411" t="str">
        <f t="shared" si="24"/>
        <v>vegachi</v>
      </c>
      <c r="AN411" t="str">
        <f t="shared" si="25"/>
        <v>antioquia</v>
      </c>
      <c r="AO411" t="b">
        <f t="shared" si="26"/>
        <v>0</v>
      </c>
      <c r="AP411" t="str">
        <f t="shared" si="27"/>
        <v>vegachi</v>
      </c>
    </row>
    <row r="412" spans="1:42" ht="25.5" customHeight="1" x14ac:dyDescent="0.25">
      <c r="A412" s="33" t="s">
        <v>507</v>
      </c>
      <c r="B412" s="11" t="s">
        <v>48</v>
      </c>
      <c r="C412" s="34" t="s">
        <v>112</v>
      </c>
      <c r="D412" s="69"/>
      <c r="E412" s="11" t="s">
        <v>508</v>
      </c>
      <c r="F412" s="25" t="s">
        <v>509</v>
      </c>
      <c r="G412" s="25" t="s">
        <v>508</v>
      </c>
      <c r="H412" s="26" t="s">
        <v>106</v>
      </c>
      <c r="I412" s="26" t="str">
        <f>IF($AO412,"#N/D",IFERROR(INDEX(Olimpiadas!$A$2:$A$61,MATCH($AM412,Olimpiadas!$C$2:$C$61,0)),"#N/D"))</f>
        <v>#N/D</v>
      </c>
      <c r="J412" s="26" t="str">
        <f>IF($AO412,"#N/D",IFERROR(INDEX(Minculturas!$A$2:$A$48,MATCH($AM412,Minculturas!$C$2:$C$48,0)),"#N/D"))</f>
        <v>#N/D</v>
      </c>
      <c r="K412" s="26" t="str">
        <f>IF($AO412,"#N/D",IFERROR(INDEX(Minculturas!$B$2:$B$48,MATCH($AM412,Minculturas!$C$2:$C$48,0)),"#N/D"))</f>
        <v>#N/D</v>
      </c>
      <c r="L412" s="27">
        <v>1</v>
      </c>
      <c r="M412" s="28">
        <v>0</v>
      </c>
      <c r="N412" s="28">
        <v>1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0</v>
      </c>
      <c r="Z412" s="28">
        <v>0</v>
      </c>
      <c r="AA412" s="28">
        <v>0</v>
      </c>
      <c r="AB412" s="28">
        <v>0</v>
      </c>
      <c r="AC412" s="28">
        <v>0</v>
      </c>
      <c r="AD412" s="28">
        <v>0</v>
      </c>
      <c r="AE412" s="27">
        <f>SUM(Tabla43[[#This Row],[Edificación colapsada]:[Robo]])</f>
        <v>1</v>
      </c>
      <c r="AF412" s="28"/>
      <c r="AG412" s="28"/>
      <c r="AH412" s="28">
        <v>36.299999999999997</v>
      </c>
      <c r="AI412" s="28"/>
      <c r="AJ412" s="28"/>
      <c r="AK412" s="29" t="s">
        <v>114</v>
      </c>
      <c r="AM412" t="str">
        <f t="shared" si="24"/>
        <v>venadillo</v>
      </c>
      <c r="AN412" t="str">
        <f t="shared" si="25"/>
        <v>tolima</v>
      </c>
      <c r="AO412" t="b">
        <f t="shared" si="26"/>
        <v>0</v>
      </c>
      <c r="AP412" t="str">
        <f t="shared" si="27"/>
        <v>venadillo</v>
      </c>
    </row>
    <row r="413" spans="1:42" ht="25.5" customHeight="1" x14ac:dyDescent="0.25">
      <c r="A413" s="33" t="s">
        <v>402</v>
      </c>
      <c r="B413" s="11" t="s">
        <v>10</v>
      </c>
      <c r="C413" s="34" t="s">
        <v>112</v>
      </c>
      <c r="D413" s="69"/>
      <c r="E413" s="11" t="s">
        <v>403</v>
      </c>
      <c r="F413" s="25" t="s">
        <v>106</v>
      </c>
      <c r="G413" s="25" t="s">
        <v>106</v>
      </c>
      <c r="H413" s="26" t="s">
        <v>106</v>
      </c>
      <c r="I413" s="26" t="str">
        <f>IF($AO413,"#N/D",IFERROR(INDEX(Olimpiadas!$A$2:$A$61,MATCH($AM413,Olimpiadas!$C$2:$C$61,0)),"#N/D"))</f>
        <v>#N/D</v>
      </c>
      <c r="J413" s="26" t="str">
        <f>IF($AO413,"#N/D",IFERROR(INDEX(Minculturas!$A$2:$A$48,MATCH($AM413,Minculturas!$C$2:$C$48,0)),"#N/D"))</f>
        <v>#N/D</v>
      </c>
      <c r="K413" s="26" t="str">
        <f>IF($AO413,"#N/D",IFERROR(INDEX(Minculturas!$B$2:$B$48,MATCH($AM413,Minculturas!$C$2:$C$48,0)),"#N/D"))</f>
        <v>#N/D</v>
      </c>
      <c r="L413" s="27">
        <v>3</v>
      </c>
      <c r="M413" s="28">
        <v>0</v>
      </c>
      <c r="N413" s="28">
        <v>1</v>
      </c>
      <c r="O413" s="28">
        <v>0</v>
      </c>
      <c r="P413" s="28">
        <v>0</v>
      </c>
      <c r="Q413" s="28">
        <v>1</v>
      </c>
      <c r="R413" s="28">
        <v>1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28">
        <v>0</v>
      </c>
      <c r="AB413" s="28">
        <v>0</v>
      </c>
      <c r="AC413" s="28">
        <v>0</v>
      </c>
      <c r="AD413" s="28">
        <v>0</v>
      </c>
      <c r="AE413" s="27">
        <f>SUM(Tabla43[[#This Row],[Edificación colapsada]:[Robo]])</f>
        <v>3</v>
      </c>
      <c r="AF413" s="28"/>
      <c r="AG413" s="28"/>
      <c r="AH413" s="28">
        <v>25.8</v>
      </c>
      <c r="AI413" s="28"/>
      <c r="AJ413" s="28"/>
      <c r="AK413" s="29" t="s">
        <v>114</v>
      </c>
      <c r="AM413" t="str">
        <f t="shared" si="24"/>
        <v>venecia</v>
      </c>
      <c r="AN413" t="str">
        <f t="shared" si="25"/>
        <v>antioquia</v>
      </c>
      <c r="AO413" t="b">
        <f t="shared" si="26"/>
        <v>0</v>
      </c>
      <c r="AP413" t="str">
        <f t="shared" si="27"/>
        <v>venecia</v>
      </c>
    </row>
    <row r="414" spans="1:42" ht="25.5" customHeight="1" x14ac:dyDescent="0.25">
      <c r="A414" s="33" t="s">
        <v>1097</v>
      </c>
      <c r="B414" s="11" t="s">
        <v>35</v>
      </c>
      <c r="C414" s="34" t="s">
        <v>112</v>
      </c>
      <c r="D414" s="69"/>
      <c r="E414" s="11" t="s">
        <v>1098</v>
      </c>
      <c r="F414" s="25" t="s">
        <v>106</v>
      </c>
      <c r="G414" s="25" t="s">
        <v>106</v>
      </c>
      <c r="H414" s="26" t="s">
        <v>106</v>
      </c>
      <c r="I414" s="26" t="str">
        <f>IF($AO414,"#N/D",IFERROR(INDEX(Olimpiadas!$A$2:$A$61,MATCH($AM414,Olimpiadas!$C$2:$C$61,0)),"#N/D"))</f>
        <v>#N/D</v>
      </c>
      <c r="J414" s="26" t="str">
        <f>IF($AO414,"#N/D",IFERROR(INDEX(Minculturas!$A$2:$A$48,MATCH($AM414,Minculturas!$C$2:$C$48,0)),"#N/D"))</f>
        <v>#N/D</v>
      </c>
      <c r="K414" s="26" t="str">
        <f>IF($AO414,"#N/D",IFERROR(INDEX(Minculturas!$B$2:$B$48,MATCH($AM414,Minculturas!$C$2:$C$48,0)),"#N/D"))</f>
        <v>#N/D</v>
      </c>
      <c r="L414" s="27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7">
        <f>SUM(Tabla43[[#This Row],[Edificación colapsada]:[Robo]])</f>
        <v>0</v>
      </c>
      <c r="AF414" s="28"/>
      <c r="AG414" s="28"/>
      <c r="AH414" s="28">
        <v>50</v>
      </c>
      <c r="AI414" s="28"/>
      <c r="AJ414" s="28"/>
      <c r="AK414" s="29" t="s">
        <v>246</v>
      </c>
      <c r="AM414" t="str">
        <f t="shared" si="24"/>
        <v>vergara</v>
      </c>
      <c r="AN414" t="str">
        <f t="shared" si="25"/>
        <v>cundinamarca</v>
      </c>
      <c r="AO414" t="b">
        <f t="shared" si="26"/>
        <v>0</v>
      </c>
      <c r="AP414" t="str">
        <f t="shared" si="27"/>
        <v>vergara</v>
      </c>
    </row>
    <row r="415" spans="1:42" ht="25.5" customHeight="1" x14ac:dyDescent="0.25">
      <c r="A415" s="33" t="s">
        <v>322</v>
      </c>
      <c r="B415" s="11" t="s">
        <v>49</v>
      </c>
      <c r="C415" s="34" t="s">
        <v>112</v>
      </c>
      <c r="D415" s="69"/>
      <c r="E415" s="11" t="s">
        <v>323</v>
      </c>
      <c r="F415" s="25" t="s">
        <v>106</v>
      </c>
      <c r="G415" s="25" t="s">
        <v>106</v>
      </c>
      <c r="H415" s="26" t="s">
        <v>106</v>
      </c>
      <c r="I415" s="26" t="str">
        <f>IF($AO415,"#N/D",IFERROR(INDEX(Olimpiadas!$A$2:$A$61,MATCH($AM415,Olimpiadas!$C$2:$C$61,0)),"#N/D"))</f>
        <v>#N/D</v>
      </c>
      <c r="J415" s="26" t="str">
        <f>IF($AO415,"#N/D",IFERROR(INDEX(Minculturas!$A$2:$A$48,MATCH($AM415,Minculturas!$C$2:$C$48,0)),"#N/D"))</f>
        <v>#N/D</v>
      </c>
      <c r="K415" s="26" t="str">
        <f>IF($AO415,"#N/D",IFERROR(INDEX(Minculturas!$B$2:$B$48,MATCH($AM415,Minculturas!$C$2:$C$48,0)),"#N/D"))</f>
        <v>#N/D</v>
      </c>
      <c r="L415" s="27">
        <v>45</v>
      </c>
      <c r="M415" s="28">
        <v>0</v>
      </c>
      <c r="N415" s="28">
        <v>5</v>
      </c>
      <c r="O415" s="28">
        <v>30</v>
      </c>
      <c r="P415" s="28">
        <v>1</v>
      </c>
      <c r="Q415" s="28">
        <v>5</v>
      </c>
      <c r="R415" s="28">
        <v>1</v>
      </c>
      <c r="S415" s="28">
        <v>0</v>
      </c>
      <c r="T415" s="28">
        <v>2</v>
      </c>
      <c r="U415" s="28">
        <v>0</v>
      </c>
      <c r="V415" s="28">
        <v>1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0</v>
      </c>
      <c r="AC415" s="28">
        <v>0</v>
      </c>
      <c r="AD415" s="28">
        <v>0</v>
      </c>
      <c r="AE415" s="27">
        <f>SUM(Tabla43[[#This Row],[Edificación colapsada]:[Robo]])</f>
        <v>45</v>
      </c>
      <c r="AF415" s="28" t="s">
        <v>324</v>
      </c>
      <c r="AG415" s="28" t="s">
        <v>325</v>
      </c>
      <c r="AH415" s="28">
        <v>30.6</v>
      </c>
      <c r="AI415" s="28"/>
      <c r="AJ415" s="28"/>
      <c r="AK415" s="29" t="s">
        <v>114</v>
      </c>
      <c r="AM415" t="str">
        <f t="shared" si="24"/>
        <v>versalles</v>
      </c>
      <c r="AN415" t="str">
        <f t="shared" si="25"/>
        <v>valle del cauca</v>
      </c>
      <c r="AO415" t="b">
        <f t="shared" si="26"/>
        <v>0</v>
      </c>
      <c r="AP415" t="str">
        <f t="shared" si="27"/>
        <v>versalles</v>
      </c>
    </row>
    <row r="416" spans="1:42" ht="25.5" customHeight="1" x14ac:dyDescent="0.25">
      <c r="A416" s="33" t="s">
        <v>404</v>
      </c>
      <c r="B416" s="11" t="s">
        <v>24</v>
      </c>
      <c r="C416" s="34" t="s">
        <v>112</v>
      </c>
      <c r="D416" s="69"/>
      <c r="E416" s="11" t="s">
        <v>405</v>
      </c>
      <c r="F416" s="25" t="s">
        <v>106</v>
      </c>
      <c r="G416" s="25" t="s">
        <v>106</v>
      </c>
      <c r="H416" s="26" t="s">
        <v>106</v>
      </c>
      <c r="I416" s="26" t="str">
        <f>IF($AO416,"#N/D",IFERROR(INDEX(Olimpiadas!$A$2:$A$61,MATCH($AM416,Olimpiadas!$C$2:$C$61,0)),"#N/D"))</f>
        <v>#N/D</v>
      </c>
      <c r="J416" s="26" t="str">
        <f>IF($AO416,"#N/D",IFERROR(INDEX(Minculturas!$A$2:$A$48,MATCH($AM416,Minculturas!$C$2:$C$48,0)),"#N/D"))</f>
        <v>#N/D</v>
      </c>
      <c r="K416" s="26" t="str">
        <f>IF($AO416,"#N/D",IFERROR(INDEX(Minculturas!$B$2:$B$48,MATCH($AM416,Minculturas!$C$2:$C$48,0)),"#N/D"))</f>
        <v>#N/D</v>
      </c>
      <c r="L416" s="27">
        <v>4</v>
      </c>
      <c r="M416" s="28">
        <v>0</v>
      </c>
      <c r="N416" s="28">
        <v>1</v>
      </c>
      <c r="O416" s="28">
        <v>0</v>
      </c>
      <c r="P416" s="28">
        <v>1</v>
      </c>
      <c r="Q416" s="28">
        <v>2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0</v>
      </c>
      <c r="X416" s="28">
        <v>0</v>
      </c>
      <c r="Y416" s="28">
        <v>0</v>
      </c>
      <c r="Z416" s="28">
        <v>0</v>
      </c>
      <c r="AA416" s="28">
        <v>0</v>
      </c>
      <c r="AB416" s="28">
        <v>0</v>
      </c>
      <c r="AC416" s="28">
        <v>0</v>
      </c>
      <c r="AD416" s="28">
        <v>0</v>
      </c>
      <c r="AE416" s="27">
        <f>SUM(Tabla43[[#This Row],[Edificación colapsada]:[Robo]])</f>
        <v>4</v>
      </c>
      <c r="AF416" s="28"/>
      <c r="AG416" s="28"/>
      <c r="AH416" s="28">
        <v>34.9</v>
      </c>
      <c r="AI416" s="28"/>
      <c r="AJ416" s="28"/>
      <c r="AK416" s="29" t="s">
        <v>246</v>
      </c>
      <c r="AM416" t="str">
        <f t="shared" si="24"/>
        <v>victoria</v>
      </c>
      <c r="AN416" t="str">
        <f t="shared" si="25"/>
        <v>caldas</v>
      </c>
      <c r="AO416" t="b">
        <f t="shared" si="26"/>
        <v>0</v>
      </c>
      <c r="AP416" t="str">
        <f t="shared" si="27"/>
        <v>victoria</v>
      </c>
    </row>
    <row r="417" spans="1:42" ht="25.5" customHeight="1" x14ac:dyDescent="0.25">
      <c r="A417" s="33" t="s">
        <v>658</v>
      </c>
      <c r="B417" s="11" t="s">
        <v>10</v>
      </c>
      <c r="C417" s="34" t="s">
        <v>112</v>
      </c>
      <c r="D417" s="69"/>
      <c r="E417" s="11" t="s">
        <v>659</v>
      </c>
      <c r="F417" s="25" t="s">
        <v>106</v>
      </c>
      <c r="G417" s="25" t="s">
        <v>106</v>
      </c>
      <c r="H417" s="26" t="s">
        <v>106</v>
      </c>
      <c r="I417" s="26" t="str">
        <f>IF($AO417,"#N/D",IFERROR(INDEX(Olimpiadas!$A$2:$A$61,MATCH($AM417,Olimpiadas!$C$2:$C$61,0)),"#N/D"))</f>
        <v>#N/D</v>
      </c>
      <c r="J417" s="26" t="str">
        <f>IF($AO417,"#N/D",IFERROR(INDEX(Minculturas!$A$2:$A$48,MATCH($AM417,Minculturas!$C$2:$C$48,0)),"#N/D"))</f>
        <v>#N/D</v>
      </c>
      <c r="K417" s="26" t="str">
        <f>IF($AO417,"#N/D",IFERROR(INDEX(Minculturas!$B$2:$B$48,MATCH($AM417,Minculturas!$C$2:$C$48,0)),"#N/D"))</f>
        <v>#N/D</v>
      </c>
      <c r="L417" s="27">
        <v>2</v>
      </c>
      <c r="M417" s="28">
        <v>0</v>
      </c>
      <c r="N417" s="28">
        <v>0</v>
      </c>
      <c r="O417" s="28">
        <v>1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0</v>
      </c>
      <c r="Z417" s="28">
        <v>1</v>
      </c>
      <c r="AA417" s="28">
        <v>0</v>
      </c>
      <c r="AB417" s="28">
        <v>0</v>
      </c>
      <c r="AC417" s="28">
        <v>0</v>
      </c>
      <c r="AD417" s="28">
        <v>0</v>
      </c>
      <c r="AE417" s="27">
        <f>SUM(Tabla43[[#This Row],[Edificación colapsada]:[Robo]])</f>
        <v>2</v>
      </c>
      <c r="AF417" s="28"/>
      <c r="AG417" s="28"/>
      <c r="AH417" s="28">
        <v>76.099999999999994</v>
      </c>
      <c r="AI417" s="28"/>
      <c r="AJ417" s="28"/>
      <c r="AK417" s="29" t="s">
        <v>365</v>
      </c>
      <c r="AM417" t="str">
        <f t="shared" si="24"/>
        <v>vigia del fuerte</v>
      </c>
      <c r="AN417" t="str">
        <f t="shared" si="25"/>
        <v>antioquia</v>
      </c>
      <c r="AO417" t="b">
        <f t="shared" si="26"/>
        <v>0</v>
      </c>
      <c r="AP417" t="str">
        <f t="shared" si="27"/>
        <v>vigia del fuerte</v>
      </c>
    </row>
    <row r="418" spans="1:42" ht="25.5" customHeight="1" x14ac:dyDescent="0.25">
      <c r="A418" s="33" t="s">
        <v>271</v>
      </c>
      <c r="B418" s="11" t="s">
        <v>49</v>
      </c>
      <c r="C418" s="34" t="s">
        <v>112</v>
      </c>
      <c r="D418" s="69"/>
      <c r="E418" s="11" t="s">
        <v>272</v>
      </c>
      <c r="F418" s="25" t="s">
        <v>273</v>
      </c>
      <c r="G418" s="25" t="s">
        <v>272</v>
      </c>
      <c r="H418" s="26" t="s">
        <v>106</v>
      </c>
      <c r="I418" s="26" t="str">
        <f>IF($AO418,"#N/D",IFERROR(INDEX(Olimpiadas!$A$2:$A$61,MATCH($AM418,Olimpiadas!$C$2:$C$61,0)),"#N/D"))</f>
        <v>#N/D</v>
      </c>
      <c r="J418" s="26" t="str">
        <f>IF($AO418,"#N/D",IFERROR(INDEX(Minculturas!$A$2:$A$48,MATCH($AM418,Minculturas!$C$2:$C$48,0)),"#N/D"))</f>
        <v>#N/D</v>
      </c>
      <c r="K418" s="26" t="str">
        <f>IF($AO418,"#N/D",IFERROR(INDEX(Minculturas!$B$2:$B$48,MATCH($AM418,Minculturas!$C$2:$C$48,0)),"#N/D"))</f>
        <v>#N/D</v>
      </c>
      <c r="L418" s="27">
        <v>5</v>
      </c>
      <c r="M418" s="28">
        <v>0</v>
      </c>
      <c r="N418" s="28">
        <v>1</v>
      </c>
      <c r="O418" s="28">
        <v>1</v>
      </c>
      <c r="P418" s="28">
        <v>0</v>
      </c>
      <c r="Q418" s="28">
        <v>0</v>
      </c>
      <c r="R418" s="28">
        <v>1</v>
      </c>
      <c r="S418" s="28">
        <v>0</v>
      </c>
      <c r="T418" s="28">
        <v>1</v>
      </c>
      <c r="U418" s="28">
        <v>0</v>
      </c>
      <c r="V418" s="28">
        <v>1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  <c r="AC418" s="28">
        <v>0</v>
      </c>
      <c r="AD418" s="28">
        <v>0</v>
      </c>
      <c r="AE418" s="27">
        <f>SUM(Tabla43[[#This Row],[Edificación colapsada]:[Robo]])</f>
        <v>5</v>
      </c>
      <c r="AF418" s="28"/>
      <c r="AG418" s="28"/>
      <c r="AH418" s="28">
        <v>19</v>
      </c>
      <c r="AI418" s="28"/>
      <c r="AJ418" s="28"/>
      <c r="AK418" s="29" t="s">
        <v>246</v>
      </c>
      <c r="AM418" t="str">
        <f t="shared" si="24"/>
        <v>vijes</v>
      </c>
      <c r="AN418" t="str">
        <f t="shared" si="25"/>
        <v>valle del cauca</v>
      </c>
      <c r="AO418" t="b">
        <f t="shared" si="26"/>
        <v>0</v>
      </c>
      <c r="AP418" t="str">
        <f t="shared" si="27"/>
        <v>vijes</v>
      </c>
    </row>
    <row r="419" spans="1:42" ht="25.5" customHeight="1" x14ac:dyDescent="0.25">
      <c r="A419" s="33" t="s">
        <v>571</v>
      </c>
      <c r="B419" s="11" t="s">
        <v>48</v>
      </c>
      <c r="C419" s="34" t="s">
        <v>112</v>
      </c>
      <c r="D419" s="69"/>
      <c r="E419" s="11" t="s">
        <v>572</v>
      </c>
      <c r="F419" s="25" t="s">
        <v>106</v>
      </c>
      <c r="G419" s="25" t="s">
        <v>106</v>
      </c>
      <c r="H419" s="26" t="s">
        <v>106</v>
      </c>
      <c r="I419" s="26" t="str">
        <f>IF($AO419,"#N/D",IFERROR(INDEX(Olimpiadas!$A$2:$A$61,MATCH($AM419,Olimpiadas!$C$2:$C$61,0)),"#N/D"))</f>
        <v>#N/D</v>
      </c>
      <c r="J419" s="26" t="str">
        <f>IF($AO419,"#N/D",IFERROR(INDEX(Minculturas!$A$2:$A$48,MATCH($AM419,Minculturas!$C$2:$C$48,0)),"#N/D"))</f>
        <v>#N/D</v>
      </c>
      <c r="K419" s="26" t="str">
        <f>IF($AO419,"#N/D",IFERROR(INDEX(Minculturas!$B$2:$B$48,MATCH($AM419,Minculturas!$C$2:$C$48,0)),"#N/D"))</f>
        <v>#N/D</v>
      </c>
      <c r="L419" s="27">
        <v>1</v>
      </c>
      <c r="M419" s="28">
        <v>0</v>
      </c>
      <c r="N419" s="28">
        <v>1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  <c r="AE419" s="27">
        <f>SUM(Tabla43[[#This Row],[Edificación colapsada]:[Robo]])</f>
        <v>1</v>
      </c>
      <c r="AF419" s="28"/>
      <c r="AG419" s="28"/>
      <c r="AH419" s="28">
        <v>51.3</v>
      </c>
      <c r="AI419" s="28"/>
      <c r="AJ419" s="28"/>
      <c r="AK419" s="29" t="s">
        <v>114</v>
      </c>
      <c r="AM419" t="str">
        <f t="shared" si="24"/>
        <v>villahermosa</v>
      </c>
      <c r="AN419" t="str">
        <f t="shared" si="25"/>
        <v>tolima</v>
      </c>
      <c r="AO419" t="b">
        <f t="shared" si="26"/>
        <v>0</v>
      </c>
      <c r="AP419" t="str">
        <f t="shared" si="27"/>
        <v>villahermosa</v>
      </c>
    </row>
    <row r="420" spans="1:42" ht="25.5" customHeight="1" x14ac:dyDescent="0.25">
      <c r="A420" s="33" t="s">
        <v>510</v>
      </c>
      <c r="B420" s="11" t="s">
        <v>48</v>
      </c>
      <c r="C420" s="34" t="s">
        <v>112</v>
      </c>
      <c r="D420" s="69"/>
      <c r="E420" s="11" t="s">
        <v>511</v>
      </c>
      <c r="F420" s="25" t="s">
        <v>512</v>
      </c>
      <c r="G420" s="25" t="s">
        <v>511</v>
      </c>
      <c r="H420" s="26" t="s">
        <v>106</v>
      </c>
      <c r="I420" s="26" t="str">
        <f>IF($AO420,"#N/D",IFERROR(INDEX(Olimpiadas!$A$2:$A$61,MATCH($AM420,Olimpiadas!$C$2:$C$61,0)),"#N/D"))</f>
        <v>#N/D</v>
      </c>
      <c r="J420" s="26" t="str">
        <f>IF($AO420,"#N/D",IFERROR(INDEX(Minculturas!$A$2:$A$48,MATCH($AM420,Minculturas!$C$2:$C$48,0)),"#N/D"))</f>
        <v>#N/D</v>
      </c>
      <c r="K420" s="26" t="str">
        <f>IF($AO420,"#N/D",IFERROR(INDEX(Minculturas!$B$2:$B$48,MATCH($AM420,Minculturas!$C$2:$C$48,0)),"#N/D"))</f>
        <v>#N/D</v>
      </c>
      <c r="L420" s="27">
        <v>1</v>
      </c>
      <c r="M420" s="28">
        <v>0</v>
      </c>
      <c r="N420" s="28">
        <v>1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0</v>
      </c>
      <c r="Z420" s="28">
        <v>0</v>
      </c>
      <c r="AA420" s="28">
        <v>0</v>
      </c>
      <c r="AB420" s="28">
        <v>0</v>
      </c>
      <c r="AC420" s="28">
        <v>0</v>
      </c>
      <c r="AD420" s="28">
        <v>0</v>
      </c>
      <c r="AE420" s="27">
        <f>SUM(Tabla43[[#This Row],[Edificación colapsada]:[Robo]])</f>
        <v>1</v>
      </c>
      <c r="AF420" s="28"/>
      <c r="AG420" s="28"/>
      <c r="AH420" s="28">
        <v>38.4</v>
      </c>
      <c r="AI420" s="28"/>
      <c r="AJ420" s="28"/>
      <c r="AK420" s="29" t="s">
        <v>114</v>
      </c>
      <c r="AM420" t="str">
        <f t="shared" si="24"/>
        <v>villarrica</v>
      </c>
      <c r="AN420" t="str">
        <f t="shared" si="25"/>
        <v>tolima</v>
      </c>
      <c r="AO420" t="b">
        <f t="shared" si="26"/>
        <v>0</v>
      </c>
      <c r="AP420" t="str">
        <f t="shared" si="27"/>
        <v>villarrica</v>
      </c>
    </row>
    <row r="421" spans="1:42" ht="25.5" customHeight="1" x14ac:dyDescent="0.25">
      <c r="A421" s="33" t="s">
        <v>1139</v>
      </c>
      <c r="B421" s="11" t="s">
        <v>40</v>
      </c>
      <c r="C421" s="34" t="s">
        <v>112</v>
      </c>
      <c r="D421" s="69"/>
      <c r="E421" s="11" t="s">
        <v>1140</v>
      </c>
      <c r="F421" s="25" t="s">
        <v>993</v>
      </c>
      <c r="G421" s="25" t="s">
        <v>1140</v>
      </c>
      <c r="H421" s="26" t="s">
        <v>106</v>
      </c>
      <c r="I421" s="26" t="str">
        <f>IF($AO421,"#N/D",IFERROR(INDEX(Olimpiadas!$A$2:$A$61,MATCH($AM421,Olimpiadas!$C$2:$C$61,0)),"#N/D"))</f>
        <v>#N/D</v>
      </c>
      <c r="J421" s="26" t="str">
        <f>IF($AO421,"#N/D",IFERROR(INDEX(Minculturas!$A$2:$A$48,MATCH($AM421,Minculturas!$C$2:$C$48,0)),"#N/D"))</f>
        <v>#N/D</v>
      </c>
      <c r="K421" s="26" t="str">
        <f>IF($AO421,"#N/D",IFERROR(INDEX(Minculturas!$B$2:$B$48,MATCH($AM421,Minculturas!$C$2:$C$48,0)),"#N/D"))</f>
        <v>#N/D</v>
      </c>
      <c r="L421" s="27">
        <v>2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2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  <c r="AC421" s="28">
        <v>0</v>
      </c>
      <c r="AD421" s="28">
        <v>0</v>
      </c>
      <c r="AE421" s="27">
        <f>SUM(Tabla43[[#This Row],[Edificación colapsada]:[Robo]])</f>
        <v>2</v>
      </c>
      <c r="AF421" s="28"/>
      <c r="AG421" s="28"/>
      <c r="AH421" s="28">
        <v>15.9</v>
      </c>
      <c r="AI421" s="28"/>
      <c r="AJ421" s="28"/>
      <c r="AK421" s="29" t="s">
        <v>114</v>
      </c>
      <c r="AM421" t="str">
        <f t="shared" si="24"/>
        <v>villavicencio</v>
      </c>
      <c r="AN421" t="str">
        <f t="shared" si="25"/>
        <v>meta</v>
      </c>
      <c r="AO421" t="b">
        <f t="shared" si="26"/>
        <v>0</v>
      </c>
      <c r="AP421" t="str">
        <f t="shared" si="27"/>
        <v>villavicencio</v>
      </c>
    </row>
    <row r="422" spans="1:42" ht="25.5" customHeight="1" x14ac:dyDescent="0.25">
      <c r="A422" s="33" t="s">
        <v>347</v>
      </c>
      <c r="B422" s="11" t="s">
        <v>37</v>
      </c>
      <c r="C422" s="34" t="s">
        <v>112</v>
      </c>
      <c r="D422" s="69"/>
      <c r="E422" s="11" t="s">
        <v>348</v>
      </c>
      <c r="F422" s="25" t="s">
        <v>106</v>
      </c>
      <c r="G422" s="25" t="s">
        <v>106</v>
      </c>
      <c r="H422" s="26" t="s">
        <v>106</v>
      </c>
      <c r="I422" s="26" t="str">
        <f>IF($AO422,"#N/D",IFERROR(INDEX(Olimpiadas!$A$2:$A$61,MATCH($AM422,Olimpiadas!$C$2:$C$61,0)),"#N/D"))</f>
        <v>#N/D</v>
      </c>
      <c r="J422" s="26" t="str">
        <f>IF($AO422,"#N/D",IFERROR(INDEX(Minculturas!$A$2:$A$48,MATCH($AM422,Minculturas!$C$2:$C$48,0)),"#N/D"))</f>
        <v>#N/D</v>
      </c>
      <c r="K422" s="26" t="str">
        <f>IF($AO422,"#N/D",IFERROR(INDEX(Minculturas!$B$2:$B$48,MATCH($AM422,Minculturas!$C$2:$C$48,0)),"#N/D"))</f>
        <v>#N/D</v>
      </c>
      <c r="L422" s="27">
        <v>4</v>
      </c>
      <c r="M422" s="28">
        <v>0</v>
      </c>
      <c r="N422" s="28">
        <v>1</v>
      </c>
      <c r="O422" s="28">
        <v>0</v>
      </c>
      <c r="P422" s="28">
        <v>0</v>
      </c>
      <c r="Q422" s="28">
        <v>2</v>
      </c>
      <c r="R422" s="28">
        <v>1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  <c r="AC422" s="28">
        <v>0</v>
      </c>
      <c r="AD422" s="28">
        <v>0</v>
      </c>
      <c r="AE422" s="27">
        <f>SUM(Tabla43[[#This Row],[Edificación colapsada]:[Robo]])</f>
        <v>4</v>
      </c>
      <c r="AF422" s="28"/>
      <c r="AG422" s="28"/>
      <c r="AH422" s="28">
        <v>37.9</v>
      </c>
      <c r="AI422" s="28"/>
      <c r="AJ422" s="28"/>
      <c r="AK422" s="29" t="s">
        <v>114</v>
      </c>
      <c r="AM422" t="str">
        <f t="shared" si="24"/>
        <v>villavieja</v>
      </c>
      <c r="AN422" t="str">
        <f t="shared" si="25"/>
        <v>huila</v>
      </c>
      <c r="AO422" t="b">
        <f t="shared" si="26"/>
        <v>0</v>
      </c>
      <c r="AP422" t="str">
        <f t="shared" si="27"/>
        <v>villavieja</v>
      </c>
    </row>
    <row r="423" spans="1:42" ht="25.5" customHeight="1" x14ac:dyDescent="0.25">
      <c r="A423" s="33" t="s">
        <v>1099</v>
      </c>
      <c r="B423" s="11" t="s">
        <v>35</v>
      </c>
      <c r="C423" s="34" t="s">
        <v>112</v>
      </c>
      <c r="D423" s="69"/>
      <c r="E423" s="11" t="s">
        <v>1100</v>
      </c>
      <c r="F423" s="25" t="s">
        <v>106</v>
      </c>
      <c r="G423" s="25" t="s">
        <v>106</v>
      </c>
      <c r="H423" s="26" t="s">
        <v>106</v>
      </c>
      <c r="I423" s="26" t="str">
        <f>IF($AO423,"#N/D",IFERROR(INDEX(Olimpiadas!$A$2:$A$61,MATCH($AM423,Olimpiadas!$C$2:$C$61,0)),"#N/D"))</f>
        <v>#N/D</v>
      </c>
      <c r="J423" s="26" t="str">
        <f>IF($AO423,"#N/D",IFERROR(INDEX(Minculturas!$A$2:$A$48,MATCH($AM423,Minculturas!$C$2:$C$48,0)),"#N/D"))</f>
        <v>#N/D</v>
      </c>
      <c r="K423" s="26" t="str">
        <f>IF($AO423,"#N/D",IFERROR(INDEX(Minculturas!$B$2:$B$48,MATCH($AM423,Minculturas!$C$2:$C$48,0)),"#N/D"))</f>
        <v>#N/D</v>
      </c>
      <c r="L423" s="27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  <c r="AC423" s="28">
        <v>0</v>
      </c>
      <c r="AD423" s="28">
        <v>0</v>
      </c>
      <c r="AE423" s="27">
        <f>SUM(Tabla43[[#This Row],[Edificación colapsada]:[Robo]])</f>
        <v>0</v>
      </c>
      <c r="AF423" s="28"/>
      <c r="AG423" s="28"/>
      <c r="AH423" s="28">
        <v>18.7</v>
      </c>
      <c r="AI423" s="28"/>
      <c r="AJ423" s="28"/>
      <c r="AK423" s="29" t="s">
        <v>246</v>
      </c>
      <c r="AM423" t="str">
        <f t="shared" si="24"/>
        <v>villeta</v>
      </c>
      <c r="AN423" t="str">
        <f t="shared" si="25"/>
        <v>cundinamarca</v>
      </c>
      <c r="AO423" t="b">
        <f t="shared" si="26"/>
        <v>0</v>
      </c>
      <c r="AP423" t="str">
        <f t="shared" si="27"/>
        <v>villeta</v>
      </c>
    </row>
    <row r="424" spans="1:42" ht="25.5" customHeight="1" x14ac:dyDescent="0.25">
      <c r="A424" s="33" t="s">
        <v>211</v>
      </c>
      <c r="B424" s="11" t="s">
        <v>24</v>
      </c>
      <c r="C424" s="34" t="s">
        <v>112</v>
      </c>
      <c r="D424" s="69"/>
      <c r="E424" s="11" t="s">
        <v>212</v>
      </c>
      <c r="F424" s="25" t="s">
        <v>106</v>
      </c>
      <c r="G424" s="25" t="s">
        <v>106</v>
      </c>
      <c r="H424" s="26" t="s">
        <v>106</v>
      </c>
      <c r="I424" s="26" t="str">
        <f>IF($AO424,"#N/D",IFERROR(INDEX(Olimpiadas!$A$2:$A$61,MATCH($AM424,Olimpiadas!$C$2:$C$61,0)),"#N/D"))</f>
        <v>#N/D</v>
      </c>
      <c r="J424" s="26" t="str">
        <f>IF($AO424,"#N/D",IFERROR(INDEX(Minculturas!$A$2:$A$48,MATCH($AM424,Minculturas!$C$2:$C$48,0)),"#N/D"))</f>
        <v>#N/D</v>
      </c>
      <c r="K424" s="26" t="str">
        <f>IF($AO424,"#N/D",IFERROR(INDEX(Minculturas!$B$2:$B$48,MATCH($AM424,Minculturas!$C$2:$C$48,0)),"#N/D"))</f>
        <v>#N/D</v>
      </c>
      <c r="L424" s="27">
        <v>12</v>
      </c>
      <c r="M424" s="28">
        <v>0</v>
      </c>
      <c r="N424" s="28">
        <v>2</v>
      </c>
      <c r="O424" s="28">
        <v>0</v>
      </c>
      <c r="P424" s="28">
        <v>1</v>
      </c>
      <c r="Q424" s="28">
        <v>1</v>
      </c>
      <c r="R424" s="28">
        <v>1</v>
      </c>
      <c r="S424" s="28">
        <v>3</v>
      </c>
      <c r="T424" s="28">
        <v>4</v>
      </c>
      <c r="U424" s="28">
        <v>0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0</v>
      </c>
      <c r="AC424" s="28">
        <v>0</v>
      </c>
      <c r="AD424" s="28">
        <v>0</v>
      </c>
      <c r="AE424" s="27">
        <f>SUM(Tabla43[[#This Row],[Edificación colapsada]:[Robo]])</f>
        <v>12</v>
      </c>
      <c r="AF424" s="28"/>
      <c r="AG424" s="28"/>
      <c r="AH424" s="28">
        <v>26</v>
      </c>
      <c r="AI424" s="28"/>
      <c r="AJ424" s="28"/>
      <c r="AK424" s="29" t="s">
        <v>114</v>
      </c>
      <c r="AM424" t="str">
        <f t="shared" si="24"/>
        <v>viterbo</v>
      </c>
      <c r="AN424" t="str">
        <f t="shared" si="25"/>
        <v>caldas</v>
      </c>
      <c r="AO424" t="b">
        <f t="shared" si="26"/>
        <v>0</v>
      </c>
      <c r="AP424" t="str">
        <f t="shared" si="27"/>
        <v>viterbo</v>
      </c>
    </row>
    <row r="425" spans="1:42" ht="25.5" customHeight="1" x14ac:dyDescent="0.25">
      <c r="A425" s="33" t="s">
        <v>1211</v>
      </c>
      <c r="B425" s="11" t="s">
        <v>35</v>
      </c>
      <c r="C425" s="34" t="s">
        <v>112</v>
      </c>
      <c r="D425" s="69"/>
      <c r="E425" s="11" t="s">
        <v>1212</v>
      </c>
      <c r="F425" s="25" t="s">
        <v>106</v>
      </c>
      <c r="G425" s="25" t="s">
        <v>106</v>
      </c>
      <c r="H425" s="26" t="s">
        <v>106</v>
      </c>
      <c r="I425" s="26" t="str">
        <f>IF($AO425,"#N/D",IFERROR(INDEX(Olimpiadas!$A$2:$A$61,MATCH($AM425,Olimpiadas!$C$2:$C$61,0)),"#N/D"))</f>
        <v>#N/D</v>
      </c>
      <c r="J425" s="26" t="str">
        <f>IF($AO425,"#N/D",IFERROR(INDEX(Minculturas!$A$2:$A$48,MATCH($AM425,Minculturas!$C$2:$C$48,0)),"#N/D"))</f>
        <v>#N/D</v>
      </c>
      <c r="K425" s="26" t="str">
        <f>IF($AO425,"#N/D",IFERROR(INDEX(Minculturas!$B$2:$B$48,MATCH($AM425,Minculturas!$C$2:$C$48,0)),"#N/D"))</f>
        <v>#N/D</v>
      </c>
      <c r="L425" s="27">
        <v>1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1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7">
        <f>SUM(Tabla43[[#This Row],[Edificación colapsada]:[Robo]])</f>
        <v>1</v>
      </c>
      <c r="AF425" s="28"/>
      <c r="AG425" s="28"/>
      <c r="AH425" s="28">
        <v>55.5</v>
      </c>
      <c r="AI425" s="28"/>
      <c r="AJ425" s="28"/>
      <c r="AK425" s="29" t="s">
        <v>246</v>
      </c>
      <c r="AM425" t="str">
        <f t="shared" si="24"/>
        <v>yacopi</v>
      </c>
      <c r="AN425" t="str">
        <f t="shared" si="25"/>
        <v>cundinamarca</v>
      </c>
      <c r="AO425" t="b">
        <f t="shared" si="26"/>
        <v>0</v>
      </c>
      <c r="AP425" t="str">
        <f t="shared" si="27"/>
        <v>yacopi</v>
      </c>
    </row>
    <row r="426" spans="1:42" ht="25.5" customHeight="1" x14ac:dyDescent="0.25">
      <c r="A426" s="33" t="s">
        <v>1192</v>
      </c>
      <c r="B426" s="11" t="s">
        <v>10</v>
      </c>
      <c r="C426" s="34" t="s">
        <v>112</v>
      </c>
      <c r="D426" s="69"/>
      <c r="E426" s="11" t="s">
        <v>1193</v>
      </c>
      <c r="F426" s="25" t="s">
        <v>106</v>
      </c>
      <c r="G426" s="25" t="s">
        <v>106</v>
      </c>
      <c r="H426" s="26" t="s">
        <v>106</v>
      </c>
      <c r="I426" s="26" t="str">
        <f>IF($AO426,"#N/D",IFERROR(INDEX(Olimpiadas!$A$2:$A$61,MATCH($AM426,Olimpiadas!$C$2:$C$61,0)),"#N/D"))</f>
        <v>#N/D</v>
      </c>
      <c r="J426" s="26" t="str">
        <f>IF($AO426,"#N/D",IFERROR(INDEX(Minculturas!$A$2:$A$48,MATCH($AM426,Minculturas!$C$2:$C$48,0)),"#N/D"))</f>
        <v>#N/D</v>
      </c>
      <c r="K426" s="26" t="str">
        <f>IF($AO426,"#N/D",IFERROR(INDEX(Minculturas!$B$2:$B$48,MATCH($AM426,Minculturas!$C$2:$C$48,0)),"#N/D"))</f>
        <v>#N/D</v>
      </c>
      <c r="L426" s="27">
        <v>2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2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  <c r="AC426" s="28">
        <v>0</v>
      </c>
      <c r="AD426" s="28">
        <v>0</v>
      </c>
      <c r="AE426" s="27">
        <f>SUM(Tabla43[[#This Row],[Edificación colapsada]:[Robo]])</f>
        <v>2</v>
      </c>
      <c r="AF426" s="28"/>
      <c r="AG426" s="28"/>
      <c r="AH426" s="28">
        <v>44</v>
      </c>
      <c r="AI426" s="28"/>
      <c r="AJ426" s="28"/>
      <c r="AK426" s="29" t="s">
        <v>657</v>
      </c>
      <c r="AM426" t="str">
        <f t="shared" si="24"/>
        <v>yali</v>
      </c>
      <c r="AN426" t="str">
        <f t="shared" si="25"/>
        <v>antioquia</v>
      </c>
      <c r="AO426" t="b">
        <f t="shared" si="26"/>
        <v>0</v>
      </c>
      <c r="AP426" t="str">
        <f t="shared" si="27"/>
        <v>yali</v>
      </c>
    </row>
    <row r="427" spans="1:42" ht="25.5" customHeight="1" x14ac:dyDescent="0.25">
      <c r="A427" s="33" t="s">
        <v>969</v>
      </c>
      <c r="B427" s="11" t="s">
        <v>10</v>
      </c>
      <c r="C427" s="34" t="s">
        <v>112</v>
      </c>
      <c r="D427" s="69"/>
      <c r="E427" s="11" t="s">
        <v>970</v>
      </c>
      <c r="F427" s="25" t="s">
        <v>106</v>
      </c>
      <c r="G427" s="25" t="s">
        <v>106</v>
      </c>
      <c r="H427" s="26" t="s">
        <v>106</v>
      </c>
      <c r="I427" s="26" t="str">
        <f>IF($AO427,"#N/D",IFERROR(INDEX(Olimpiadas!$A$2:$A$61,MATCH($AM427,Olimpiadas!$C$2:$C$61,0)),"#N/D"))</f>
        <v>#N/D</v>
      </c>
      <c r="J427" s="26" t="str">
        <f>IF($AO427,"#N/D",IFERROR(INDEX(Minculturas!$A$2:$A$48,MATCH($AM427,Minculturas!$C$2:$C$48,0)),"#N/D"))</f>
        <v>#N/D</v>
      </c>
      <c r="K427" s="26" t="str">
        <f>IF($AO427,"#N/D",IFERROR(INDEX(Minculturas!$B$2:$B$48,MATCH($AM427,Minculturas!$C$2:$C$48,0)),"#N/D"))</f>
        <v>#N/D</v>
      </c>
      <c r="L427" s="27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7">
        <f>SUM(Tabla43[[#This Row],[Edificación colapsada]:[Robo]])</f>
        <v>0</v>
      </c>
      <c r="AF427" s="28"/>
      <c r="AG427" s="28"/>
      <c r="AH427" s="28">
        <v>33.799999999999997</v>
      </c>
      <c r="AI427" s="28"/>
      <c r="AJ427" s="28"/>
      <c r="AK427" s="29" t="s">
        <v>657</v>
      </c>
      <c r="AM427" t="str">
        <f t="shared" si="24"/>
        <v>yarumal</v>
      </c>
      <c r="AN427" t="str">
        <f t="shared" si="25"/>
        <v>antioquia</v>
      </c>
      <c r="AO427" t="b">
        <f t="shared" si="26"/>
        <v>0</v>
      </c>
      <c r="AP427" t="str">
        <f t="shared" si="27"/>
        <v>yarumal</v>
      </c>
    </row>
    <row r="428" spans="1:42" ht="25.5" customHeight="1" x14ac:dyDescent="0.25">
      <c r="A428" s="33" t="s">
        <v>660</v>
      </c>
      <c r="B428" s="11" t="s">
        <v>10</v>
      </c>
      <c r="C428" s="34" t="s">
        <v>112</v>
      </c>
      <c r="D428" s="69"/>
      <c r="E428" s="11" t="s">
        <v>661</v>
      </c>
      <c r="F428" s="25" t="s">
        <v>106</v>
      </c>
      <c r="G428" s="25" t="s">
        <v>106</v>
      </c>
      <c r="H428" s="26" t="s">
        <v>106</v>
      </c>
      <c r="I428" s="26" t="str">
        <f>IF($AO428,"#N/D",IFERROR(INDEX(Olimpiadas!$A$2:$A$61,MATCH($AM428,Olimpiadas!$C$2:$C$61,0)),"#N/D"))</f>
        <v>#N/D</v>
      </c>
      <c r="J428" s="26" t="str">
        <f>IF($AO428,"#N/D",IFERROR(INDEX(Minculturas!$A$2:$A$48,MATCH($AM428,Minculturas!$C$2:$C$48,0)),"#N/D"))</f>
        <v>#N/D</v>
      </c>
      <c r="K428" s="26" t="str">
        <f>IF($AO428,"#N/D",IFERROR(INDEX(Minculturas!$B$2:$B$48,MATCH($AM428,Minculturas!$C$2:$C$48,0)),"#N/D"))</f>
        <v>#N/D</v>
      </c>
      <c r="L428" s="27">
        <v>1</v>
      </c>
      <c r="M428" s="28">
        <v>0</v>
      </c>
      <c r="N428" s="28">
        <v>1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  <c r="AC428" s="28">
        <v>0</v>
      </c>
      <c r="AD428" s="28">
        <v>0</v>
      </c>
      <c r="AE428" s="27">
        <f>SUM(Tabla43[[#This Row],[Edificación colapsada]:[Robo]])</f>
        <v>1</v>
      </c>
      <c r="AF428" s="28"/>
      <c r="AG428" s="28"/>
      <c r="AH428" s="28">
        <v>45</v>
      </c>
      <c r="AI428" s="28"/>
      <c r="AJ428" s="28"/>
      <c r="AK428" s="29" t="s">
        <v>114</v>
      </c>
      <c r="AM428" t="str">
        <f t="shared" si="24"/>
        <v>yolombo</v>
      </c>
      <c r="AN428" t="str">
        <f t="shared" si="25"/>
        <v>antioquia</v>
      </c>
      <c r="AO428" t="b">
        <f t="shared" si="26"/>
        <v>0</v>
      </c>
      <c r="AP428" t="str">
        <f t="shared" si="27"/>
        <v>yolombo</v>
      </c>
    </row>
    <row r="429" spans="1:42" ht="25.5" customHeight="1" x14ac:dyDescent="0.25">
      <c r="A429" s="33" t="s">
        <v>1194</v>
      </c>
      <c r="B429" s="11" t="s">
        <v>10</v>
      </c>
      <c r="C429" s="34" t="s">
        <v>112</v>
      </c>
      <c r="D429" s="69"/>
      <c r="E429" s="11" t="s">
        <v>1195</v>
      </c>
      <c r="F429" s="25" t="s">
        <v>106</v>
      </c>
      <c r="G429" s="25" t="s">
        <v>106</v>
      </c>
      <c r="H429" s="26" t="s">
        <v>106</v>
      </c>
      <c r="I429" s="26" t="str">
        <f>IF($AO429,"#N/D",IFERROR(INDEX(Olimpiadas!$A$2:$A$61,MATCH($AM429,Olimpiadas!$C$2:$C$61,0)),"#N/D"))</f>
        <v>#N/D</v>
      </c>
      <c r="J429" s="26" t="str">
        <f>IF($AO429,"#N/D",IFERROR(INDEX(Minculturas!$A$2:$A$48,MATCH($AM429,Minculturas!$C$2:$C$48,0)),"#N/D"))</f>
        <v>#N/D</v>
      </c>
      <c r="K429" s="26" t="str">
        <f>IF($AO429,"#N/D",IFERROR(INDEX(Minculturas!$B$2:$B$48,MATCH($AM429,Minculturas!$C$2:$C$48,0)),"#N/D"))</f>
        <v>#N/D</v>
      </c>
      <c r="L429" s="27">
        <v>1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1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7">
        <f>SUM(Tabla43[[#This Row],[Edificación colapsada]:[Robo]])</f>
        <v>1</v>
      </c>
      <c r="AF429" s="28"/>
      <c r="AG429" s="28"/>
      <c r="AH429" s="28">
        <v>46.3</v>
      </c>
      <c r="AI429" s="28"/>
      <c r="AJ429" s="28"/>
      <c r="AK429" s="29" t="s">
        <v>365</v>
      </c>
      <c r="AM429" t="str">
        <f t="shared" si="24"/>
        <v>yondo</v>
      </c>
      <c r="AN429" t="str">
        <f t="shared" si="25"/>
        <v>antioquia</v>
      </c>
      <c r="AO429" t="b">
        <f t="shared" si="26"/>
        <v>0</v>
      </c>
      <c r="AP429" t="str">
        <f t="shared" si="27"/>
        <v>yondo</v>
      </c>
    </row>
    <row r="430" spans="1:42" ht="25.5" customHeight="1" x14ac:dyDescent="0.25">
      <c r="A430" s="33" t="s">
        <v>326</v>
      </c>
      <c r="B430" s="11" t="s">
        <v>49</v>
      </c>
      <c r="C430" s="34" t="s">
        <v>112</v>
      </c>
      <c r="D430" s="69"/>
      <c r="E430" s="11" t="s">
        <v>327</v>
      </c>
      <c r="F430" s="25" t="s">
        <v>106</v>
      </c>
      <c r="G430" s="25" t="s">
        <v>106</v>
      </c>
      <c r="H430" s="26" t="s">
        <v>106</v>
      </c>
      <c r="I430" s="26" t="str">
        <f>IF($AO430,"#N/D",IFERROR(INDEX(Olimpiadas!$A$2:$A$61,MATCH($AM430,Olimpiadas!$C$2:$C$61,0)),"#N/D"))</f>
        <v>#N/D</v>
      </c>
      <c r="J430" s="26" t="str">
        <f>IF($AO430,"#N/D",IFERROR(INDEX(Minculturas!$A$2:$A$48,MATCH($AM430,Minculturas!$C$2:$C$48,0)),"#N/D"))</f>
        <v>#N/D</v>
      </c>
      <c r="K430" s="26" t="str">
        <f>IF($AO430,"#N/D",IFERROR(INDEX(Minculturas!$B$2:$B$48,MATCH($AM430,Minculturas!$C$2:$C$48,0)),"#N/D"))</f>
        <v>#N/D</v>
      </c>
      <c r="L430" s="27">
        <v>5</v>
      </c>
      <c r="M430" s="28">
        <v>0</v>
      </c>
      <c r="N430" s="28">
        <v>1</v>
      </c>
      <c r="O430" s="28">
        <v>2</v>
      </c>
      <c r="P430" s="28">
        <v>0</v>
      </c>
      <c r="Q430" s="28">
        <v>0</v>
      </c>
      <c r="R430" s="28">
        <v>0</v>
      </c>
      <c r="S430" s="28">
        <v>1</v>
      </c>
      <c r="T430" s="28">
        <v>0</v>
      </c>
      <c r="U430" s="28">
        <v>0</v>
      </c>
      <c r="V430" s="28">
        <v>1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  <c r="AC430" s="28">
        <v>0</v>
      </c>
      <c r="AD430" s="28">
        <v>0</v>
      </c>
      <c r="AE430" s="27">
        <f>SUM(Tabla43[[#This Row],[Edificación colapsada]:[Robo]])</f>
        <v>5</v>
      </c>
      <c r="AF430" s="28" t="s">
        <v>328</v>
      </c>
      <c r="AG430" s="28" t="s">
        <v>329</v>
      </c>
      <c r="AH430" s="28">
        <v>20.8</v>
      </c>
      <c r="AI430" s="28"/>
      <c r="AJ430" s="28"/>
      <c r="AK430" s="29" t="s">
        <v>246</v>
      </c>
      <c r="AM430" t="str">
        <f t="shared" si="24"/>
        <v>yotoco</v>
      </c>
      <c r="AN430" t="str">
        <f t="shared" si="25"/>
        <v>valle del cauca</v>
      </c>
      <c r="AO430" t="b">
        <f t="shared" si="26"/>
        <v>0</v>
      </c>
      <c r="AP430" t="str">
        <f t="shared" si="27"/>
        <v>yotoco</v>
      </c>
    </row>
    <row r="431" spans="1:42" ht="25.5" customHeight="1" x14ac:dyDescent="0.25">
      <c r="A431" s="33" t="s">
        <v>662</v>
      </c>
      <c r="B431" s="11" t="s">
        <v>10</v>
      </c>
      <c r="C431" s="34" t="s">
        <v>112</v>
      </c>
      <c r="D431" s="69"/>
      <c r="E431" s="11" t="s">
        <v>663</v>
      </c>
      <c r="F431" s="25" t="s">
        <v>106</v>
      </c>
      <c r="G431" s="25" t="s">
        <v>106</v>
      </c>
      <c r="H431" s="26" t="s">
        <v>106</v>
      </c>
      <c r="I431" s="26" t="str">
        <f>IF($AO431,"#N/D",IFERROR(INDEX(Olimpiadas!$A$2:$A$61,MATCH($AM431,Olimpiadas!$C$2:$C$61,0)),"#N/D"))</f>
        <v>#N/D</v>
      </c>
      <c r="J431" s="26" t="str">
        <f>IF($AO431,"#N/D",IFERROR(INDEX(Minculturas!$A$2:$A$48,MATCH($AM431,Minculturas!$C$2:$C$48,0)),"#N/D"))</f>
        <v>#N/D</v>
      </c>
      <c r="K431" s="26" t="str">
        <f>IF($AO431,"#N/D",IFERROR(INDEX(Minculturas!$B$2:$B$48,MATCH($AM431,Minculturas!$C$2:$C$48,0)),"#N/D"))</f>
        <v>#N/D</v>
      </c>
      <c r="L431" s="27">
        <v>1</v>
      </c>
      <c r="M431" s="28">
        <v>0</v>
      </c>
      <c r="N431" s="28">
        <v>1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  <c r="AE431" s="27">
        <f>SUM(Tabla43[[#This Row],[Edificación colapsada]:[Robo]])</f>
        <v>1</v>
      </c>
      <c r="AF431" s="28"/>
      <c r="AG431" s="28"/>
      <c r="AH431" s="28">
        <v>58</v>
      </c>
      <c r="AI431" s="28"/>
      <c r="AJ431" s="28"/>
      <c r="AK431" s="29" t="s">
        <v>114</v>
      </c>
      <c r="AM431" t="str">
        <f t="shared" si="24"/>
        <v>zaragoza</v>
      </c>
      <c r="AN431" t="str">
        <f t="shared" si="25"/>
        <v>antioquia</v>
      </c>
      <c r="AO431" t="b">
        <f t="shared" si="26"/>
        <v>0</v>
      </c>
      <c r="AP431" t="str">
        <f t="shared" si="27"/>
        <v>zaragoza</v>
      </c>
    </row>
    <row r="432" spans="1:42" ht="25.5" customHeight="1" x14ac:dyDescent="0.25">
      <c r="A432" s="33" t="s">
        <v>1101</v>
      </c>
      <c r="B432" s="11" t="s">
        <v>35</v>
      </c>
      <c r="C432" s="34" t="s">
        <v>112</v>
      </c>
      <c r="D432" s="69"/>
      <c r="E432" s="11" t="s">
        <v>1102</v>
      </c>
      <c r="F432" s="25" t="s">
        <v>106</v>
      </c>
      <c r="G432" s="25" t="s">
        <v>106</v>
      </c>
      <c r="H432" s="26" t="s">
        <v>106</v>
      </c>
      <c r="I432" s="26" t="str">
        <f>IF($AO432,"#N/D",IFERROR(INDEX(Olimpiadas!$A$2:$A$61,MATCH($AM432,Olimpiadas!$C$2:$C$61,0)),"#N/D"))</f>
        <v>#N/D</v>
      </c>
      <c r="J432" s="26" t="str">
        <f>IF($AO432,"#N/D",IFERROR(INDEX(Minculturas!$A$2:$A$48,MATCH($AM432,Minculturas!$C$2:$C$48,0)),"#N/D"))</f>
        <v>#N/D</v>
      </c>
      <c r="K432" s="26" t="str">
        <f>IF($AO432,"#N/D",IFERROR(INDEX(Minculturas!$B$2:$B$48,MATCH($AM432,Minculturas!$C$2:$C$48,0)),"#N/D"))</f>
        <v>#N/D</v>
      </c>
      <c r="L432" s="27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0</v>
      </c>
      <c r="AC432" s="28">
        <v>0</v>
      </c>
      <c r="AD432" s="28">
        <v>0</v>
      </c>
      <c r="AE432" s="27">
        <f>SUM(Tabla43[[#This Row],[Edificación colapsada]:[Robo]])</f>
        <v>0</v>
      </c>
      <c r="AF432" s="28"/>
      <c r="AG432" s="28"/>
      <c r="AH432" s="28">
        <v>20.5</v>
      </c>
      <c r="AI432" s="28"/>
      <c r="AJ432" s="28"/>
      <c r="AK432" s="29" t="s">
        <v>246</v>
      </c>
      <c r="AM432" t="str">
        <f t="shared" si="24"/>
        <v>zipacon</v>
      </c>
      <c r="AN432" t="str">
        <f t="shared" si="25"/>
        <v>cundinamarca</v>
      </c>
      <c r="AO432" t="b">
        <f t="shared" si="26"/>
        <v>0</v>
      </c>
      <c r="AP432" t="str">
        <f t="shared" si="27"/>
        <v>zipacon</v>
      </c>
    </row>
    <row r="433" spans="1:42" ht="25.5" customHeight="1" x14ac:dyDescent="0.25">
      <c r="A433" s="53" t="s">
        <v>1179</v>
      </c>
      <c r="B433" s="7" t="s">
        <v>35</v>
      </c>
      <c r="C433" s="54" t="s">
        <v>112</v>
      </c>
      <c r="D433" s="70"/>
      <c r="E433" s="7" t="s">
        <v>1180</v>
      </c>
      <c r="F433" s="25" t="s">
        <v>106</v>
      </c>
      <c r="G433" s="25" t="s">
        <v>106</v>
      </c>
      <c r="H433" s="39" t="s">
        <v>106</v>
      </c>
      <c r="I433" s="39" t="str">
        <f>IF($AO433,"#N/D",IFERROR(INDEX(Olimpiadas!$A$2:$A$61,MATCH($AM433,Olimpiadas!$C$2:$C$61,0)),"#N/D"))</f>
        <v>#N/D</v>
      </c>
      <c r="J433" s="39" t="str">
        <f>IF($AO433,"#N/D",IFERROR(INDEX(Minculturas!$A$2:$A$48,MATCH($AM433,Minculturas!$C$2:$C$48,0)),"#N/D"))</f>
        <v>#N/D</v>
      </c>
      <c r="K433" s="39" t="str">
        <f>IF($AO433,"#N/D",IFERROR(INDEX(Minculturas!$B$2:$B$48,MATCH($AM433,Minculturas!$C$2:$C$48,0)),"#N/D"))</f>
        <v>#N/D</v>
      </c>
      <c r="L433" s="36">
        <v>5</v>
      </c>
      <c r="M433" s="35">
        <v>0</v>
      </c>
      <c r="N433" s="35">
        <v>0</v>
      </c>
      <c r="O433" s="35">
        <v>0</v>
      </c>
      <c r="P433" s="35">
        <v>0</v>
      </c>
      <c r="Q433" s="35">
        <v>0</v>
      </c>
      <c r="R433" s="35">
        <v>0</v>
      </c>
      <c r="S433" s="35">
        <v>1</v>
      </c>
      <c r="T433" s="35">
        <v>0</v>
      </c>
      <c r="U433" s="35">
        <v>0</v>
      </c>
      <c r="V433" s="35">
        <v>0</v>
      </c>
      <c r="W433" s="35">
        <v>3</v>
      </c>
      <c r="X433" s="35">
        <v>1</v>
      </c>
      <c r="Y433" s="35">
        <v>0</v>
      </c>
      <c r="Z433" s="35">
        <v>0</v>
      </c>
      <c r="AA433" s="35">
        <v>0</v>
      </c>
      <c r="AB433" s="35">
        <v>0</v>
      </c>
      <c r="AC433" s="35">
        <v>0</v>
      </c>
      <c r="AD433" s="35">
        <v>0</v>
      </c>
      <c r="AE433" s="36">
        <f>SUM(Tabla43[[#This Row],[Edificación colapsada]:[Robo]])</f>
        <v>5</v>
      </c>
      <c r="AF433" s="35"/>
      <c r="AG433" s="35"/>
      <c r="AH433" s="35">
        <v>10.3</v>
      </c>
      <c r="AI433" s="35"/>
      <c r="AJ433" s="35"/>
      <c r="AK433" s="56" t="s">
        <v>114</v>
      </c>
      <c r="AM433" t="str">
        <f t="shared" si="24"/>
        <v>zipaquira</v>
      </c>
      <c r="AN433" t="str">
        <f t="shared" si="25"/>
        <v>cundinamarca</v>
      </c>
      <c r="AO433" t="b">
        <f t="shared" si="26"/>
        <v>0</v>
      </c>
      <c r="AP433" t="str">
        <f t="shared" si="27"/>
        <v>zipaquira</v>
      </c>
    </row>
    <row r="437" spans="1:42" ht="15" customHeight="1" x14ac:dyDescent="0.25">
      <c r="A437" s="57" t="s">
        <v>1213</v>
      </c>
      <c r="B437" s="57"/>
      <c r="C437" s="57"/>
      <c r="D437" s="57"/>
      <c r="E437" s="58"/>
      <c r="F437" s="58"/>
      <c r="G437" s="58"/>
      <c r="H437" s="58"/>
      <c r="I437" s="58"/>
      <c r="J437" s="58"/>
      <c r="K437" s="58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</row>
    <row r="454" spans="1:11" ht="15" customHeight="1" x14ac:dyDescent="0.25">
      <c r="A454" s="28"/>
      <c r="B454" s="28"/>
      <c r="C454" s="28"/>
      <c r="D454" s="28"/>
      <c r="E454" s="28"/>
      <c r="F454" s="35"/>
      <c r="G454" s="35"/>
      <c r="H454" s="35"/>
      <c r="I454" s="35"/>
      <c r="J454" s="35"/>
      <c r="K454" s="35"/>
    </row>
    <row r="455" spans="1:11" ht="15" customHeight="1" x14ac:dyDescent="0.25">
      <c r="A455" s="28"/>
      <c r="B455" s="28"/>
      <c r="C455" s="28"/>
      <c r="D455" s="28"/>
      <c r="E455" s="28"/>
      <c r="F455" s="35"/>
      <c r="G455" s="35"/>
      <c r="H455" s="35"/>
      <c r="I455" s="35"/>
      <c r="J455" s="35"/>
      <c r="K455" s="35"/>
    </row>
    <row r="456" spans="1:11" ht="15" customHeight="1" x14ac:dyDescent="0.25">
      <c r="A456" s="28"/>
      <c r="B456" s="28"/>
      <c r="C456" s="28"/>
      <c r="D456" s="28"/>
      <c r="E456" s="28"/>
      <c r="F456" s="35"/>
      <c r="G456" s="35"/>
      <c r="H456" s="35"/>
      <c r="I456" s="35"/>
      <c r="J456" s="35"/>
      <c r="K456" s="35"/>
    </row>
    <row r="457" spans="1:11" ht="15" customHeight="1" x14ac:dyDescent="0.25">
      <c r="A457" s="28"/>
      <c r="B457" s="28"/>
      <c r="C457" s="28"/>
      <c r="D457" s="28"/>
      <c r="E457" s="28"/>
      <c r="F457" s="35"/>
      <c r="G457" s="35"/>
      <c r="H457" s="35"/>
      <c r="I457" s="35"/>
      <c r="J457" s="35"/>
      <c r="K457" s="35"/>
    </row>
    <row r="458" spans="1:11" ht="15" customHeight="1" x14ac:dyDescent="0.25">
      <c r="A458" s="28"/>
      <c r="B458" s="28"/>
      <c r="C458" s="28"/>
      <c r="D458" s="28"/>
      <c r="E458" s="28"/>
      <c r="F458" s="35"/>
      <c r="G458" s="35"/>
      <c r="H458" s="35"/>
      <c r="I458" s="35"/>
      <c r="J458" s="35"/>
      <c r="K458" s="35"/>
    </row>
    <row r="459" spans="1:11" ht="15" customHeight="1" x14ac:dyDescent="0.25">
      <c r="A459" s="28"/>
      <c r="B459" s="28"/>
      <c r="C459" s="28"/>
      <c r="D459" s="28"/>
      <c r="E459" s="28"/>
      <c r="F459" s="35"/>
      <c r="G459" s="35"/>
      <c r="H459" s="35"/>
      <c r="I459" s="35"/>
      <c r="J459" s="35"/>
      <c r="K459" s="35"/>
    </row>
    <row r="460" spans="1:11" ht="15" customHeight="1" x14ac:dyDescent="0.25">
      <c r="A460" s="28"/>
      <c r="B460" s="28"/>
      <c r="C460" s="28"/>
      <c r="D460" s="28"/>
      <c r="E460" s="28"/>
      <c r="F460" s="35"/>
      <c r="G460" s="35"/>
      <c r="H460" s="35"/>
      <c r="I460" s="35"/>
      <c r="J460" s="35"/>
      <c r="K460" s="35"/>
    </row>
    <row r="461" spans="1:11" ht="15" customHeight="1" x14ac:dyDescent="0.25">
      <c r="A461" s="28"/>
      <c r="B461" s="28"/>
      <c r="C461" s="28"/>
      <c r="D461" s="28"/>
      <c r="E461" s="28"/>
      <c r="F461" s="35"/>
      <c r="G461" s="35"/>
      <c r="H461" s="35"/>
      <c r="I461" s="35"/>
      <c r="J461" s="35"/>
      <c r="K461" s="35"/>
    </row>
    <row r="462" spans="1:11" ht="15" customHeight="1" x14ac:dyDescent="0.25">
      <c r="A462" s="28"/>
      <c r="B462" s="28"/>
      <c r="C462" s="28"/>
      <c r="D462" s="28"/>
      <c r="E462" s="28"/>
      <c r="F462" s="35"/>
      <c r="G462" s="35"/>
      <c r="H462" s="35"/>
      <c r="I462" s="35"/>
      <c r="J462" s="35"/>
      <c r="K462" s="3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"/>
  <sheetViews>
    <sheetView zoomScaleNormal="100" workbookViewId="0">
      <selection activeCell="B1" sqref="B1"/>
    </sheetView>
  </sheetViews>
  <sheetFormatPr baseColWidth="10" defaultColWidth="10.7109375" defaultRowHeight="15" x14ac:dyDescent="0.25"/>
  <sheetData>
    <row r="1" spans="1:3" ht="15" customHeight="1" x14ac:dyDescent="0.25">
      <c r="A1" s="71" t="s">
        <v>1219</v>
      </c>
      <c r="B1" s="72" t="s">
        <v>1220</v>
      </c>
      <c r="C1" t="s">
        <v>89</v>
      </c>
    </row>
    <row r="2" spans="1:3" ht="15" customHeight="1" x14ac:dyDescent="0.25">
      <c r="A2" s="73" t="s">
        <v>166</v>
      </c>
      <c r="B2" s="73" t="s">
        <v>1221</v>
      </c>
      <c r="C2" t="str">
        <f t="shared" ref="C2:C48" si="0">TRIM(SUBSTITUTE(SUBSTITUTE(SUBSTITUTE(SUBSTITUTE(SUBSTITUTE(SUBSTITUTE(SUBSTITUTE(SUBSTITUTE(SUBSTITUTE(LOWER(A2),"á","a"),"é","e"),"í","i"),"ó","o"),"ú","u"),"ñ","n"),"-"," "),","," "),"."," "))</f>
        <v>nuqui</v>
      </c>
    </row>
    <row r="3" spans="1:3" ht="15" customHeight="1" x14ac:dyDescent="0.25">
      <c r="A3" s="74" t="s">
        <v>166</v>
      </c>
      <c r="B3" s="74" t="s">
        <v>1222</v>
      </c>
      <c r="C3" t="str">
        <f t="shared" si="0"/>
        <v>nuqui</v>
      </c>
    </row>
    <row r="4" spans="1:3" ht="15" customHeight="1" x14ac:dyDescent="0.25">
      <c r="A4" s="73" t="s">
        <v>166</v>
      </c>
      <c r="B4" s="73" t="s">
        <v>1223</v>
      </c>
      <c r="C4" t="str">
        <f t="shared" si="0"/>
        <v>nuqui</v>
      </c>
    </row>
    <row r="5" spans="1:3" ht="15" customHeight="1" x14ac:dyDescent="0.25">
      <c r="A5" s="74" t="s">
        <v>166</v>
      </c>
      <c r="B5" s="74" t="s">
        <v>1224</v>
      </c>
      <c r="C5" t="str">
        <f t="shared" si="0"/>
        <v>nuqui</v>
      </c>
    </row>
    <row r="6" spans="1:3" ht="15" customHeight="1" x14ac:dyDescent="0.25">
      <c r="A6" s="73" t="s">
        <v>166</v>
      </c>
      <c r="B6" s="73" t="s">
        <v>1225</v>
      </c>
      <c r="C6" t="str">
        <f t="shared" si="0"/>
        <v>nuqui</v>
      </c>
    </row>
    <row r="7" spans="1:3" ht="15" customHeight="1" x14ac:dyDescent="0.25">
      <c r="A7" s="74" t="s">
        <v>166</v>
      </c>
      <c r="B7" s="74" t="s">
        <v>1226</v>
      </c>
      <c r="C7" t="str">
        <f t="shared" si="0"/>
        <v>nuqui</v>
      </c>
    </row>
    <row r="8" spans="1:3" ht="15" customHeight="1" x14ac:dyDescent="0.25">
      <c r="A8" s="73" t="s">
        <v>166</v>
      </c>
      <c r="B8" s="73" t="s">
        <v>1227</v>
      </c>
      <c r="C8" t="str">
        <f t="shared" si="0"/>
        <v>nuqui</v>
      </c>
    </row>
    <row r="9" spans="1:3" ht="15" customHeight="1" x14ac:dyDescent="0.25">
      <c r="A9" s="74" t="s">
        <v>166</v>
      </c>
      <c r="B9" s="74" t="s">
        <v>1227</v>
      </c>
      <c r="C9" t="str">
        <f t="shared" si="0"/>
        <v>nuqui</v>
      </c>
    </row>
    <row r="10" spans="1:3" ht="15" customHeight="1" x14ac:dyDescent="0.25">
      <c r="A10" s="73" t="s">
        <v>166</v>
      </c>
      <c r="B10" s="75" t="s">
        <v>1228</v>
      </c>
      <c r="C10" t="str">
        <f t="shared" si="0"/>
        <v>nuqui</v>
      </c>
    </row>
    <row r="11" spans="1:3" ht="15" customHeight="1" x14ac:dyDescent="0.25">
      <c r="A11" s="74" t="s">
        <v>166</v>
      </c>
      <c r="B11" s="74" t="s">
        <v>1229</v>
      </c>
      <c r="C11" t="str">
        <f t="shared" si="0"/>
        <v>nuqui</v>
      </c>
    </row>
    <row r="12" spans="1:3" ht="15" customHeight="1" x14ac:dyDescent="0.25">
      <c r="A12" s="73" t="s">
        <v>166</v>
      </c>
      <c r="B12" s="73" t="s">
        <v>1230</v>
      </c>
      <c r="C12" t="str">
        <f t="shared" si="0"/>
        <v>nuqui</v>
      </c>
    </row>
    <row r="13" spans="1:3" ht="15" customHeight="1" x14ac:dyDescent="0.25">
      <c r="A13" s="74" t="s">
        <v>166</v>
      </c>
      <c r="B13" s="74" t="s">
        <v>1231</v>
      </c>
      <c r="C13" t="str">
        <f t="shared" si="0"/>
        <v>nuqui</v>
      </c>
    </row>
    <row r="14" spans="1:3" ht="15" customHeight="1" x14ac:dyDescent="0.25">
      <c r="A14" s="73" t="s">
        <v>166</v>
      </c>
      <c r="B14" s="73" t="s">
        <v>1232</v>
      </c>
      <c r="C14" t="str">
        <f t="shared" si="0"/>
        <v>nuqui</v>
      </c>
    </row>
    <row r="15" spans="1:3" ht="15" customHeight="1" x14ac:dyDescent="0.25">
      <c r="A15" s="74" t="s">
        <v>166</v>
      </c>
      <c r="B15" s="74" t="s">
        <v>1233</v>
      </c>
      <c r="C15" t="str">
        <f t="shared" si="0"/>
        <v>nuqui</v>
      </c>
    </row>
    <row r="16" spans="1:3" ht="15" customHeight="1" x14ac:dyDescent="0.25">
      <c r="A16" s="73" t="s">
        <v>166</v>
      </c>
      <c r="B16" s="73" t="s">
        <v>1234</v>
      </c>
      <c r="C16" t="str">
        <f t="shared" si="0"/>
        <v>nuqui</v>
      </c>
    </row>
    <row r="17" spans="1:3" ht="15" customHeight="1" x14ac:dyDescent="0.25">
      <c r="A17" s="74" t="s">
        <v>166</v>
      </c>
      <c r="B17" s="74" t="s">
        <v>1235</v>
      </c>
      <c r="C17" t="str">
        <f t="shared" si="0"/>
        <v>nuqui</v>
      </c>
    </row>
    <row r="18" spans="1:3" ht="15" customHeight="1" x14ac:dyDescent="0.25">
      <c r="A18" s="73" t="s">
        <v>166</v>
      </c>
      <c r="B18" s="73" t="s">
        <v>1236</v>
      </c>
      <c r="C18" t="str">
        <f t="shared" si="0"/>
        <v>nuqui</v>
      </c>
    </row>
    <row r="19" spans="1:3" ht="15" customHeight="1" x14ac:dyDescent="0.25">
      <c r="A19" s="74" t="s">
        <v>166</v>
      </c>
      <c r="B19" s="74" t="s">
        <v>1237</v>
      </c>
      <c r="C19" t="str">
        <f t="shared" si="0"/>
        <v>nuqui</v>
      </c>
    </row>
    <row r="20" spans="1:3" ht="15" customHeight="1" x14ac:dyDescent="0.25">
      <c r="A20" s="73" t="s">
        <v>166</v>
      </c>
      <c r="B20" s="73" t="s">
        <v>1238</v>
      </c>
      <c r="C20" t="str">
        <f t="shared" si="0"/>
        <v>nuqui</v>
      </c>
    </row>
    <row r="21" spans="1:3" ht="15" customHeight="1" x14ac:dyDescent="0.25">
      <c r="A21" s="74" t="s">
        <v>166</v>
      </c>
      <c r="B21" s="74" t="s">
        <v>1239</v>
      </c>
      <c r="C21" t="str">
        <f t="shared" si="0"/>
        <v>nuqui</v>
      </c>
    </row>
    <row r="22" spans="1:3" ht="15" customHeight="1" x14ac:dyDescent="0.25">
      <c r="A22" s="73" t="s">
        <v>166</v>
      </c>
      <c r="B22" s="73" t="s">
        <v>1240</v>
      </c>
      <c r="C22" t="str">
        <f t="shared" si="0"/>
        <v>nuqui</v>
      </c>
    </row>
    <row r="23" spans="1:3" ht="15" customHeight="1" x14ac:dyDescent="0.25">
      <c r="A23" s="74" t="s">
        <v>166</v>
      </c>
      <c r="B23" s="74"/>
      <c r="C23" t="str">
        <f t="shared" si="0"/>
        <v>nuqui</v>
      </c>
    </row>
    <row r="24" spans="1:3" ht="45" customHeight="1" x14ac:dyDescent="0.25">
      <c r="A24" s="76" t="s">
        <v>1241</v>
      </c>
      <c r="B24" s="77" t="s">
        <v>1242</v>
      </c>
      <c r="C24" t="str">
        <f t="shared" si="0"/>
        <v>unguia</v>
      </c>
    </row>
    <row r="25" spans="1:3" ht="180" customHeight="1" x14ac:dyDescent="0.25">
      <c r="A25" s="78" t="s">
        <v>1241</v>
      </c>
      <c r="B25" s="79" t="s">
        <v>1243</v>
      </c>
      <c r="C25" t="str">
        <f t="shared" si="0"/>
        <v>unguia</v>
      </c>
    </row>
    <row r="26" spans="1:3" ht="75" customHeight="1" x14ac:dyDescent="0.25">
      <c r="A26" s="76" t="s">
        <v>1241</v>
      </c>
      <c r="B26" s="77" t="s">
        <v>1244</v>
      </c>
      <c r="C26" t="str">
        <f t="shared" si="0"/>
        <v>unguia</v>
      </c>
    </row>
    <row r="27" spans="1:3" ht="45" customHeight="1" x14ac:dyDescent="0.25">
      <c r="A27" s="78" t="s">
        <v>1241</v>
      </c>
      <c r="B27" s="79" t="s">
        <v>1245</v>
      </c>
      <c r="C27" t="str">
        <f t="shared" si="0"/>
        <v>unguia</v>
      </c>
    </row>
    <row r="28" spans="1:3" ht="120" customHeight="1" x14ac:dyDescent="0.25">
      <c r="A28" s="76" t="s">
        <v>1241</v>
      </c>
      <c r="B28" s="77" t="s">
        <v>1246</v>
      </c>
      <c r="C28" t="str">
        <f t="shared" si="0"/>
        <v>unguia</v>
      </c>
    </row>
    <row r="29" spans="1:3" ht="45" customHeight="1" x14ac:dyDescent="0.25">
      <c r="A29" s="78" t="s">
        <v>1241</v>
      </c>
      <c r="B29" s="79" t="s">
        <v>1247</v>
      </c>
      <c r="C29" t="str">
        <f t="shared" si="0"/>
        <v>unguia</v>
      </c>
    </row>
    <row r="30" spans="1:3" ht="150" customHeight="1" x14ac:dyDescent="0.25">
      <c r="A30" s="76" t="s">
        <v>1241</v>
      </c>
      <c r="B30" s="77" t="s">
        <v>1248</v>
      </c>
      <c r="C30" t="str">
        <f t="shared" si="0"/>
        <v>unguia</v>
      </c>
    </row>
    <row r="31" spans="1:3" ht="105" customHeight="1" x14ac:dyDescent="0.25">
      <c r="A31" s="78" t="s">
        <v>1241</v>
      </c>
      <c r="B31" s="79" t="s">
        <v>1249</v>
      </c>
      <c r="C31" t="str">
        <f t="shared" si="0"/>
        <v>unguia</v>
      </c>
    </row>
    <row r="32" spans="1:3" ht="120" customHeight="1" x14ac:dyDescent="0.25">
      <c r="A32" s="76" t="s">
        <v>1241</v>
      </c>
      <c r="B32" s="77" t="s">
        <v>1250</v>
      </c>
      <c r="C32" t="str">
        <f t="shared" si="0"/>
        <v>unguia</v>
      </c>
    </row>
    <row r="33" spans="1:3" ht="60" customHeight="1" x14ac:dyDescent="0.25">
      <c r="A33" s="78" t="s">
        <v>1241</v>
      </c>
      <c r="B33" s="79" t="s">
        <v>1251</v>
      </c>
      <c r="C33" t="str">
        <f t="shared" si="0"/>
        <v>unguia</v>
      </c>
    </row>
    <row r="34" spans="1:3" ht="75" customHeight="1" x14ac:dyDescent="0.25">
      <c r="A34" s="76" t="s">
        <v>1241</v>
      </c>
      <c r="B34" s="77" t="s">
        <v>1252</v>
      </c>
      <c r="C34" t="str">
        <f t="shared" si="0"/>
        <v>unguia</v>
      </c>
    </row>
    <row r="35" spans="1:3" ht="60" customHeight="1" x14ac:dyDescent="0.25">
      <c r="A35" s="78" t="s">
        <v>1241</v>
      </c>
      <c r="B35" s="79" t="s">
        <v>1253</v>
      </c>
      <c r="C35" t="str">
        <f t="shared" si="0"/>
        <v>unguia</v>
      </c>
    </row>
    <row r="36" spans="1:3" ht="180" customHeight="1" x14ac:dyDescent="0.25">
      <c r="A36" s="76" t="s">
        <v>1241</v>
      </c>
      <c r="B36" s="77" t="s">
        <v>1254</v>
      </c>
      <c r="C36" t="str">
        <f t="shared" si="0"/>
        <v>unguia</v>
      </c>
    </row>
    <row r="37" spans="1:3" ht="105" customHeight="1" x14ac:dyDescent="0.25">
      <c r="A37" s="78" t="s">
        <v>1241</v>
      </c>
      <c r="B37" s="79" t="s">
        <v>1255</v>
      </c>
      <c r="C37" t="str">
        <f t="shared" si="0"/>
        <v>unguia</v>
      </c>
    </row>
    <row r="38" spans="1:3" ht="105" customHeight="1" x14ac:dyDescent="0.25">
      <c r="A38" s="76" t="s">
        <v>1241</v>
      </c>
      <c r="B38" s="77" t="s">
        <v>1256</v>
      </c>
      <c r="C38" t="str">
        <f t="shared" si="0"/>
        <v>unguia</v>
      </c>
    </row>
    <row r="39" spans="1:3" ht="15" customHeight="1" x14ac:dyDescent="0.25">
      <c r="A39" s="78" t="s">
        <v>1241</v>
      </c>
      <c r="B39" s="74" t="s">
        <v>1257</v>
      </c>
      <c r="C39" t="str">
        <f t="shared" si="0"/>
        <v>unguia</v>
      </c>
    </row>
    <row r="40" spans="1:3" ht="135" customHeight="1" x14ac:dyDescent="0.25">
      <c r="A40" s="76" t="s">
        <v>1241</v>
      </c>
      <c r="B40" s="77" t="s">
        <v>1258</v>
      </c>
      <c r="C40" t="str">
        <f t="shared" si="0"/>
        <v>unguia</v>
      </c>
    </row>
    <row r="41" spans="1:3" ht="15" customHeight="1" x14ac:dyDescent="0.25">
      <c r="A41" s="78" t="s">
        <v>1241</v>
      </c>
      <c r="B41" s="74" t="s">
        <v>1259</v>
      </c>
      <c r="C41" t="str">
        <f t="shared" si="0"/>
        <v>unguia</v>
      </c>
    </row>
    <row r="42" spans="1:3" ht="15" customHeight="1" x14ac:dyDescent="0.25">
      <c r="A42" s="76" t="s">
        <v>1241</v>
      </c>
      <c r="B42" s="73" t="s">
        <v>1260</v>
      </c>
      <c r="C42" t="str">
        <f t="shared" si="0"/>
        <v>unguia</v>
      </c>
    </row>
    <row r="43" spans="1:3" ht="15" customHeight="1" x14ac:dyDescent="0.25">
      <c r="A43" s="78" t="s">
        <v>1241</v>
      </c>
      <c r="B43" s="74" t="s">
        <v>1261</v>
      </c>
      <c r="C43" t="str">
        <f t="shared" si="0"/>
        <v>unguia</v>
      </c>
    </row>
    <row r="44" spans="1:3" ht="60" customHeight="1" x14ac:dyDescent="0.25">
      <c r="A44" s="76" t="s">
        <v>1241</v>
      </c>
      <c r="B44" s="77" t="s">
        <v>1262</v>
      </c>
      <c r="C44" t="str">
        <f t="shared" si="0"/>
        <v>unguia</v>
      </c>
    </row>
    <row r="45" spans="1:3" ht="90" customHeight="1" x14ac:dyDescent="0.25">
      <c r="A45" s="78" t="s">
        <v>574</v>
      </c>
      <c r="B45" s="79" t="s">
        <v>1263</v>
      </c>
      <c r="C45" t="str">
        <f t="shared" si="0"/>
        <v>acandi</v>
      </c>
    </row>
    <row r="46" spans="1:3" ht="105" customHeight="1" x14ac:dyDescent="0.25">
      <c r="A46" s="76" t="s">
        <v>574</v>
      </c>
      <c r="B46" s="77" t="s">
        <v>1264</v>
      </c>
      <c r="C46" t="str">
        <f t="shared" si="0"/>
        <v>acandi</v>
      </c>
    </row>
    <row r="47" spans="1:3" ht="15" customHeight="1" x14ac:dyDescent="0.25">
      <c r="A47" s="78" t="s">
        <v>574</v>
      </c>
      <c r="B47" s="74" t="s">
        <v>1265</v>
      </c>
      <c r="C47" t="str">
        <f t="shared" si="0"/>
        <v>acandi</v>
      </c>
    </row>
    <row r="48" spans="1:3" ht="15" customHeight="1" x14ac:dyDescent="0.25">
      <c r="A48" s="73" t="s">
        <v>574</v>
      </c>
      <c r="B48" s="73" t="s">
        <v>1266</v>
      </c>
      <c r="C48" t="str">
        <f t="shared" si="0"/>
        <v>acandi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61"/>
  <sheetViews>
    <sheetView zoomScaleNormal="100" workbookViewId="0">
      <selection activeCell="A58" sqref="A58"/>
    </sheetView>
  </sheetViews>
  <sheetFormatPr baseColWidth="10" defaultColWidth="10.7109375" defaultRowHeight="15" x14ac:dyDescent="0.25"/>
  <cols>
    <col min="1" max="1" width="38" customWidth="1"/>
    <col min="2" max="2" width="53.5703125" customWidth="1"/>
  </cols>
  <sheetData>
    <row r="1" spans="1:3" ht="33" customHeight="1" x14ac:dyDescent="0.25">
      <c r="A1" s="80" t="s">
        <v>1267</v>
      </c>
      <c r="B1" s="80" t="s">
        <v>1268</v>
      </c>
      <c r="C1" t="s">
        <v>89</v>
      </c>
    </row>
    <row r="2" spans="1:3" ht="15" hidden="1" customHeight="1" x14ac:dyDescent="0.25">
      <c r="A2" t="s">
        <v>1269</v>
      </c>
      <c r="B2" s="81" t="s">
        <v>838</v>
      </c>
      <c r="C2" t="str">
        <f t="shared" ref="C2:C33" si="0">TRIM(SUBSTITUTE(SUBSTITUTE(SUBSTITUTE(SUBSTITUTE(SUBSTITUTE(SUBSTITUTE(SUBSTITUTE(SUBSTITUTE(SUBSTITUTE(LOWER(B2),"á","a"),"é","e"),"í","i"),"ó","o"),"ú","u"),"ñ","n"),"-"," "),","," "),"."," "))</f>
        <v>medellin</v>
      </c>
    </row>
    <row r="3" spans="1:3" ht="15" hidden="1" customHeight="1" x14ac:dyDescent="0.25">
      <c r="A3" t="s">
        <v>1270</v>
      </c>
      <c r="B3" s="82" t="s">
        <v>132</v>
      </c>
      <c r="C3" t="str">
        <f t="shared" si="0"/>
        <v>garzon</v>
      </c>
    </row>
    <row r="4" spans="1:3" ht="15" hidden="1" customHeight="1" x14ac:dyDescent="0.25">
      <c r="A4" t="s">
        <v>1271</v>
      </c>
      <c r="B4" s="81" t="s">
        <v>17</v>
      </c>
      <c r="C4" t="str">
        <f t="shared" si="0"/>
        <v>bogota d c</v>
      </c>
    </row>
    <row r="5" spans="1:3" ht="15" hidden="1" customHeight="1" x14ac:dyDescent="0.25">
      <c r="A5" t="s">
        <v>1272</v>
      </c>
      <c r="B5" s="82" t="s">
        <v>823</v>
      </c>
      <c r="C5" t="str">
        <f t="shared" si="0"/>
        <v>barranquilla</v>
      </c>
    </row>
    <row r="6" spans="1:3" ht="15" hidden="1" customHeight="1" x14ac:dyDescent="0.25">
      <c r="A6" t="s">
        <v>1273</v>
      </c>
      <c r="B6" s="81" t="s">
        <v>580</v>
      </c>
      <c r="C6" t="str">
        <f t="shared" si="0"/>
        <v>pasto</v>
      </c>
    </row>
    <row r="7" spans="1:3" ht="15" hidden="1" customHeight="1" x14ac:dyDescent="0.25">
      <c r="A7" t="s">
        <v>1274</v>
      </c>
      <c r="B7" s="82" t="s">
        <v>134</v>
      </c>
      <c r="C7" t="str">
        <f t="shared" si="0"/>
        <v>la plata</v>
      </c>
    </row>
    <row r="8" spans="1:3" ht="15" hidden="1" customHeight="1" x14ac:dyDescent="0.25">
      <c r="A8" t="s">
        <v>1275</v>
      </c>
      <c r="B8" s="81" t="s">
        <v>1276</v>
      </c>
      <c r="C8" t="str">
        <f t="shared" si="0"/>
        <v>san gil</v>
      </c>
    </row>
    <row r="9" spans="1:3" ht="15" hidden="1" customHeight="1" x14ac:dyDescent="0.25">
      <c r="A9" t="s">
        <v>1277</v>
      </c>
      <c r="B9" s="82" t="s">
        <v>825</v>
      </c>
      <c r="C9" t="str">
        <f t="shared" si="0"/>
        <v>manizales</v>
      </c>
    </row>
    <row r="10" spans="1:3" ht="15" hidden="1" customHeight="1" x14ac:dyDescent="0.25">
      <c r="A10" t="s">
        <v>1278</v>
      </c>
      <c r="B10" s="81" t="s">
        <v>263</v>
      </c>
      <c r="C10" t="str">
        <f t="shared" si="0"/>
        <v>caicedonia</v>
      </c>
    </row>
    <row r="11" spans="1:3" ht="15" hidden="1" customHeight="1" x14ac:dyDescent="0.25">
      <c r="A11" t="s">
        <v>1279</v>
      </c>
      <c r="B11" s="82" t="s">
        <v>1280</v>
      </c>
      <c r="C11" t="str">
        <f t="shared" si="0"/>
        <v>puerto carreno</v>
      </c>
    </row>
    <row r="12" spans="1:3" ht="15" hidden="1" customHeight="1" x14ac:dyDescent="0.25">
      <c r="A12" t="s">
        <v>1281</v>
      </c>
      <c r="B12" s="81" t="s">
        <v>1136</v>
      </c>
      <c r="C12" t="str">
        <f t="shared" si="0"/>
        <v>monteria</v>
      </c>
    </row>
    <row r="13" spans="1:3" ht="15" hidden="1" customHeight="1" x14ac:dyDescent="0.25">
      <c r="A13" t="s">
        <v>1282</v>
      </c>
      <c r="B13" s="82" t="s">
        <v>1283</v>
      </c>
      <c r="C13" t="str">
        <f t="shared" si="0"/>
        <v>los cordobas</v>
      </c>
    </row>
    <row r="14" spans="1:3" ht="15" hidden="1" customHeight="1" x14ac:dyDescent="0.25">
      <c r="A14" t="s">
        <v>1284</v>
      </c>
      <c r="B14" s="81" t="s">
        <v>1285</v>
      </c>
      <c r="C14" t="str">
        <f t="shared" si="0"/>
        <v>trinidad</v>
      </c>
    </row>
    <row r="15" spans="1:3" ht="15" hidden="1" customHeight="1" x14ac:dyDescent="0.25">
      <c r="A15" t="s">
        <v>1286</v>
      </c>
      <c r="B15" s="82" t="s">
        <v>1287</v>
      </c>
      <c r="C15" t="str">
        <f t="shared" si="0"/>
        <v>duitama</v>
      </c>
    </row>
    <row r="16" spans="1:3" ht="15" hidden="1" customHeight="1" x14ac:dyDescent="0.25">
      <c r="A16" t="s">
        <v>1288</v>
      </c>
      <c r="B16" s="81" t="s">
        <v>732</v>
      </c>
      <c r="C16" t="str">
        <f t="shared" si="0"/>
        <v>pitalito</v>
      </c>
    </row>
    <row r="17" spans="1:3" ht="15" hidden="1" customHeight="1" x14ac:dyDescent="0.25">
      <c r="A17" t="s">
        <v>1289</v>
      </c>
      <c r="B17" s="82" t="s">
        <v>1134</v>
      </c>
      <c r="C17" t="str">
        <f t="shared" si="0"/>
        <v>mocoa</v>
      </c>
    </row>
    <row r="18" spans="1:3" ht="15" hidden="1" customHeight="1" x14ac:dyDescent="0.25">
      <c r="A18" t="s">
        <v>1290</v>
      </c>
      <c r="B18" s="81" t="s">
        <v>580</v>
      </c>
      <c r="C18" t="str">
        <f t="shared" si="0"/>
        <v>pasto</v>
      </c>
    </row>
    <row r="19" spans="1:3" ht="15" hidden="1" customHeight="1" x14ac:dyDescent="0.25">
      <c r="A19" t="s">
        <v>1291</v>
      </c>
      <c r="B19" s="82" t="s">
        <v>1292</v>
      </c>
      <c r="C19" t="str">
        <f t="shared" si="0"/>
        <v>maria la baja</v>
      </c>
    </row>
    <row r="20" spans="1:3" ht="15" hidden="1" customHeight="1" x14ac:dyDescent="0.25">
      <c r="A20" t="s">
        <v>1293</v>
      </c>
      <c r="B20" s="81" t="s">
        <v>17</v>
      </c>
      <c r="C20" t="str">
        <f t="shared" si="0"/>
        <v>bogota d c</v>
      </c>
    </row>
    <row r="21" spans="1:3" ht="15" hidden="1" customHeight="1" x14ac:dyDescent="0.25">
      <c r="A21" t="s">
        <v>1294</v>
      </c>
      <c r="B21" s="82" t="s">
        <v>730</v>
      </c>
      <c r="C21" t="str">
        <f t="shared" si="0"/>
        <v>neiva</v>
      </c>
    </row>
    <row r="22" spans="1:3" ht="15" hidden="1" customHeight="1" x14ac:dyDescent="0.25">
      <c r="A22" t="s">
        <v>1295</v>
      </c>
      <c r="B22" s="81" t="s">
        <v>1186</v>
      </c>
      <c r="C22" t="str">
        <f t="shared" si="0"/>
        <v>tunja</v>
      </c>
    </row>
    <row r="23" spans="1:3" ht="15" hidden="1" customHeight="1" x14ac:dyDescent="0.25">
      <c r="A23" t="s">
        <v>1296</v>
      </c>
      <c r="B23" s="82" t="s">
        <v>1297</v>
      </c>
      <c r="C23" t="str">
        <f t="shared" si="0"/>
        <v>los santos</v>
      </c>
    </row>
    <row r="24" spans="1:3" ht="15" hidden="1" customHeight="1" x14ac:dyDescent="0.25">
      <c r="A24" t="s">
        <v>1298</v>
      </c>
      <c r="B24" s="81" t="s">
        <v>1299</v>
      </c>
      <c r="C24" t="str">
        <f t="shared" si="0"/>
        <v>montecristo</v>
      </c>
    </row>
    <row r="25" spans="1:3" ht="15" hidden="1" customHeight="1" x14ac:dyDescent="0.25">
      <c r="A25" t="s">
        <v>1300</v>
      </c>
      <c r="B25" s="82" t="s">
        <v>1301</v>
      </c>
      <c r="C25" t="str">
        <f t="shared" si="0"/>
        <v>la calera</v>
      </c>
    </row>
    <row r="26" spans="1:3" ht="15" hidden="1" customHeight="1" x14ac:dyDescent="0.25">
      <c r="A26" t="s">
        <v>1302</v>
      </c>
      <c r="B26" s="81" t="s">
        <v>1138</v>
      </c>
      <c r="C26" t="str">
        <f t="shared" si="0"/>
        <v>valledupar</v>
      </c>
    </row>
    <row r="27" spans="1:3" ht="15" hidden="1" customHeight="1" x14ac:dyDescent="0.25">
      <c r="A27" t="s">
        <v>1303</v>
      </c>
      <c r="B27" s="82" t="s">
        <v>302</v>
      </c>
      <c r="C27" t="str">
        <f t="shared" si="0"/>
        <v>timana</v>
      </c>
    </row>
    <row r="28" spans="1:3" ht="15" hidden="1" customHeight="1" x14ac:dyDescent="0.25">
      <c r="A28" t="s">
        <v>1304</v>
      </c>
      <c r="B28" s="81" t="s">
        <v>578</v>
      </c>
      <c r="C28" t="str">
        <f t="shared" si="0"/>
        <v>cucuta</v>
      </c>
    </row>
    <row r="29" spans="1:3" ht="15" hidden="1" customHeight="1" x14ac:dyDescent="0.25">
      <c r="A29" t="s">
        <v>1305</v>
      </c>
      <c r="B29" s="82" t="s">
        <v>224</v>
      </c>
      <c r="C29" t="str">
        <f t="shared" si="0"/>
        <v>argelia</v>
      </c>
    </row>
    <row r="30" spans="1:3" ht="15" hidden="1" customHeight="1" x14ac:dyDescent="0.25">
      <c r="A30" t="s">
        <v>1306</v>
      </c>
      <c r="B30" s="81" t="s">
        <v>17</v>
      </c>
      <c r="C30" t="str">
        <f t="shared" si="0"/>
        <v>bogota d c</v>
      </c>
    </row>
    <row r="31" spans="1:3" ht="15" hidden="1" customHeight="1" x14ac:dyDescent="0.25">
      <c r="A31" t="s">
        <v>1307</v>
      </c>
      <c r="B31" s="82" t="s">
        <v>1308</v>
      </c>
      <c r="C31" t="str">
        <f t="shared" si="0"/>
        <v>montelibano</v>
      </c>
    </row>
    <row r="32" spans="1:3" ht="15" hidden="1" customHeight="1" x14ac:dyDescent="0.25">
      <c r="A32" t="s">
        <v>1309</v>
      </c>
      <c r="B32" s="81" t="s">
        <v>451</v>
      </c>
      <c r="C32" t="str">
        <f t="shared" si="0"/>
        <v>pradera</v>
      </c>
    </row>
    <row r="33" spans="1:3" ht="15" hidden="1" customHeight="1" x14ac:dyDescent="0.25">
      <c r="A33" t="s">
        <v>1310</v>
      </c>
      <c r="B33" s="82" t="s">
        <v>608</v>
      </c>
      <c r="C33" t="str">
        <f t="shared" si="0"/>
        <v>popayan</v>
      </c>
    </row>
    <row r="34" spans="1:3" ht="15" hidden="1" customHeight="1" x14ac:dyDescent="0.25">
      <c r="A34" t="s">
        <v>1311</v>
      </c>
      <c r="B34" s="81" t="s">
        <v>1312</v>
      </c>
      <c r="C34" t="str">
        <f t="shared" ref="C34:C61" si="1">TRIM(SUBSTITUTE(SUBSTITUTE(SUBSTITUTE(SUBSTITUTE(SUBSTITUTE(SUBSTITUTE(SUBSTITUTE(SUBSTITUTE(SUBSTITUTE(LOWER(B34),"á","a"),"é","e"),"í","i"),"ó","o"),"ú","u"),"ñ","n"),"-"," "),","," "),"."," "))</f>
        <v>pinchote</v>
      </c>
    </row>
    <row r="35" spans="1:3" ht="15" hidden="1" customHeight="1" x14ac:dyDescent="0.25">
      <c r="A35" t="s">
        <v>1313</v>
      </c>
      <c r="B35" s="82" t="s">
        <v>842</v>
      </c>
      <c r="C35" t="str">
        <f t="shared" si="1"/>
        <v>pacora</v>
      </c>
    </row>
    <row r="36" spans="1:3" ht="15" hidden="1" customHeight="1" x14ac:dyDescent="0.25">
      <c r="A36" t="s">
        <v>1314</v>
      </c>
      <c r="B36" s="81" t="s">
        <v>985</v>
      </c>
      <c r="C36" t="str">
        <f t="shared" si="1"/>
        <v>pereira</v>
      </c>
    </row>
    <row r="37" spans="1:3" ht="15" hidden="1" customHeight="1" x14ac:dyDescent="0.25">
      <c r="A37" t="s">
        <v>1315</v>
      </c>
      <c r="B37" s="82" t="s">
        <v>1316</v>
      </c>
      <c r="C37" t="str">
        <f t="shared" si="1"/>
        <v>sogamoso</v>
      </c>
    </row>
    <row r="38" spans="1:3" ht="15" hidden="1" customHeight="1" x14ac:dyDescent="0.25">
      <c r="A38" t="s">
        <v>1317</v>
      </c>
      <c r="B38" s="81" t="s">
        <v>350</v>
      </c>
      <c r="C38" t="str">
        <f t="shared" si="1"/>
        <v>caucasia</v>
      </c>
    </row>
    <row r="39" spans="1:3" ht="15" hidden="1" customHeight="1" x14ac:dyDescent="0.25">
      <c r="A39" t="s">
        <v>1318</v>
      </c>
      <c r="B39" s="82" t="s">
        <v>1319</v>
      </c>
      <c r="C39" t="str">
        <f t="shared" si="1"/>
        <v>el carmen de bolivar</v>
      </c>
    </row>
    <row r="40" spans="1:3" ht="15" hidden="1" customHeight="1" x14ac:dyDescent="0.25">
      <c r="A40" t="s">
        <v>1320</v>
      </c>
      <c r="B40" s="81" t="s">
        <v>1106</v>
      </c>
      <c r="C40" t="str">
        <f t="shared" si="1"/>
        <v>bello</v>
      </c>
    </row>
    <row r="41" spans="1:3" ht="15" hidden="1" customHeight="1" x14ac:dyDescent="0.25">
      <c r="A41" t="s">
        <v>1321</v>
      </c>
      <c r="B41" s="82" t="s">
        <v>17</v>
      </c>
      <c r="C41" t="str">
        <f t="shared" si="1"/>
        <v>bogota d c</v>
      </c>
    </row>
    <row r="42" spans="1:3" ht="15" hidden="1" customHeight="1" x14ac:dyDescent="0.25">
      <c r="A42" t="s">
        <v>1277</v>
      </c>
      <c r="B42" s="81" t="s">
        <v>825</v>
      </c>
      <c r="C42" t="str">
        <f t="shared" si="1"/>
        <v>manizales</v>
      </c>
    </row>
    <row r="43" spans="1:3" ht="15" hidden="1" customHeight="1" x14ac:dyDescent="0.25">
      <c r="A43" t="s">
        <v>1322</v>
      </c>
      <c r="B43" s="82" t="s">
        <v>1108</v>
      </c>
      <c r="C43" t="str">
        <f t="shared" si="1"/>
        <v>cartagena</v>
      </c>
    </row>
    <row r="44" spans="1:3" ht="15" hidden="1" customHeight="1" x14ac:dyDescent="0.25">
      <c r="A44" t="s">
        <v>1323</v>
      </c>
      <c r="B44" s="81" t="s">
        <v>979</v>
      </c>
      <c r="C44" t="str">
        <f t="shared" si="1"/>
        <v>yumbo</v>
      </c>
    </row>
    <row r="45" spans="1:3" ht="15" hidden="1" customHeight="1" x14ac:dyDescent="0.25">
      <c r="A45" t="s">
        <v>1324</v>
      </c>
      <c r="B45" s="82" t="s">
        <v>1127</v>
      </c>
      <c r="C45" t="str">
        <f t="shared" si="1"/>
        <v>riohacha</v>
      </c>
    </row>
    <row r="46" spans="1:3" ht="15" hidden="1" customHeight="1" x14ac:dyDescent="0.25">
      <c r="A46" t="s">
        <v>1325</v>
      </c>
      <c r="B46" s="81" t="s">
        <v>149</v>
      </c>
      <c r="C46" t="str">
        <f t="shared" si="1"/>
        <v>tumaco</v>
      </c>
    </row>
    <row r="47" spans="1:3" ht="15" hidden="1" customHeight="1" x14ac:dyDescent="0.25">
      <c r="A47" t="s">
        <v>1326</v>
      </c>
      <c r="B47" s="82" t="s">
        <v>1327</v>
      </c>
      <c r="C47" t="str">
        <f t="shared" si="1"/>
        <v>imues</v>
      </c>
    </row>
    <row r="48" spans="1:3" ht="15" hidden="1" customHeight="1" x14ac:dyDescent="0.25">
      <c r="A48" t="s">
        <v>1328</v>
      </c>
      <c r="B48" s="81" t="s">
        <v>585</v>
      </c>
      <c r="C48" t="str">
        <f t="shared" si="1"/>
        <v>envigado</v>
      </c>
    </row>
    <row r="49" spans="1:3" ht="15" hidden="1" customHeight="1" x14ac:dyDescent="0.25">
      <c r="A49" t="s">
        <v>1329</v>
      </c>
      <c r="B49" s="82" t="s">
        <v>1186</v>
      </c>
      <c r="C49" t="str">
        <f t="shared" si="1"/>
        <v>tunja</v>
      </c>
    </row>
    <row r="50" spans="1:3" ht="15" hidden="1" customHeight="1" x14ac:dyDescent="0.25">
      <c r="A50" t="s">
        <v>1330</v>
      </c>
      <c r="B50" s="81" t="s">
        <v>608</v>
      </c>
      <c r="C50" t="str">
        <f t="shared" si="1"/>
        <v>popayan</v>
      </c>
    </row>
    <row r="51" spans="1:3" ht="15" hidden="1" customHeight="1" x14ac:dyDescent="0.25">
      <c r="A51" t="s">
        <v>1331</v>
      </c>
      <c r="B51" s="82" t="s">
        <v>1332</v>
      </c>
      <c r="C51" t="str">
        <f t="shared" si="1"/>
        <v>malambo</v>
      </c>
    </row>
    <row r="52" spans="1:3" ht="15" hidden="1" customHeight="1" x14ac:dyDescent="0.25">
      <c r="A52" t="s">
        <v>1333</v>
      </c>
      <c r="B52" s="81" t="s">
        <v>33</v>
      </c>
      <c r="C52" t="str">
        <f t="shared" si="1"/>
        <v>cordoba</v>
      </c>
    </row>
    <row r="53" spans="1:3" ht="15" hidden="1" customHeight="1" x14ac:dyDescent="0.25">
      <c r="A53" t="s">
        <v>1334</v>
      </c>
      <c r="B53" s="82" t="s">
        <v>823</v>
      </c>
      <c r="C53" t="str">
        <f t="shared" si="1"/>
        <v>barranquilla</v>
      </c>
    </row>
    <row r="54" spans="1:3" ht="15" hidden="1" customHeight="1" x14ac:dyDescent="0.25">
      <c r="A54" t="s">
        <v>1335</v>
      </c>
      <c r="B54" s="81" t="s">
        <v>836</v>
      </c>
      <c r="C54" t="str">
        <f t="shared" si="1"/>
        <v>la estrella</v>
      </c>
    </row>
    <row r="55" spans="1:3" ht="15" hidden="1" customHeight="1" x14ac:dyDescent="0.25">
      <c r="A55" t="s">
        <v>1336</v>
      </c>
      <c r="B55" s="82" t="s">
        <v>1182</v>
      </c>
      <c r="C55" t="str">
        <f t="shared" si="1"/>
        <v>bucaramanga</v>
      </c>
    </row>
    <row r="56" spans="1:3" ht="15" hidden="1" customHeight="1" x14ac:dyDescent="0.25">
      <c r="A56" t="s">
        <v>1337</v>
      </c>
      <c r="B56" s="81" t="s">
        <v>253</v>
      </c>
      <c r="C56" t="str">
        <f t="shared" si="1"/>
        <v>cali</v>
      </c>
    </row>
    <row r="57" spans="1:3" ht="15" hidden="1" customHeight="1" x14ac:dyDescent="0.25">
      <c r="A57" t="s">
        <v>1338</v>
      </c>
      <c r="B57" s="82" t="s">
        <v>1136</v>
      </c>
      <c r="C57" t="str">
        <f t="shared" si="1"/>
        <v>monteria</v>
      </c>
    </row>
    <row r="58" spans="1:3" ht="15" customHeight="1" x14ac:dyDescent="0.25">
      <c r="A58" t="s">
        <v>831</v>
      </c>
      <c r="B58" s="81" t="s">
        <v>830</v>
      </c>
      <c r="C58" t="str">
        <f t="shared" si="1"/>
        <v>armenia</v>
      </c>
    </row>
    <row r="59" spans="1:3" ht="15" hidden="1" customHeight="1" x14ac:dyDescent="0.25">
      <c r="A59" t="s">
        <v>1339</v>
      </c>
      <c r="B59" s="82" t="s">
        <v>1340</v>
      </c>
      <c r="C59" t="str">
        <f t="shared" si="1"/>
        <v>tauramena</v>
      </c>
    </row>
    <row r="60" spans="1:3" ht="15" hidden="1" customHeight="1" x14ac:dyDescent="0.25">
      <c r="A60" t="s">
        <v>1341</v>
      </c>
      <c r="B60" s="81" t="s">
        <v>1342</v>
      </c>
      <c r="C60" t="str">
        <f t="shared" si="1"/>
        <v>chigorodo</v>
      </c>
    </row>
    <row r="61" spans="1:3" ht="15" hidden="1" customHeight="1" x14ac:dyDescent="0.25">
      <c r="A61" t="s">
        <v>1343</v>
      </c>
      <c r="B61" s="82" t="s">
        <v>1344</v>
      </c>
      <c r="C61" t="str">
        <f t="shared" si="1"/>
        <v>san pelayo</v>
      </c>
    </row>
  </sheetData>
  <autoFilter ref="A1:C61" xr:uid="{00000000-0009-0000-0000-000005000000}">
    <filterColumn colId="1">
      <filters>
        <filter val="Armenia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7"/>
  <sheetViews>
    <sheetView zoomScaleNormal="100" workbookViewId="0">
      <selection activeCell="C1" sqref="C1"/>
    </sheetView>
  </sheetViews>
  <sheetFormatPr baseColWidth="10" defaultColWidth="10.7109375" defaultRowHeight="15" outlineLevelCol="1" x14ac:dyDescent="0.25"/>
  <cols>
    <col min="1" max="2" width="14" customWidth="1"/>
    <col min="3" max="3" width="32" customWidth="1"/>
    <col min="4" max="6" width="11.42578125" customWidth="1" outlineLevel="1"/>
  </cols>
  <sheetData>
    <row r="1" spans="1:6" ht="51" customHeight="1" x14ac:dyDescent="0.25">
      <c r="A1" s="83" t="s">
        <v>3</v>
      </c>
      <c r="B1" s="83" t="s">
        <v>56</v>
      </c>
      <c r="C1" s="83" t="s">
        <v>1345</v>
      </c>
      <c r="D1" s="84" t="s">
        <v>89</v>
      </c>
      <c r="E1" s="84" t="s">
        <v>90</v>
      </c>
      <c r="F1" s="84" t="s">
        <v>1346</v>
      </c>
    </row>
    <row r="2" spans="1:6" ht="25.5" customHeight="1" x14ac:dyDescent="0.25">
      <c r="A2" s="85" t="s">
        <v>40</v>
      </c>
      <c r="B2" s="85" t="s">
        <v>1130</v>
      </c>
      <c r="C2" s="85" t="s">
        <v>1347</v>
      </c>
      <c r="D2" t="str">
        <f t="shared" ref="D2:D65" si="0">TRIM(SUBSTITUTE(SUBSTITUTE(SUBSTITUTE(SUBSTITUTE(SUBSTITUTE(SUBSTITUTE(SUBSTITUTE(SUBSTITUTE(SUBSTITUTE(LOWER(B2),"á","a"),"é","e"),"í","i"),"ó","o"),"ú","u"),"ñ","n"),"-"," "),","," "),"."," "))</f>
        <v>acacias</v>
      </c>
      <c r="E2" t="str">
        <f t="shared" ref="E2:E65" si="1">TRIM(SUBSTITUTE(SUBSTITUTE(SUBSTITUTE(SUBSTITUTE(SUBSTITUTE(SUBSTITUTE(SUBSTITUTE(SUBSTITUTE(SUBSTITUTE(LOWER(A2),"á","a"),"é","e"),"í","i"),"ó","o"),"ú","u"),"ñ","n"),"-"," "),","," "),"."," "))</f>
        <v>meta</v>
      </c>
      <c r="F2" t="str">
        <f t="shared" ref="F2:F65" si="2">D2&amp;"|"&amp;E2</f>
        <v>acacias|meta</v>
      </c>
    </row>
    <row r="3" spans="1:6" ht="15" customHeight="1" x14ac:dyDescent="0.25">
      <c r="A3" s="86" t="s">
        <v>31</v>
      </c>
      <c r="B3" s="86" t="s">
        <v>574</v>
      </c>
      <c r="C3" s="86" t="s">
        <v>1348</v>
      </c>
      <c r="D3" t="str">
        <f t="shared" si="0"/>
        <v>acandi</v>
      </c>
      <c r="E3" t="str">
        <f t="shared" si="1"/>
        <v>choco</v>
      </c>
      <c r="F3" t="str">
        <f t="shared" si="2"/>
        <v>acandi|choco</v>
      </c>
    </row>
    <row r="4" spans="1:6" ht="15" customHeight="1" x14ac:dyDescent="0.25">
      <c r="A4" s="85" t="s">
        <v>37</v>
      </c>
      <c r="B4" s="85" t="s">
        <v>275</v>
      </c>
      <c r="C4" s="85" t="s">
        <v>1349</v>
      </c>
      <c r="D4" t="str">
        <f t="shared" si="0"/>
        <v>acevedo</v>
      </c>
      <c r="E4" t="str">
        <f t="shared" si="1"/>
        <v>huila</v>
      </c>
      <c r="F4" t="str">
        <f t="shared" si="2"/>
        <v>acevedo|huila</v>
      </c>
    </row>
    <row r="5" spans="1:6" ht="15" customHeight="1" x14ac:dyDescent="0.25">
      <c r="A5" s="86" t="s">
        <v>37</v>
      </c>
      <c r="B5" s="86" t="s">
        <v>277</v>
      </c>
      <c r="C5" s="86" t="s">
        <v>1350</v>
      </c>
      <c r="D5" t="str">
        <f t="shared" si="0"/>
        <v>aipe</v>
      </c>
      <c r="E5" t="str">
        <f t="shared" si="1"/>
        <v>huila</v>
      </c>
      <c r="F5" t="str">
        <f t="shared" si="2"/>
        <v>aipe|huila</v>
      </c>
    </row>
    <row r="6" spans="1:6" ht="15" customHeight="1" x14ac:dyDescent="0.25">
      <c r="A6" s="85" t="s">
        <v>37</v>
      </c>
      <c r="B6" s="85" t="s">
        <v>1351</v>
      </c>
      <c r="C6" s="85" t="s">
        <v>733</v>
      </c>
      <c r="D6" t="str">
        <f t="shared" si="0"/>
        <v>ambalema</v>
      </c>
      <c r="E6" t="str">
        <f t="shared" si="1"/>
        <v>huila</v>
      </c>
      <c r="F6" t="str">
        <f t="shared" si="2"/>
        <v>ambalema|huila</v>
      </c>
    </row>
    <row r="7" spans="1:6" ht="15" customHeight="1" x14ac:dyDescent="0.25">
      <c r="A7" s="86" t="s">
        <v>48</v>
      </c>
      <c r="B7" s="86" t="s">
        <v>1352</v>
      </c>
      <c r="C7" s="86" t="s">
        <v>1353</v>
      </c>
      <c r="D7" t="str">
        <f t="shared" si="0"/>
        <v>arauca</v>
      </c>
      <c r="E7" t="str">
        <f t="shared" si="1"/>
        <v>tolima</v>
      </c>
      <c r="F7" t="str">
        <f t="shared" si="2"/>
        <v>arauca|tolima</v>
      </c>
    </row>
    <row r="8" spans="1:6" ht="15" customHeight="1" x14ac:dyDescent="0.25">
      <c r="A8" s="85" t="s">
        <v>1352</v>
      </c>
      <c r="B8" s="85" t="s">
        <v>1354</v>
      </c>
      <c r="C8" s="85" t="s">
        <v>1355</v>
      </c>
      <c r="D8" t="str">
        <f t="shared" si="0"/>
        <v>arauquita</v>
      </c>
      <c r="E8" t="str">
        <f t="shared" si="1"/>
        <v>arauca</v>
      </c>
      <c r="F8" t="str">
        <f t="shared" si="2"/>
        <v>arauquita|arauca</v>
      </c>
    </row>
    <row r="9" spans="1:6" ht="15" customHeight="1" x14ac:dyDescent="0.25">
      <c r="A9" s="86" t="s">
        <v>1352</v>
      </c>
      <c r="B9" s="86" t="s">
        <v>1356</v>
      </c>
      <c r="C9" s="86" t="s">
        <v>1357</v>
      </c>
      <c r="D9" t="str">
        <f t="shared" si="0"/>
        <v>arboleda</v>
      </c>
      <c r="E9" t="str">
        <f t="shared" si="1"/>
        <v>arauca</v>
      </c>
      <c r="F9" t="str">
        <f t="shared" si="2"/>
        <v>arboleda|arauca</v>
      </c>
    </row>
    <row r="10" spans="1:6" ht="25.5" customHeight="1" x14ac:dyDescent="0.25">
      <c r="A10" s="85" t="s">
        <v>1352</v>
      </c>
      <c r="B10" s="85" t="s">
        <v>830</v>
      </c>
      <c r="C10" s="85" t="s">
        <v>1358</v>
      </c>
      <c r="D10" t="str">
        <f t="shared" si="0"/>
        <v>armenia</v>
      </c>
      <c r="E10" t="str">
        <f t="shared" si="1"/>
        <v>arauca</v>
      </c>
      <c r="F10" t="str">
        <f t="shared" si="2"/>
        <v>armenia|arauca</v>
      </c>
    </row>
    <row r="11" spans="1:6" ht="25.5" customHeight="1" x14ac:dyDescent="0.25">
      <c r="A11" s="85" t="s">
        <v>41</v>
      </c>
      <c r="B11" s="85" t="s">
        <v>489</v>
      </c>
      <c r="C11" s="85" t="s">
        <v>1359</v>
      </c>
      <c r="D11" t="str">
        <f t="shared" si="0"/>
        <v>ataco</v>
      </c>
      <c r="E11" t="str">
        <f t="shared" si="1"/>
        <v>narino</v>
      </c>
      <c r="F11" t="str">
        <f t="shared" si="2"/>
        <v>ataco|narino</v>
      </c>
    </row>
    <row r="12" spans="1:6" ht="25.5" customHeight="1" x14ac:dyDescent="0.25">
      <c r="A12" s="85" t="s">
        <v>1360</v>
      </c>
      <c r="B12" s="85" t="s">
        <v>1132</v>
      </c>
      <c r="C12" s="85" t="s">
        <v>1361</v>
      </c>
      <c r="D12" t="str">
        <f t="shared" si="0"/>
        <v>atrato</v>
      </c>
      <c r="E12" t="str">
        <f t="shared" si="1"/>
        <v>quindio</v>
      </c>
      <c r="F12" t="str">
        <f t="shared" si="2"/>
        <v>atrato|quindio</v>
      </c>
    </row>
    <row r="13" spans="1:6" ht="15" customHeight="1" x14ac:dyDescent="0.25">
      <c r="A13" s="85" t="s">
        <v>48</v>
      </c>
      <c r="B13" s="85" t="s">
        <v>352</v>
      </c>
      <c r="C13" s="85" t="s">
        <v>1362</v>
      </c>
      <c r="D13" t="str">
        <f t="shared" si="0"/>
        <v>bagado</v>
      </c>
      <c r="E13" t="str">
        <f t="shared" si="1"/>
        <v>tolima</v>
      </c>
      <c r="F13" t="str">
        <f t="shared" si="2"/>
        <v>bagado|tolima</v>
      </c>
    </row>
    <row r="14" spans="1:6" ht="15" customHeight="1" x14ac:dyDescent="0.25">
      <c r="A14" s="85" t="s">
        <v>31</v>
      </c>
      <c r="B14" s="85" t="s">
        <v>593</v>
      </c>
      <c r="C14" s="85" t="s">
        <v>1363</v>
      </c>
      <c r="D14" t="str">
        <f t="shared" si="0"/>
        <v>bajo baudo</v>
      </c>
      <c r="E14" t="str">
        <f t="shared" si="1"/>
        <v>choco</v>
      </c>
      <c r="F14" t="str">
        <f t="shared" si="2"/>
        <v>bajo baudo|choco</v>
      </c>
    </row>
    <row r="15" spans="1:6" ht="15" customHeight="1" x14ac:dyDescent="0.25">
      <c r="A15" s="86" t="s">
        <v>31</v>
      </c>
      <c r="B15" s="86" t="s">
        <v>1364</v>
      </c>
      <c r="C15" s="86" t="s">
        <v>1365</v>
      </c>
      <c r="D15" t="str">
        <f t="shared" si="0"/>
        <v>baranoa</v>
      </c>
      <c r="E15" t="str">
        <f t="shared" si="1"/>
        <v>choco</v>
      </c>
      <c r="F15" t="str">
        <f t="shared" si="2"/>
        <v>baranoa|choco</v>
      </c>
    </row>
    <row r="16" spans="1:6" ht="15" customHeight="1" x14ac:dyDescent="0.25">
      <c r="A16" s="85" t="s">
        <v>31</v>
      </c>
      <c r="B16" s="85" t="s">
        <v>356</v>
      </c>
      <c r="C16" s="85" t="s">
        <v>1366</v>
      </c>
      <c r="D16" t="str">
        <f t="shared" si="0"/>
        <v>barbacoas</v>
      </c>
      <c r="E16" t="str">
        <f t="shared" si="1"/>
        <v>choco</v>
      </c>
      <c r="F16" t="str">
        <f t="shared" si="2"/>
        <v>barbacoas|choco</v>
      </c>
    </row>
    <row r="17" spans="1:6" ht="25.5" customHeight="1" x14ac:dyDescent="0.25">
      <c r="A17" s="85" t="s">
        <v>14</v>
      </c>
      <c r="B17" s="85" t="s">
        <v>152</v>
      </c>
      <c r="C17" s="85" t="s">
        <v>1367</v>
      </c>
      <c r="D17" t="str">
        <f t="shared" si="0"/>
        <v>barrancabermeja</v>
      </c>
      <c r="E17" t="str">
        <f t="shared" si="1"/>
        <v>atlantico</v>
      </c>
      <c r="F17" t="str">
        <f t="shared" si="2"/>
        <v>barrancabermeja|atlantico</v>
      </c>
    </row>
    <row r="18" spans="1:6" ht="15" customHeight="1" x14ac:dyDescent="0.25">
      <c r="A18" s="86" t="s">
        <v>41</v>
      </c>
      <c r="B18" s="86" t="s">
        <v>1368</v>
      </c>
      <c r="C18" s="86" t="s">
        <v>1369</v>
      </c>
      <c r="D18" t="str">
        <f t="shared" si="0"/>
        <v>barrancas</v>
      </c>
      <c r="E18" t="str">
        <f t="shared" si="1"/>
        <v>narino</v>
      </c>
      <c r="F18" t="str">
        <f t="shared" si="2"/>
        <v>barrancas|narino</v>
      </c>
    </row>
    <row r="19" spans="1:6" ht="25.5" customHeight="1" x14ac:dyDescent="0.25">
      <c r="A19" s="85" t="s">
        <v>41</v>
      </c>
      <c r="B19" s="85" t="s">
        <v>823</v>
      </c>
      <c r="C19" s="85" t="s">
        <v>1370</v>
      </c>
      <c r="D19" t="str">
        <f t="shared" si="0"/>
        <v>barranquilla</v>
      </c>
      <c r="E19" t="str">
        <f t="shared" si="1"/>
        <v>narino</v>
      </c>
      <c r="F19" t="str">
        <f t="shared" si="2"/>
        <v>barranquilla|narino</v>
      </c>
    </row>
    <row r="20" spans="1:6" ht="15" customHeight="1" x14ac:dyDescent="0.25">
      <c r="A20" s="85" t="s">
        <v>46</v>
      </c>
      <c r="B20" s="85" t="s">
        <v>1371</v>
      </c>
      <c r="C20" s="85" t="s">
        <v>1372</v>
      </c>
      <c r="D20" t="str">
        <f t="shared" si="0"/>
        <v>bochalema</v>
      </c>
      <c r="E20" t="str">
        <f t="shared" si="1"/>
        <v>santander</v>
      </c>
      <c r="F20" t="str">
        <f t="shared" si="2"/>
        <v>bochalema|santander</v>
      </c>
    </row>
    <row r="21" spans="1:6" ht="25.5" customHeight="1" x14ac:dyDescent="0.25">
      <c r="A21" s="86" t="s">
        <v>46</v>
      </c>
      <c r="B21" s="86" t="s">
        <v>17</v>
      </c>
      <c r="C21" s="86" t="s">
        <v>1373</v>
      </c>
      <c r="D21" t="str">
        <f t="shared" si="0"/>
        <v>bogota d c</v>
      </c>
      <c r="E21" t="str">
        <f t="shared" si="1"/>
        <v>santander</v>
      </c>
      <c r="F21" t="str">
        <f t="shared" si="2"/>
        <v>bogota d c|santander</v>
      </c>
    </row>
    <row r="22" spans="1:6" ht="15" customHeight="1" x14ac:dyDescent="0.25">
      <c r="A22" s="85" t="s">
        <v>46</v>
      </c>
      <c r="B22" s="85" t="s">
        <v>22</v>
      </c>
      <c r="C22" s="85" t="s">
        <v>1374</v>
      </c>
      <c r="D22" t="str">
        <f t="shared" si="0"/>
        <v>boyaca</v>
      </c>
      <c r="E22" t="str">
        <f t="shared" si="1"/>
        <v>santander</v>
      </c>
      <c r="F22" t="str">
        <f t="shared" si="2"/>
        <v>boyaca|santander</v>
      </c>
    </row>
    <row r="23" spans="1:6" ht="15" customHeight="1" x14ac:dyDescent="0.25">
      <c r="A23" s="86" t="s">
        <v>46</v>
      </c>
      <c r="B23" s="86" t="s">
        <v>1182</v>
      </c>
      <c r="C23" s="86" t="s">
        <v>1375</v>
      </c>
      <c r="D23" t="str">
        <f t="shared" si="0"/>
        <v>bucaramanga</v>
      </c>
      <c r="E23" t="str">
        <f t="shared" si="1"/>
        <v>santander</v>
      </c>
      <c r="F23" t="str">
        <f t="shared" si="2"/>
        <v>bucaramanga|santander</v>
      </c>
    </row>
    <row r="24" spans="1:6" ht="15" customHeight="1" x14ac:dyDescent="0.25">
      <c r="A24" s="86" t="s">
        <v>1376</v>
      </c>
      <c r="B24" s="86" t="s">
        <v>988</v>
      </c>
      <c r="C24" s="86" t="s">
        <v>1377</v>
      </c>
      <c r="D24" t="str">
        <f t="shared" si="0"/>
        <v>buenaventura</v>
      </c>
      <c r="E24" t="str">
        <f t="shared" si="1"/>
        <v>guajira</v>
      </c>
      <c r="F24" t="str">
        <f t="shared" si="2"/>
        <v>buenaventura|guajira</v>
      </c>
    </row>
    <row r="25" spans="1:6" ht="15" customHeight="1" x14ac:dyDescent="0.25">
      <c r="A25" s="85" t="s">
        <v>1376</v>
      </c>
      <c r="B25" s="85" t="s">
        <v>1378</v>
      </c>
      <c r="C25" s="85" t="s">
        <v>1379</v>
      </c>
      <c r="D25" t="str">
        <f t="shared" si="0"/>
        <v>buesaco</v>
      </c>
      <c r="E25" t="str">
        <f t="shared" si="1"/>
        <v>guajira</v>
      </c>
      <c r="F25" t="str">
        <f t="shared" si="2"/>
        <v>buesaco|guajira</v>
      </c>
    </row>
    <row r="26" spans="1:6" ht="15" customHeight="1" x14ac:dyDescent="0.25">
      <c r="A26" s="86" t="s">
        <v>14</v>
      </c>
      <c r="B26" s="86" t="s">
        <v>998</v>
      </c>
      <c r="C26" s="86" t="s">
        <v>1380</v>
      </c>
      <c r="D26" t="str">
        <f t="shared" si="0"/>
        <v>buga</v>
      </c>
      <c r="E26" t="str">
        <f t="shared" si="1"/>
        <v>atlantico</v>
      </c>
      <c r="F26" t="str">
        <f t="shared" si="2"/>
        <v>buga|atlantico</v>
      </c>
    </row>
    <row r="27" spans="1:6" ht="25.5" customHeight="1" x14ac:dyDescent="0.25">
      <c r="A27" s="85" t="s">
        <v>14</v>
      </c>
      <c r="B27" s="85" t="s">
        <v>735</v>
      </c>
      <c r="C27" s="85" t="s">
        <v>1381</v>
      </c>
      <c r="D27" t="str">
        <f t="shared" si="0"/>
        <v>cabrera</v>
      </c>
      <c r="E27" t="str">
        <f t="shared" si="1"/>
        <v>atlantico</v>
      </c>
      <c r="F27" t="str">
        <f t="shared" si="2"/>
        <v>cabrera|atlantico</v>
      </c>
    </row>
    <row r="28" spans="1:6" ht="25.5" customHeight="1" x14ac:dyDescent="0.25">
      <c r="A28" s="86" t="s">
        <v>14</v>
      </c>
      <c r="B28" s="86" t="s">
        <v>138</v>
      </c>
      <c r="C28" s="86" t="s">
        <v>1382</v>
      </c>
      <c r="D28" t="str">
        <f t="shared" si="0"/>
        <v>cajamarca</v>
      </c>
      <c r="E28" t="str">
        <f t="shared" si="1"/>
        <v>atlantico</v>
      </c>
      <c r="F28" t="str">
        <f t="shared" si="2"/>
        <v>cajamarca|atlantico</v>
      </c>
    </row>
    <row r="29" spans="1:6" ht="25.5" customHeight="1" x14ac:dyDescent="0.25">
      <c r="A29" s="85" t="s">
        <v>14</v>
      </c>
      <c r="B29" s="85" t="s">
        <v>1383</v>
      </c>
      <c r="C29" s="85" t="s">
        <v>1384</v>
      </c>
      <c r="D29" t="str">
        <f t="shared" si="0"/>
        <v>calamar</v>
      </c>
      <c r="E29" t="str">
        <f t="shared" si="1"/>
        <v>atlantico</v>
      </c>
      <c r="F29" t="str">
        <f t="shared" si="2"/>
        <v>calamar|atlantico</v>
      </c>
    </row>
    <row r="30" spans="1:6" ht="25.5" customHeight="1" x14ac:dyDescent="0.25">
      <c r="A30" s="86" t="s">
        <v>42</v>
      </c>
      <c r="B30" s="86" t="s">
        <v>253</v>
      </c>
      <c r="C30" s="86" t="s">
        <v>1385</v>
      </c>
      <c r="D30" t="str">
        <f t="shared" si="0"/>
        <v>cali</v>
      </c>
      <c r="E30" t="str">
        <f t="shared" si="1"/>
        <v>norte de santander</v>
      </c>
      <c r="F30" t="str">
        <f t="shared" si="2"/>
        <v>cali|norte de santander</v>
      </c>
    </row>
    <row r="31" spans="1:6" ht="25.5" customHeight="1" x14ac:dyDescent="0.25">
      <c r="A31" s="85" t="s">
        <v>1386</v>
      </c>
      <c r="B31" s="85" t="s">
        <v>258</v>
      </c>
      <c r="C31" s="85" t="s">
        <v>1387</v>
      </c>
      <c r="D31" t="str">
        <f t="shared" si="0"/>
        <v>calima el darien</v>
      </c>
      <c r="E31" t="str">
        <f t="shared" si="1"/>
        <v>capital bogota d c</v>
      </c>
      <c r="F31" t="str">
        <f t="shared" si="2"/>
        <v>calima el darien|capital bogota d c</v>
      </c>
    </row>
    <row r="32" spans="1:6" ht="25.5" customHeight="1" x14ac:dyDescent="0.25">
      <c r="A32" s="85" t="s">
        <v>22</v>
      </c>
      <c r="B32" s="85" t="s">
        <v>1388</v>
      </c>
      <c r="C32" s="85" t="s">
        <v>1389</v>
      </c>
      <c r="D32" t="str">
        <f t="shared" si="0"/>
        <v>campo de la cruz</v>
      </c>
      <c r="E32" t="str">
        <f t="shared" si="1"/>
        <v>boyaca</v>
      </c>
      <c r="F32" t="str">
        <f t="shared" si="2"/>
        <v>campo de la cruz|boyaca</v>
      </c>
    </row>
    <row r="33" spans="1:6" ht="15" customHeight="1" x14ac:dyDescent="0.25">
      <c r="A33" s="85" t="s">
        <v>46</v>
      </c>
      <c r="B33" s="85" t="s">
        <v>463</v>
      </c>
      <c r="C33" s="85" t="s">
        <v>1390</v>
      </c>
      <c r="D33" t="str">
        <f t="shared" si="0"/>
        <v>candelaria</v>
      </c>
      <c r="E33" t="str">
        <f t="shared" si="1"/>
        <v>santander</v>
      </c>
      <c r="F33" t="str">
        <f t="shared" si="2"/>
        <v>candelaria|santander</v>
      </c>
    </row>
    <row r="34" spans="1:6" ht="25.5" customHeight="1" x14ac:dyDescent="0.25">
      <c r="A34" s="86" t="s">
        <v>46</v>
      </c>
      <c r="B34" s="86" t="s">
        <v>463</v>
      </c>
      <c r="C34" s="86" t="s">
        <v>1391</v>
      </c>
      <c r="D34" t="str">
        <f t="shared" si="0"/>
        <v>candelaria</v>
      </c>
      <c r="E34" t="str">
        <f t="shared" si="1"/>
        <v>santander</v>
      </c>
      <c r="F34" t="str">
        <f t="shared" si="2"/>
        <v>candelaria|santander</v>
      </c>
    </row>
    <row r="35" spans="1:6" ht="15" customHeight="1" x14ac:dyDescent="0.25">
      <c r="A35" s="85" t="s">
        <v>46</v>
      </c>
      <c r="B35" s="85" t="s">
        <v>1001</v>
      </c>
      <c r="C35" s="85" t="s">
        <v>1392</v>
      </c>
      <c r="D35" t="str">
        <f t="shared" si="0"/>
        <v>cartago</v>
      </c>
      <c r="E35" t="str">
        <f t="shared" si="1"/>
        <v>santander</v>
      </c>
      <c r="F35" t="str">
        <f t="shared" si="2"/>
        <v>cartago|santander</v>
      </c>
    </row>
    <row r="36" spans="1:6" ht="25.5" customHeight="1" x14ac:dyDescent="0.25">
      <c r="A36" s="86" t="s">
        <v>49</v>
      </c>
      <c r="B36" s="86" t="s">
        <v>1393</v>
      </c>
      <c r="C36" s="86" t="s">
        <v>581</v>
      </c>
      <c r="D36" t="str">
        <f t="shared" si="0"/>
        <v>castilla la nueva</v>
      </c>
      <c r="E36" t="str">
        <f t="shared" si="1"/>
        <v>valle del cauca</v>
      </c>
      <c r="F36" t="str">
        <f t="shared" si="2"/>
        <v>castilla la nueva|valle del cauca</v>
      </c>
    </row>
    <row r="37" spans="1:6" ht="15" customHeight="1" x14ac:dyDescent="0.25">
      <c r="A37" s="85" t="s">
        <v>49</v>
      </c>
      <c r="B37" s="85" t="s">
        <v>1394</v>
      </c>
      <c r="C37" s="85" t="s">
        <v>1395</v>
      </c>
      <c r="D37" t="str">
        <f t="shared" si="0"/>
        <v>charala</v>
      </c>
      <c r="E37" t="str">
        <f t="shared" si="1"/>
        <v>valle del cauca</v>
      </c>
      <c r="F37" t="str">
        <f t="shared" si="2"/>
        <v>charala|valle del cauca</v>
      </c>
    </row>
    <row r="38" spans="1:6" ht="25.5" customHeight="1" x14ac:dyDescent="0.25">
      <c r="A38" s="86" t="s">
        <v>49</v>
      </c>
      <c r="B38" s="86" t="s">
        <v>1163</v>
      </c>
      <c r="C38" s="86" t="s">
        <v>1396</v>
      </c>
      <c r="D38" t="str">
        <f t="shared" si="0"/>
        <v>chia</v>
      </c>
      <c r="E38" t="str">
        <f t="shared" si="1"/>
        <v>valle del cauca</v>
      </c>
      <c r="F38" t="str">
        <f t="shared" si="2"/>
        <v>chia|valle del cauca</v>
      </c>
    </row>
    <row r="39" spans="1:6" ht="25.5" customHeight="1" x14ac:dyDescent="0.25">
      <c r="A39" s="85" t="s">
        <v>49</v>
      </c>
      <c r="B39" s="85" t="s">
        <v>583</v>
      </c>
      <c r="C39" s="85" t="s">
        <v>1397</v>
      </c>
      <c r="D39" t="str">
        <f t="shared" si="0"/>
        <v>chiquinquira</v>
      </c>
      <c r="E39" t="str">
        <f t="shared" si="1"/>
        <v>valle del cauca</v>
      </c>
      <c r="F39" t="str">
        <f t="shared" si="2"/>
        <v>chiquinquira|valle del cauca</v>
      </c>
    </row>
    <row r="40" spans="1:6" ht="25.5" customHeight="1" x14ac:dyDescent="0.25">
      <c r="A40" s="86" t="s">
        <v>41</v>
      </c>
      <c r="B40" s="86" t="s">
        <v>1398</v>
      </c>
      <c r="C40" s="86" t="s">
        <v>1399</v>
      </c>
      <c r="D40" t="str">
        <f t="shared" si="0"/>
        <v>cimitarra</v>
      </c>
      <c r="E40" t="str">
        <f t="shared" si="1"/>
        <v>narino</v>
      </c>
      <c r="F40" t="str">
        <f t="shared" si="2"/>
        <v>cimitarra|narino</v>
      </c>
    </row>
    <row r="41" spans="1:6" ht="25.5" customHeight="1" x14ac:dyDescent="0.25">
      <c r="A41" s="86" t="s">
        <v>49</v>
      </c>
      <c r="B41" s="86" t="s">
        <v>279</v>
      </c>
      <c r="C41" s="86" t="s">
        <v>1400</v>
      </c>
      <c r="D41" t="str">
        <f t="shared" si="0"/>
        <v>coello</v>
      </c>
      <c r="E41" t="str">
        <f t="shared" si="1"/>
        <v>valle del cauca</v>
      </c>
      <c r="F41" t="str">
        <f t="shared" si="2"/>
        <v>coello|valle del cauca</v>
      </c>
    </row>
    <row r="42" spans="1:6" ht="25.5" customHeight="1" x14ac:dyDescent="0.25">
      <c r="A42" s="86" t="s">
        <v>35</v>
      </c>
      <c r="B42" s="86" t="s">
        <v>1197</v>
      </c>
      <c r="C42" s="86" t="s">
        <v>1401</v>
      </c>
      <c r="D42" t="str">
        <f t="shared" si="0"/>
        <v>cogua</v>
      </c>
      <c r="E42" t="str">
        <f t="shared" si="1"/>
        <v>cundinamarca</v>
      </c>
      <c r="F42" t="str">
        <f t="shared" si="2"/>
        <v>cogua|cundinamarca</v>
      </c>
    </row>
    <row r="43" spans="1:6" ht="15" customHeight="1" x14ac:dyDescent="0.25">
      <c r="A43" s="86" t="s">
        <v>48</v>
      </c>
      <c r="B43" s="86" t="s">
        <v>491</v>
      </c>
      <c r="C43" s="86" t="s">
        <v>1402</v>
      </c>
      <c r="D43" t="str">
        <f t="shared" si="0"/>
        <v>colombia</v>
      </c>
      <c r="E43" t="str">
        <f t="shared" si="1"/>
        <v>tolima</v>
      </c>
      <c r="F43" t="str">
        <f t="shared" si="2"/>
        <v>colombia|tolima</v>
      </c>
    </row>
    <row r="44" spans="1:6" ht="15" customHeight="1" x14ac:dyDescent="0.25">
      <c r="A44" s="85" t="s">
        <v>1403</v>
      </c>
      <c r="B44" s="85" t="s">
        <v>33</v>
      </c>
      <c r="C44" s="85" t="s">
        <v>1404</v>
      </c>
      <c r="D44" t="str">
        <f t="shared" si="0"/>
        <v>cordoba</v>
      </c>
      <c r="E44" t="str">
        <f t="shared" si="1"/>
        <v>guaviare</v>
      </c>
      <c r="F44" t="str">
        <f t="shared" si="2"/>
        <v>cordoba|guaviare</v>
      </c>
    </row>
    <row r="45" spans="1:6" ht="15" customHeight="1" x14ac:dyDescent="0.25">
      <c r="A45" s="85" t="s">
        <v>49</v>
      </c>
      <c r="B45" s="85" t="s">
        <v>1405</v>
      </c>
      <c r="C45" s="85" t="s">
        <v>1406</v>
      </c>
      <c r="D45" t="str">
        <f t="shared" si="0"/>
        <v>coyaima</v>
      </c>
      <c r="E45" t="str">
        <f t="shared" si="1"/>
        <v>valle del cauca</v>
      </c>
      <c r="F45" t="str">
        <f t="shared" si="2"/>
        <v>coyaima|valle del cauca</v>
      </c>
    </row>
    <row r="46" spans="1:6" ht="15" customHeight="1" x14ac:dyDescent="0.25">
      <c r="A46" s="86" t="s">
        <v>14</v>
      </c>
      <c r="B46" s="86" t="s">
        <v>578</v>
      </c>
      <c r="C46" s="86" t="s">
        <v>1407</v>
      </c>
      <c r="D46" t="str">
        <f t="shared" si="0"/>
        <v>cucuta</v>
      </c>
      <c r="E46" t="str">
        <f t="shared" si="1"/>
        <v>atlantico</v>
      </c>
      <c r="F46" t="str">
        <f t="shared" si="2"/>
        <v>cucuta|atlantico</v>
      </c>
    </row>
    <row r="47" spans="1:6" ht="15" customHeight="1" x14ac:dyDescent="0.25">
      <c r="A47" s="85" t="s">
        <v>14</v>
      </c>
      <c r="B47" s="85" t="s">
        <v>1408</v>
      </c>
      <c r="C47" s="85" t="s">
        <v>1409</v>
      </c>
      <c r="D47" t="str">
        <f t="shared" si="0"/>
        <v>cumbal</v>
      </c>
      <c r="E47" t="str">
        <f t="shared" si="1"/>
        <v>atlantico</v>
      </c>
      <c r="F47" t="str">
        <f t="shared" si="2"/>
        <v>cumbal|atlantico</v>
      </c>
    </row>
    <row r="48" spans="1:6" ht="25.5" customHeight="1" x14ac:dyDescent="0.25">
      <c r="A48" s="86" t="s">
        <v>49</v>
      </c>
      <c r="B48" s="86" t="s">
        <v>1410</v>
      </c>
      <c r="C48" s="86" t="s">
        <v>1411</v>
      </c>
      <c r="D48" t="str">
        <f t="shared" si="0"/>
        <v>dibulla</v>
      </c>
      <c r="E48" t="str">
        <f t="shared" si="1"/>
        <v>valle del cauca</v>
      </c>
      <c r="F48" t="str">
        <f t="shared" si="2"/>
        <v>dibulla|valle del cauca</v>
      </c>
    </row>
    <row r="49" spans="1:6" ht="25.5" customHeight="1" x14ac:dyDescent="0.25">
      <c r="A49" s="86" t="s">
        <v>49</v>
      </c>
      <c r="B49" s="86" t="s">
        <v>281</v>
      </c>
      <c r="C49" s="86" t="s">
        <v>1412</v>
      </c>
      <c r="D49" t="str">
        <f t="shared" si="0"/>
        <v>dolores</v>
      </c>
      <c r="E49" t="str">
        <f t="shared" si="1"/>
        <v>valle del cauca</v>
      </c>
      <c r="F49" t="str">
        <f t="shared" si="2"/>
        <v>dolores|valle del cauca</v>
      </c>
    </row>
    <row r="50" spans="1:6" ht="25.5" customHeight="1" x14ac:dyDescent="0.25">
      <c r="A50" s="86" t="s">
        <v>40</v>
      </c>
      <c r="B50" s="86" t="s">
        <v>1287</v>
      </c>
      <c r="C50" s="86" t="s">
        <v>1413</v>
      </c>
      <c r="D50" t="str">
        <f t="shared" si="0"/>
        <v>duitama</v>
      </c>
      <c r="E50" t="str">
        <f t="shared" si="1"/>
        <v>meta</v>
      </c>
      <c r="F50" t="str">
        <f t="shared" si="2"/>
        <v>duitama|meta</v>
      </c>
    </row>
    <row r="51" spans="1:6" ht="15" customHeight="1" x14ac:dyDescent="0.25">
      <c r="A51" s="86" t="s">
        <v>46</v>
      </c>
      <c r="B51" s="86" t="s">
        <v>1005</v>
      </c>
      <c r="C51" s="86" t="s">
        <v>1414</v>
      </c>
      <c r="D51" t="str">
        <f t="shared" si="0"/>
        <v>el aguila</v>
      </c>
      <c r="E51" t="str">
        <f t="shared" si="1"/>
        <v>santander</v>
      </c>
      <c r="F51" t="str">
        <f t="shared" si="2"/>
        <v>el aguila|santander</v>
      </c>
    </row>
    <row r="52" spans="1:6" ht="25.5" customHeight="1" x14ac:dyDescent="0.25">
      <c r="A52" s="85" t="s">
        <v>35</v>
      </c>
      <c r="B52" s="85" t="s">
        <v>1415</v>
      </c>
      <c r="C52" s="85" t="s">
        <v>1416</v>
      </c>
      <c r="D52" t="str">
        <f t="shared" si="0"/>
        <v>el carmen</v>
      </c>
      <c r="E52" t="str">
        <f t="shared" si="1"/>
        <v>cundinamarca</v>
      </c>
      <c r="F52" t="str">
        <f t="shared" si="2"/>
        <v>el carmen|cundinamarca</v>
      </c>
    </row>
    <row r="53" spans="1:6" ht="15" customHeight="1" x14ac:dyDescent="0.25">
      <c r="A53" s="86" t="s">
        <v>22</v>
      </c>
      <c r="B53" s="86" t="s">
        <v>267</v>
      </c>
      <c r="C53" s="86" t="s">
        <v>1417</v>
      </c>
      <c r="D53" t="str">
        <f t="shared" si="0"/>
        <v>el cerrito</v>
      </c>
      <c r="E53" t="str">
        <f t="shared" si="1"/>
        <v>boyaca</v>
      </c>
      <c r="F53" t="str">
        <f t="shared" si="2"/>
        <v>el cerrito|boyaca</v>
      </c>
    </row>
    <row r="54" spans="1:6" ht="15" customHeight="1" x14ac:dyDescent="0.25">
      <c r="A54" s="85" t="s">
        <v>46</v>
      </c>
      <c r="B54" s="85" t="s">
        <v>1418</v>
      </c>
      <c r="C54" s="85" t="s">
        <v>733</v>
      </c>
      <c r="D54" t="str">
        <f t="shared" si="0"/>
        <v>el charco</v>
      </c>
      <c r="E54" t="str">
        <f t="shared" si="1"/>
        <v>santander</v>
      </c>
      <c r="F54" t="str">
        <f t="shared" si="2"/>
        <v>el charco|santander</v>
      </c>
    </row>
    <row r="55" spans="1:6" ht="15" customHeight="1" x14ac:dyDescent="0.25">
      <c r="A55" s="86" t="s">
        <v>46</v>
      </c>
      <c r="B55" s="86" t="s">
        <v>467</v>
      </c>
      <c r="C55" s="86" t="s">
        <v>1419</v>
      </c>
      <c r="D55" t="str">
        <f t="shared" si="0"/>
        <v>el dovio</v>
      </c>
      <c r="E55" t="str">
        <f t="shared" si="1"/>
        <v>santander</v>
      </c>
      <c r="F55" t="str">
        <f t="shared" si="2"/>
        <v>el dovio|santander</v>
      </c>
    </row>
    <row r="56" spans="1:6" ht="15" customHeight="1" x14ac:dyDescent="0.25">
      <c r="A56" s="85" t="s">
        <v>46</v>
      </c>
      <c r="B56" s="85" t="s">
        <v>1420</v>
      </c>
      <c r="C56" s="85" t="s">
        <v>1421</v>
      </c>
      <c r="D56" t="str">
        <f t="shared" si="0"/>
        <v>el guacamayo</v>
      </c>
      <c r="E56" t="str">
        <f t="shared" si="1"/>
        <v>santander</v>
      </c>
      <c r="F56" t="str">
        <f t="shared" si="2"/>
        <v>el guacamayo|santander</v>
      </c>
    </row>
    <row r="57" spans="1:6" ht="25.5" customHeight="1" x14ac:dyDescent="0.25">
      <c r="A57" s="85" t="s">
        <v>48</v>
      </c>
      <c r="B57" s="85" t="s">
        <v>422</v>
      </c>
      <c r="C57" s="85" t="s">
        <v>1422</v>
      </c>
      <c r="D57" t="str">
        <f t="shared" si="0"/>
        <v>el penol</v>
      </c>
      <c r="E57" t="str">
        <f t="shared" si="1"/>
        <v>tolima</v>
      </c>
      <c r="F57" t="str">
        <f t="shared" si="2"/>
        <v>el penol|tolima</v>
      </c>
    </row>
    <row r="58" spans="1:6" ht="15" customHeight="1" x14ac:dyDescent="0.25">
      <c r="A58" s="86" t="s">
        <v>48</v>
      </c>
      <c r="B58" s="86" t="s">
        <v>1423</v>
      </c>
      <c r="C58" s="86" t="s">
        <v>1424</v>
      </c>
      <c r="D58" t="str">
        <f t="shared" si="0"/>
        <v>el playon</v>
      </c>
      <c r="E58" t="str">
        <f t="shared" si="1"/>
        <v>tolima</v>
      </c>
      <c r="F58" t="str">
        <f t="shared" si="2"/>
        <v>el playon|tolima</v>
      </c>
    </row>
    <row r="59" spans="1:6" ht="25.5" customHeight="1" x14ac:dyDescent="0.25">
      <c r="A59" s="85" t="s">
        <v>35</v>
      </c>
      <c r="B59" s="85" t="s">
        <v>1425</v>
      </c>
      <c r="C59" s="85" t="s">
        <v>1426</v>
      </c>
      <c r="D59" t="str">
        <f t="shared" si="0"/>
        <v>el retorno</v>
      </c>
      <c r="E59" t="str">
        <f t="shared" si="1"/>
        <v>cundinamarca</v>
      </c>
      <c r="F59" t="str">
        <f t="shared" si="2"/>
        <v>el retorno|cundinamarca</v>
      </c>
    </row>
    <row r="60" spans="1:6" ht="15" customHeight="1" x14ac:dyDescent="0.25">
      <c r="A60" s="86" t="s">
        <v>37</v>
      </c>
      <c r="B60" s="86" t="s">
        <v>596</v>
      </c>
      <c r="C60" s="86" t="s">
        <v>1427</v>
      </c>
      <c r="D60" t="str">
        <f t="shared" si="0"/>
        <v>el tarra</v>
      </c>
      <c r="E60" t="str">
        <f t="shared" si="1"/>
        <v>huila</v>
      </c>
      <c r="F60" t="str">
        <f t="shared" si="2"/>
        <v>el tarra|huila</v>
      </c>
    </row>
    <row r="61" spans="1:6" ht="25.5" customHeight="1" x14ac:dyDescent="0.25">
      <c r="A61" s="85" t="s">
        <v>41</v>
      </c>
      <c r="B61" s="85" t="s">
        <v>1428</v>
      </c>
      <c r="C61" s="85" t="s">
        <v>1429</v>
      </c>
      <c r="D61" t="str">
        <f t="shared" si="0"/>
        <v>el zulia</v>
      </c>
      <c r="E61" t="str">
        <f t="shared" si="1"/>
        <v>narino</v>
      </c>
      <c r="F61" t="str">
        <f t="shared" si="2"/>
        <v>el zulia|narino</v>
      </c>
    </row>
    <row r="62" spans="1:6" ht="15" customHeight="1" x14ac:dyDescent="0.25">
      <c r="A62" s="85" t="s">
        <v>48</v>
      </c>
      <c r="B62" s="85" t="s">
        <v>154</v>
      </c>
      <c r="C62" s="85" t="s">
        <v>1430</v>
      </c>
      <c r="D62" t="str">
        <f t="shared" si="0"/>
        <v>filandia</v>
      </c>
      <c r="E62" t="str">
        <f t="shared" si="1"/>
        <v>tolima</v>
      </c>
      <c r="F62" t="str">
        <f t="shared" si="2"/>
        <v>filandia|tolima</v>
      </c>
    </row>
    <row r="63" spans="1:6" ht="15" customHeight="1" x14ac:dyDescent="0.25">
      <c r="A63" s="86" t="s">
        <v>48</v>
      </c>
      <c r="B63" s="86" t="s">
        <v>742</v>
      </c>
      <c r="C63" s="86" t="s">
        <v>1431</v>
      </c>
      <c r="D63" t="str">
        <f t="shared" si="0"/>
        <v>flandes</v>
      </c>
      <c r="E63" t="str">
        <f t="shared" si="1"/>
        <v>tolima</v>
      </c>
      <c r="F63" t="str">
        <f t="shared" si="2"/>
        <v>flandes|tolima</v>
      </c>
    </row>
    <row r="64" spans="1:6" ht="25.5" customHeight="1" x14ac:dyDescent="0.25">
      <c r="A64" s="85" t="s">
        <v>48</v>
      </c>
      <c r="B64" s="85" t="s">
        <v>1184</v>
      </c>
      <c r="C64" s="85" t="s">
        <v>1432</v>
      </c>
      <c r="D64" t="str">
        <f t="shared" si="0"/>
        <v>floridablanca</v>
      </c>
      <c r="E64" t="str">
        <f t="shared" si="1"/>
        <v>tolima</v>
      </c>
      <c r="F64" t="str">
        <f t="shared" si="2"/>
        <v>floridablanca|tolima</v>
      </c>
    </row>
    <row r="65" spans="1:6" ht="25.5" customHeight="1" x14ac:dyDescent="0.25">
      <c r="A65" s="86" t="s">
        <v>48</v>
      </c>
      <c r="B65" s="86" t="s">
        <v>1433</v>
      </c>
      <c r="C65" s="86" t="s">
        <v>1434</v>
      </c>
      <c r="D65" t="str">
        <f t="shared" si="0"/>
        <v>fonseca</v>
      </c>
      <c r="E65" t="str">
        <f t="shared" si="1"/>
        <v>tolima</v>
      </c>
      <c r="F65" t="str">
        <f t="shared" si="2"/>
        <v>fonseca|tolima</v>
      </c>
    </row>
    <row r="66" spans="1:6" ht="25.5" customHeight="1" x14ac:dyDescent="0.25">
      <c r="A66" s="85" t="s">
        <v>42</v>
      </c>
      <c r="B66" s="85" t="s">
        <v>283</v>
      </c>
      <c r="C66" s="85" t="s">
        <v>1435</v>
      </c>
      <c r="D66" t="str">
        <f t="shared" ref="D66:D129" si="3">TRIM(SUBSTITUTE(SUBSTITUTE(SUBSTITUTE(SUBSTITUTE(SUBSTITUTE(SUBSTITUTE(SUBSTITUTE(SUBSTITUTE(SUBSTITUTE(LOWER(B66),"á","a"),"é","e"),"í","i"),"ó","o"),"ú","u"),"ñ","n"),"-"," "),","," "),"."," "))</f>
        <v>fresno</v>
      </c>
      <c r="E66" t="str">
        <f t="shared" ref="E66:E129" si="4">TRIM(SUBSTITUTE(SUBSTITUTE(SUBSTITUTE(SUBSTITUTE(SUBSTITUTE(SUBSTITUTE(SUBSTITUTE(SUBSTITUTE(SUBSTITUTE(LOWER(A66),"á","a"),"é","e"),"í","i"),"ó","o"),"ú","u"),"ñ","n"),"-"," "),","," "),"."," "))</f>
        <v>norte de santander</v>
      </c>
      <c r="F66" t="str">
        <f t="shared" ref="F66:F129" si="5">D66&amp;"|"&amp;E66</f>
        <v>fresno|norte de santander</v>
      </c>
    </row>
    <row r="67" spans="1:6" ht="25.5" customHeight="1" x14ac:dyDescent="0.25">
      <c r="A67" s="86" t="s">
        <v>42</v>
      </c>
      <c r="B67" s="86" t="s">
        <v>1436</v>
      </c>
      <c r="C67" s="86" t="s">
        <v>1437</v>
      </c>
      <c r="D67" t="str">
        <f t="shared" si="3"/>
        <v>fuente de oro</v>
      </c>
      <c r="E67" t="str">
        <f t="shared" si="4"/>
        <v>norte de santander</v>
      </c>
      <c r="F67" t="str">
        <f t="shared" si="5"/>
        <v>fuente de oro|norte de santander</v>
      </c>
    </row>
    <row r="68" spans="1:6" ht="25.5" customHeight="1" x14ac:dyDescent="0.25">
      <c r="A68" s="85" t="s">
        <v>42</v>
      </c>
      <c r="B68" s="85" t="s">
        <v>1119</v>
      </c>
      <c r="C68" s="85" t="s">
        <v>1438</v>
      </c>
      <c r="D68" t="str">
        <f t="shared" si="3"/>
        <v>fusagasuga</v>
      </c>
      <c r="E68" t="str">
        <f t="shared" si="4"/>
        <v>norte de santander</v>
      </c>
      <c r="F68" t="str">
        <f t="shared" si="5"/>
        <v>fusagasuga|norte de santander</v>
      </c>
    </row>
    <row r="69" spans="1:6" ht="25.5" customHeight="1" x14ac:dyDescent="0.25">
      <c r="A69" s="86" t="s">
        <v>41</v>
      </c>
      <c r="B69" s="86" t="s">
        <v>1439</v>
      </c>
      <c r="C69" s="86" t="s">
        <v>1440</v>
      </c>
      <c r="D69" t="str">
        <f t="shared" si="3"/>
        <v>gacheta</v>
      </c>
      <c r="E69" t="str">
        <f t="shared" si="4"/>
        <v>narino</v>
      </c>
      <c r="F69" t="str">
        <f t="shared" si="5"/>
        <v>gacheta|narino</v>
      </c>
    </row>
    <row r="70" spans="1:6" ht="15" customHeight="1" x14ac:dyDescent="0.25">
      <c r="A70" s="86" t="s">
        <v>1376</v>
      </c>
      <c r="B70" s="86" t="s">
        <v>132</v>
      </c>
      <c r="C70" s="86" t="s">
        <v>1441</v>
      </c>
      <c r="D70" t="str">
        <f t="shared" si="3"/>
        <v>garzon</v>
      </c>
      <c r="E70" t="str">
        <f t="shared" si="4"/>
        <v>guajira</v>
      </c>
      <c r="F70" t="str">
        <f t="shared" si="5"/>
        <v>garzon|guajira</v>
      </c>
    </row>
    <row r="71" spans="1:6" ht="15" customHeight="1" x14ac:dyDescent="0.25">
      <c r="A71" s="85" t="s">
        <v>1376</v>
      </c>
      <c r="B71" s="85" t="s">
        <v>1166</v>
      </c>
      <c r="C71" s="85" t="s">
        <v>1442</v>
      </c>
      <c r="D71" t="str">
        <f t="shared" si="3"/>
        <v>girardot</v>
      </c>
      <c r="E71" t="str">
        <f t="shared" si="4"/>
        <v>guajira</v>
      </c>
      <c r="F71" t="str">
        <f t="shared" si="5"/>
        <v>girardot|guajira</v>
      </c>
    </row>
    <row r="72" spans="1:6" ht="15" customHeight="1" x14ac:dyDescent="0.25">
      <c r="A72" s="85" t="s">
        <v>48</v>
      </c>
      <c r="B72" s="85" t="s">
        <v>1443</v>
      </c>
      <c r="C72" s="85" t="s">
        <v>1444</v>
      </c>
      <c r="D72" t="str">
        <f t="shared" si="3"/>
        <v>giron</v>
      </c>
      <c r="E72" t="str">
        <f t="shared" si="4"/>
        <v>tolima</v>
      </c>
      <c r="F72" t="str">
        <f t="shared" si="5"/>
        <v>giron|tolima</v>
      </c>
    </row>
    <row r="73" spans="1:6" ht="15" customHeight="1" x14ac:dyDescent="0.25">
      <c r="A73" s="86" t="s">
        <v>22</v>
      </c>
      <c r="B73" s="86" t="s">
        <v>428</v>
      </c>
      <c r="C73" s="86" t="s">
        <v>1445</v>
      </c>
      <c r="D73" t="str">
        <f t="shared" si="3"/>
        <v>granada</v>
      </c>
      <c r="E73" t="str">
        <f t="shared" si="4"/>
        <v>boyaca</v>
      </c>
      <c r="F73" t="str">
        <f t="shared" si="5"/>
        <v>granada|boyaca</v>
      </c>
    </row>
    <row r="74" spans="1:6" ht="25.5" customHeight="1" x14ac:dyDescent="0.25">
      <c r="A74" s="85" t="s">
        <v>49</v>
      </c>
      <c r="B74" s="85" t="s">
        <v>1446</v>
      </c>
      <c r="C74" s="85" t="s">
        <v>1447</v>
      </c>
      <c r="D74" t="str">
        <f t="shared" si="3"/>
        <v>guacari</v>
      </c>
      <c r="E74" t="str">
        <f t="shared" si="4"/>
        <v>valle del cauca</v>
      </c>
      <c r="F74" t="str">
        <f t="shared" si="5"/>
        <v>guacari|valle del cauca</v>
      </c>
    </row>
    <row r="75" spans="1:6" ht="25.5" customHeight="1" x14ac:dyDescent="0.25">
      <c r="A75" s="85" t="s">
        <v>42</v>
      </c>
      <c r="B75" s="85" t="s">
        <v>1448</v>
      </c>
      <c r="C75" s="85" t="s">
        <v>1449</v>
      </c>
      <c r="D75" t="str">
        <f t="shared" si="3"/>
        <v>guadalupe</v>
      </c>
      <c r="E75" t="str">
        <f t="shared" si="4"/>
        <v>norte de santander</v>
      </c>
      <c r="F75" t="str">
        <f t="shared" si="5"/>
        <v>guadalupe|norte de santander</v>
      </c>
    </row>
    <row r="76" spans="1:6" ht="25.5" customHeight="1" x14ac:dyDescent="0.25">
      <c r="A76" s="86" t="s">
        <v>49</v>
      </c>
      <c r="B76" s="86" t="s">
        <v>1450</v>
      </c>
      <c r="C76" s="86" t="s">
        <v>1451</v>
      </c>
      <c r="D76" t="str">
        <f t="shared" si="3"/>
        <v>guamo</v>
      </c>
      <c r="E76" t="str">
        <f t="shared" si="4"/>
        <v>valle del cauca</v>
      </c>
      <c r="F76" t="str">
        <f t="shared" si="5"/>
        <v>guamo|valle del cauca</v>
      </c>
    </row>
    <row r="77" spans="1:6" ht="25.5" customHeight="1" x14ac:dyDescent="0.25">
      <c r="A77" s="85" t="s">
        <v>41</v>
      </c>
      <c r="B77" s="85" t="s">
        <v>1452</v>
      </c>
      <c r="C77" s="85" t="s">
        <v>1453</v>
      </c>
      <c r="D77" t="str">
        <f t="shared" si="3"/>
        <v>guapota</v>
      </c>
      <c r="E77" t="str">
        <f t="shared" si="4"/>
        <v>narino</v>
      </c>
      <c r="F77" t="str">
        <f t="shared" si="5"/>
        <v>guapota|narino</v>
      </c>
    </row>
    <row r="78" spans="1:6" ht="25.5" customHeight="1" x14ac:dyDescent="0.25">
      <c r="A78" s="85" t="s">
        <v>49</v>
      </c>
      <c r="B78" s="85" t="s">
        <v>1454</v>
      </c>
      <c r="C78" s="85" t="s">
        <v>1455</v>
      </c>
      <c r="D78" t="str">
        <f t="shared" si="3"/>
        <v>guayabal de siquima</v>
      </c>
      <c r="E78" t="str">
        <f t="shared" si="4"/>
        <v>valle del cauca</v>
      </c>
      <c r="F78" t="str">
        <f t="shared" si="5"/>
        <v>guayabal de siquima|valle del cauca</v>
      </c>
    </row>
    <row r="79" spans="1:6" ht="38.25" customHeight="1" x14ac:dyDescent="0.25">
      <c r="A79" s="86" t="s">
        <v>49</v>
      </c>
      <c r="B79" s="86" t="s">
        <v>1456</v>
      </c>
      <c r="C79" s="86" t="s">
        <v>1457</v>
      </c>
      <c r="D79" t="str">
        <f t="shared" si="3"/>
        <v>guayata</v>
      </c>
      <c r="E79" t="str">
        <f t="shared" si="4"/>
        <v>valle del cauca</v>
      </c>
      <c r="F79" t="str">
        <f t="shared" si="5"/>
        <v>guayata|valle del cauca</v>
      </c>
    </row>
    <row r="80" spans="1:6" ht="15" customHeight="1" x14ac:dyDescent="0.25">
      <c r="A80" s="86" t="s">
        <v>46</v>
      </c>
      <c r="B80" s="86" t="s">
        <v>1458</v>
      </c>
      <c r="C80" s="86" t="s">
        <v>1459</v>
      </c>
      <c r="D80" t="str">
        <f t="shared" si="3"/>
        <v>hacari</v>
      </c>
      <c r="E80" t="str">
        <f t="shared" si="4"/>
        <v>santander</v>
      </c>
      <c r="F80" t="str">
        <f t="shared" si="5"/>
        <v>hacari|santander</v>
      </c>
    </row>
    <row r="81" spans="1:6" ht="25.5" customHeight="1" x14ac:dyDescent="0.25">
      <c r="A81" s="86" t="s">
        <v>41</v>
      </c>
      <c r="B81" s="86" t="s">
        <v>744</v>
      </c>
      <c r="C81" s="86" t="s">
        <v>1460</v>
      </c>
      <c r="D81" t="str">
        <f t="shared" si="3"/>
        <v>ibague</v>
      </c>
      <c r="E81" t="str">
        <f t="shared" si="4"/>
        <v>narino</v>
      </c>
      <c r="F81" t="str">
        <f t="shared" si="5"/>
        <v>ibague|narino</v>
      </c>
    </row>
    <row r="82" spans="1:6" ht="25.5" customHeight="1" x14ac:dyDescent="0.25">
      <c r="A82" s="85" t="s">
        <v>46</v>
      </c>
      <c r="B82" s="85" t="s">
        <v>1168</v>
      </c>
      <c r="C82" s="85" t="s">
        <v>1461</v>
      </c>
      <c r="D82" t="str">
        <f t="shared" si="3"/>
        <v>icononzo</v>
      </c>
      <c r="E82" t="str">
        <f t="shared" si="4"/>
        <v>santander</v>
      </c>
      <c r="F82" t="str">
        <f t="shared" si="5"/>
        <v>icononzo|santander</v>
      </c>
    </row>
    <row r="83" spans="1:6" ht="25.5" customHeight="1" x14ac:dyDescent="0.25">
      <c r="A83" s="86" t="s">
        <v>1403</v>
      </c>
      <c r="B83" s="86" t="s">
        <v>1327</v>
      </c>
      <c r="C83" s="86" t="s">
        <v>1462</v>
      </c>
      <c r="D83" t="str">
        <f t="shared" si="3"/>
        <v>imues</v>
      </c>
      <c r="E83" t="str">
        <f t="shared" si="4"/>
        <v>guaviare</v>
      </c>
      <c r="F83" t="str">
        <f t="shared" si="5"/>
        <v>imues|guaviare</v>
      </c>
    </row>
    <row r="84" spans="1:6" ht="15" customHeight="1" x14ac:dyDescent="0.25">
      <c r="A84" s="85" t="s">
        <v>1403</v>
      </c>
      <c r="B84" s="85" t="s">
        <v>598</v>
      </c>
      <c r="C84" s="85" t="s">
        <v>1463</v>
      </c>
      <c r="D84" t="str">
        <f t="shared" si="3"/>
        <v>ipiales</v>
      </c>
      <c r="E84" t="str">
        <f t="shared" si="4"/>
        <v>guaviare</v>
      </c>
      <c r="F84" t="str">
        <f t="shared" si="5"/>
        <v>ipiales|guaviare</v>
      </c>
    </row>
    <row r="85" spans="1:6" ht="15" customHeight="1" x14ac:dyDescent="0.25">
      <c r="A85" s="86" t="s">
        <v>1403</v>
      </c>
      <c r="B85" s="86" t="s">
        <v>600</v>
      </c>
      <c r="C85" s="86" t="s">
        <v>1464</v>
      </c>
      <c r="D85" t="str">
        <f t="shared" si="3"/>
        <v>istmina</v>
      </c>
      <c r="E85" t="str">
        <f t="shared" si="4"/>
        <v>guaviare</v>
      </c>
      <c r="F85" t="str">
        <f t="shared" si="5"/>
        <v>istmina|guaviare</v>
      </c>
    </row>
    <row r="86" spans="1:6" ht="25.5" customHeight="1" x14ac:dyDescent="0.25">
      <c r="A86" s="86" t="s">
        <v>42</v>
      </c>
      <c r="B86" s="86" t="s">
        <v>471</v>
      </c>
      <c r="C86" s="86" t="s">
        <v>1465</v>
      </c>
      <c r="D86" t="str">
        <f t="shared" si="3"/>
        <v>jamundi</v>
      </c>
      <c r="E86" t="str">
        <f t="shared" si="4"/>
        <v>norte de santander</v>
      </c>
      <c r="F86" t="str">
        <f t="shared" si="5"/>
        <v>jamundi|norte de santander</v>
      </c>
    </row>
    <row r="87" spans="1:6" ht="25.5" customHeight="1" x14ac:dyDescent="0.25">
      <c r="A87" s="85" t="s">
        <v>42</v>
      </c>
      <c r="B87" s="85" t="s">
        <v>1466</v>
      </c>
      <c r="C87" s="85" t="s">
        <v>1467</v>
      </c>
      <c r="D87" t="str">
        <f t="shared" si="3"/>
        <v>juan de acosta</v>
      </c>
      <c r="E87" t="str">
        <f t="shared" si="4"/>
        <v>norte de santander</v>
      </c>
      <c r="F87" t="str">
        <f t="shared" si="5"/>
        <v>juan de acosta|norte de santander</v>
      </c>
    </row>
    <row r="88" spans="1:6" ht="25.5" customHeight="1" x14ac:dyDescent="0.25">
      <c r="A88" s="86" t="s">
        <v>42</v>
      </c>
      <c r="B88" s="86" t="s">
        <v>1468</v>
      </c>
      <c r="C88" s="86" t="s">
        <v>1469</v>
      </c>
      <c r="D88" t="str">
        <f t="shared" si="3"/>
        <v>la argentina</v>
      </c>
      <c r="E88" t="str">
        <f t="shared" si="4"/>
        <v>norte de santander</v>
      </c>
      <c r="F88" t="str">
        <f t="shared" si="5"/>
        <v>la argentina|norte de santander</v>
      </c>
    </row>
    <row r="89" spans="1:6" ht="25.5" customHeight="1" x14ac:dyDescent="0.25">
      <c r="A89" s="85" t="s">
        <v>42</v>
      </c>
      <c r="B89" s="85" t="s">
        <v>160</v>
      </c>
      <c r="C89" s="85" t="s">
        <v>1470</v>
      </c>
      <c r="D89" t="str">
        <f t="shared" si="3"/>
        <v>la cruz</v>
      </c>
      <c r="E89" t="str">
        <f t="shared" si="4"/>
        <v>norte de santander</v>
      </c>
      <c r="F89" t="str">
        <f t="shared" si="5"/>
        <v>la cruz|norte de santander</v>
      </c>
    </row>
    <row r="90" spans="1:6" ht="15" customHeight="1" x14ac:dyDescent="0.25">
      <c r="A90" s="86" t="s">
        <v>1360</v>
      </c>
      <c r="B90" s="86" t="s">
        <v>1471</v>
      </c>
      <c r="C90" s="86" t="s">
        <v>1459</v>
      </c>
      <c r="D90" t="str">
        <f t="shared" si="3"/>
        <v>la esperanza</v>
      </c>
      <c r="E90" t="str">
        <f t="shared" si="4"/>
        <v>quindio</v>
      </c>
      <c r="F90" t="str">
        <f t="shared" si="5"/>
        <v>la esperanza|quindio</v>
      </c>
    </row>
    <row r="91" spans="1:6" ht="15" customHeight="1" x14ac:dyDescent="0.25">
      <c r="A91" s="86" t="s">
        <v>48</v>
      </c>
      <c r="B91" s="86" t="s">
        <v>1472</v>
      </c>
      <c r="C91" s="86" t="s">
        <v>1473</v>
      </c>
      <c r="D91" t="str">
        <f t="shared" si="3"/>
        <v>la florida</v>
      </c>
      <c r="E91" t="str">
        <f t="shared" si="4"/>
        <v>tolima</v>
      </c>
      <c r="F91" t="str">
        <f t="shared" si="5"/>
        <v>la florida|tolima</v>
      </c>
    </row>
    <row r="92" spans="1:6" ht="15" customHeight="1" x14ac:dyDescent="0.25">
      <c r="A92" s="86" t="s">
        <v>46</v>
      </c>
      <c r="B92" s="86" t="s">
        <v>1474</v>
      </c>
      <c r="C92" s="86" t="s">
        <v>1475</v>
      </c>
      <c r="D92" t="str">
        <f t="shared" si="3"/>
        <v>la macarena</v>
      </c>
      <c r="E92" t="str">
        <f t="shared" si="4"/>
        <v>santander</v>
      </c>
      <c r="F92" t="str">
        <f t="shared" si="5"/>
        <v>la macarena|santander</v>
      </c>
    </row>
    <row r="93" spans="1:6" ht="15" customHeight="1" x14ac:dyDescent="0.25">
      <c r="A93" s="86" t="s">
        <v>1376</v>
      </c>
      <c r="B93" s="86" t="s">
        <v>1199</v>
      </c>
      <c r="C93" s="86" t="s">
        <v>1476</v>
      </c>
      <c r="D93" t="str">
        <f t="shared" si="3"/>
        <v>la palma</v>
      </c>
      <c r="E93" t="str">
        <f t="shared" si="4"/>
        <v>guajira</v>
      </c>
      <c r="F93" t="str">
        <f t="shared" si="5"/>
        <v>la palma|guajira</v>
      </c>
    </row>
    <row r="94" spans="1:6" ht="25.5" customHeight="1" x14ac:dyDescent="0.25">
      <c r="A94" s="85" t="s">
        <v>48</v>
      </c>
      <c r="B94" s="85" t="s">
        <v>134</v>
      </c>
      <c r="C94" s="85" t="s">
        <v>1477</v>
      </c>
      <c r="D94" t="str">
        <f t="shared" si="3"/>
        <v>la plata</v>
      </c>
      <c r="E94" t="str">
        <f t="shared" si="4"/>
        <v>tolima</v>
      </c>
      <c r="F94" t="str">
        <f t="shared" si="5"/>
        <v>la plata|tolima</v>
      </c>
    </row>
    <row r="95" spans="1:6" ht="25.5" customHeight="1" x14ac:dyDescent="0.25">
      <c r="A95" s="85" t="s">
        <v>40</v>
      </c>
      <c r="B95" s="85" t="s">
        <v>156</v>
      </c>
      <c r="C95" s="85" t="s">
        <v>1478</v>
      </c>
      <c r="D95" t="str">
        <f t="shared" si="3"/>
        <v>la tebaida</v>
      </c>
      <c r="E95" t="str">
        <f t="shared" si="4"/>
        <v>meta</v>
      </c>
      <c r="F95" t="str">
        <f t="shared" si="5"/>
        <v>la tebaida|meta</v>
      </c>
    </row>
    <row r="96" spans="1:6" ht="15" customHeight="1" x14ac:dyDescent="0.25">
      <c r="A96" s="86" t="s">
        <v>40</v>
      </c>
      <c r="B96" s="86" t="s">
        <v>379</v>
      </c>
      <c r="C96" s="86" t="s">
        <v>1431</v>
      </c>
      <c r="D96" t="str">
        <f t="shared" si="3"/>
        <v>la union</v>
      </c>
      <c r="E96" t="str">
        <f t="shared" si="4"/>
        <v>meta</v>
      </c>
      <c r="F96" t="str">
        <f t="shared" si="5"/>
        <v>la union|meta</v>
      </c>
    </row>
    <row r="97" spans="1:6" ht="25.5" customHeight="1" x14ac:dyDescent="0.25">
      <c r="A97" s="86" t="s">
        <v>35</v>
      </c>
      <c r="B97" s="86" t="s">
        <v>1010</v>
      </c>
      <c r="C97" s="86" t="s">
        <v>1479</v>
      </c>
      <c r="D97" t="str">
        <f t="shared" si="3"/>
        <v>la victoria</v>
      </c>
      <c r="E97" t="str">
        <f t="shared" si="4"/>
        <v>cundinamarca</v>
      </c>
      <c r="F97" t="str">
        <f t="shared" si="5"/>
        <v>la victoria|cundinamarca</v>
      </c>
    </row>
    <row r="98" spans="1:6" ht="25.5" customHeight="1" x14ac:dyDescent="0.25">
      <c r="A98" s="85" t="s">
        <v>35</v>
      </c>
      <c r="B98" s="85" t="s">
        <v>493</v>
      </c>
      <c r="C98" s="85" t="s">
        <v>1480</v>
      </c>
      <c r="D98" t="str">
        <f t="shared" si="3"/>
        <v>libano</v>
      </c>
      <c r="E98" t="str">
        <f t="shared" si="4"/>
        <v>cundinamarca</v>
      </c>
      <c r="F98" t="str">
        <f t="shared" si="5"/>
        <v>libano|cundinamarca</v>
      </c>
    </row>
    <row r="99" spans="1:6" ht="25.5" customHeight="1" x14ac:dyDescent="0.25">
      <c r="A99" s="86" t="s">
        <v>35</v>
      </c>
      <c r="B99" s="86" t="s">
        <v>1481</v>
      </c>
      <c r="C99" s="86" t="s">
        <v>1482</v>
      </c>
      <c r="D99" t="str">
        <f t="shared" si="3"/>
        <v>linares</v>
      </c>
      <c r="E99" t="str">
        <f t="shared" si="4"/>
        <v>cundinamarca</v>
      </c>
      <c r="F99" t="str">
        <f t="shared" si="5"/>
        <v>linares|cundinamarca</v>
      </c>
    </row>
    <row r="100" spans="1:6" ht="25.5" customHeight="1" x14ac:dyDescent="0.25">
      <c r="A100" s="85" t="s">
        <v>37</v>
      </c>
      <c r="B100" s="85" t="s">
        <v>1483</v>
      </c>
      <c r="C100" s="85" t="s">
        <v>1484</v>
      </c>
      <c r="D100" t="str">
        <f t="shared" si="3"/>
        <v>luruaco</v>
      </c>
      <c r="E100" t="str">
        <f t="shared" si="4"/>
        <v>huila</v>
      </c>
      <c r="F100" t="str">
        <f t="shared" si="5"/>
        <v>luruaco|huila</v>
      </c>
    </row>
    <row r="101" spans="1:6" ht="25.5" customHeight="1" x14ac:dyDescent="0.25">
      <c r="A101" s="86" t="s">
        <v>35</v>
      </c>
      <c r="B101" s="86" t="s">
        <v>1485</v>
      </c>
      <c r="C101" s="86" t="s">
        <v>1486</v>
      </c>
      <c r="D101" t="str">
        <f t="shared" si="3"/>
        <v>maicao</v>
      </c>
      <c r="E101" t="str">
        <f t="shared" si="4"/>
        <v>cundinamarca</v>
      </c>
      <c r="F101" t="str">
        <f t="shared" si="5"/>
        <v>maicao|cundinamarca</v>
      </c>
    </row>
    <row r="102" spans="1:6" ht="25.5" customHeight="1" x14ac:dyDescent="0.25">
      <c r="A102" s="85" t="s">
        <v>46</v>
      </c>
      <c r="B102" s="85" t="s">
        <v>1487</v>
      </c>
      <c r="C102" s="85" t="s">
        <v>1488</v>
      </c>
      <c r="D102" t="str">
        <f t="shared" si="3"/>
        <v>mallama</v>
      </c>
      <c r="E102" t="str">
        <f t="shared" si="4"/>
        <v>santander</v>
      </c>
      <c r="F102" t="str">
        <f t="shared" si="5"/>
        <v>mallama|santander</v>
      </c>
    </row>
    <row r="103" spans="1:6" ht="15" customHeight="1" x14ac:dyDescent="0.25">
      <c r="A103" s="86" t="s">
        <v>46</v>
      </c>
      <c r="B103" s="86" t="s">
        <v>1489</v>
      </c>
      <c r="C103" s="86" t="s">
        <v>1490</v>
      </c>
      <c r="D103" t="str">
        <f t="shared" si="3"/>
        <v>manaure</v>
      </c>
      <c r="E103" t="str">
        <f t="shared" si="4"/>
        <v>santander</v>
      </c>
      <c r="F103" t="str">
        <f t="shared" si="5"/>
        <v>manaure|santander</v>
      </c>
    </row>
    <row r="104" spans="1:6" ht="15" customHeight="1" x14ac:dyDescent="0.25">
      <c r="A104" s="85" t="s">
        <v>40</v>
      </c>
      <c r="B104" s="85" t="s">
        <v>1491</v>
      </c>
      <c r="C104" s="85" t="s">
        <v>1492</v>
      </c>
      <c r="D104" t="str">
        <f t="shared" si="3"/>
        <v>mapiripan</v>
      </c>
      <c r="E104" t="str">
        <f t="shared" si="4"/>
        <v>meta</v>
      </c>
      <c r="F104" t="str">
        <f t="shared" si="5"/>
        <v>mapiripan|meta</v>
      </c>
    </row>
    <row r="105" spans="1:6" ht="25.5" customHeight="1" x14ac:dyDescent="0.25">
      <c r="A105" s="86" t="s">
        <v>40</v>
      </c>
      <c r="B105" s="86" t="s">
        <v>162</v>
      </c>
      <c r="C105" s="86" t="s">
        <v>1493</v>
      </c>
      <c r="D105" t="str">
        <f t="shared" si="3"/>
        <v>medio baudo</v>
      </c>
      <c r="E105" t="str">
        <f t="shared" si="4"/>
        <v>meta</v>
      </c>
      <c r="F105" t="str">
        <f t="shared" si="5"/>
        <v>medio baudo|meta</v>
      </c>
    </row>
    <row r="106" spans="1:6" ht="25.5" customHeight="1" x14ac:dyDescent="0.25">
      <c r="A106" s="85" t="s">
        <v>49</v>
      </c>
      <c r="B106" s="85" t="s">
        <v>604</v>
      </c>
      <c r="C106" s="85" t="s">
        <v>1494</v>
      </c>
      <c r="D106" t="str">
        <f t="shared" si="3"/>
        <v>medio san juan</v>
      </c>
      <c r="E106" t="str">
        <f t="shared" si="4"/>
        <v>valle del cauca</v>
      </c>
      <c r="F106" t="str">
        <f t="shared" si="5"/>
        <v>medio san juan|valle del cauca</v>
      </c>
    </row>
    <row r="107" spans="1:6" ht="25.5" customHeight="1" x14ac:dyDescent="0.25">
      <c r="A107" s="86" t="s">
        <v>37</v>
      </c>
      <c r="B107" s="86" t="s">
        <v>495</v>
      </c>
      <c r="C107" s="86" t="s">
        <v>1495</v>
      </c>
      <c r="D107" t="str">
        <f t="shared" si="3"/>
        <v>melgar</v>
      </c>
      <c r="E107" t="str">
        <f t="shared" si="4"/>
        <v>huila</v>
      </c>
      <c r="F107" t="str">
        <f t="shared" si="5"/>
        <v>melgar|huila</v>
      </c>
    </row>
    <row r="108" spans="1:6" ht="15" customHeight="1" x14ac:dyDescent="0.25">
      <c r="A108" s="86" t="s">
        <v>48</v>
      </c>
      <c r="B108" s="86" t="s">
        <v>1496</v>
      </c>
      <c r="C108" s="86" t="s">
        <v>1497</v>
      </c>
      <c r="D108" t="str">
        <f t="shared" si="3"/>
        <v>miraflores</v>
      </c>
      <c r="E108" t="str">
        <f t="shared" si="4"/>
        <v>tolima</v>
      </c>
      <c r="F108" t="str">
        <f t="shared" si="5"/>
        <v>miraflores|tolima</v>
      </c>
    </row>
    <row r="109" spans="1:6" ht="25.5" customHeight="1" x14ac:dyDescent="0.25">
      <c r="A109" s="85" t="s">
        <v>48</v>
      </c>
      <c r="B109" s="85" t="s">
        <v>1496</v>
      </c>
      <c r="C109" s="85" t="s">
        <v>1498</v>
      </c>
      <c r="D109" t="str">
        <f t="shared" si="3"/>
        <v>miraflores</v>
      </c>
      <c r="E109" t="str">
        <f t="shared" si="4"/>
        <v>tolima</v>
      </c>
      <c r="F109" t="str">
        <f t="shared" si="5"/>
        <v>miraflores|tolima</v>
      </c>
    </row>
    <row r="110" spans="1:6" ht="25.5" customHeight="1" x14ac:dyDescent="0.25">
      <c r="A110" s="86" t="s">
        <v>46</v>
      </c>
      <c r="B110" s="86" t="s">
        <v>1499</v>
      </c>
      <c r="C110" s="86" t="s">
        <v>1500</v>
      </c>
      <c r="D110" t="str">
        <f t="shared" si="3"/>
        <v>mogotes</v>
      </c>
      <c r="E110" t="str">
        <f t="shared" si="4"/>
        <v>santander</v>
      </c>
      <c r="F110" t="str">
        <f t="shared" si="5"/>
        <v>mogotes|santander</v>
      </c>
    </row>
    <row r="111" spans="1:6" ht="25.5" customHeight="1" x14ac:dyDescent="0.25">
      <c r="A111" s="85" t="s">
        <v>35</v>
      </c>
      <c r="B111" s="85" t="s">
        <v>1501</v>
      </c>
      <c r="C111" s="85" t="s">
        <v>1502</v>
      </c>
      <c r="D111" t="str">
        <f t="shared" si="3"/>
        <v>moniquira</v>
      </c>
      <c r="E111" t="str">
        <f t="shared" si="4"/>
        <v>cundinamarca</v>
      </c>
      <c r="F111" t="str">
        <f t="shared" si="5"/>
        <v>moniquira|cundinamarca</v>
      </c>
    </row>
    <row r="112" spans="1:6" ht="25.5" customHeight="1" x14ac:dyDescent="0.25">
      <c r="A112" s="86" t="s">
        <v>35</v>
      </c>
      <c r="B112" s="86" t="s">
        <v>840</v>
      </c>
      <c r="C112" s="86" t="s">
        <v>1426</v>
      </c>
      <c r="D112" t="str">
        <f t="shared" si="3"/>
        <v>montenegro</v>
      </c>
      <c r="E112" t="str">
        <f t="shared" si="4"/>
        <v>cundinamarca</v>
      </c>
      <c r="F112" t="str">
        <f t="shared" si="5"/>
        <v>montenegro|cundinamarca</v>
      </c>
    </row>
    <row r="113" spans="1:6" ht="15" customHeight="1" x14ac:dyDescent="0.25">
      <c r="A113" s="85" t="s">
        <v>22</v>
      </c>
      <c r="B113" s="85" t="s">
        <v>1503</v>
      </c>
      <c r="C113" s="85" t="s">
        <v>1504</v>
      </c>
      <c r="D113" t="str">
        <f t="shared" si="3"/>
        <v>mutiscua</v>
      </c>
      <c r="E113" t="str">
        <f t="shared" si="4"/>
        <v>boyaca</v>
      </c>
      <c r="F113" t="str">
        <f t="shared" si="5"/>
        <v>mutiscua|boyaca</v>
      </c>
    </row>
    <row r="114" spans="1:6" ht="25.5" customHeight="1" x14ac:dyDescent="0.25">
      <c r="A114" s="86" t="s">
        <v>42</v>
      </c>
      <c r="B114" s="86" t="s">
        <v>1505</v>
      </c>
      <c r="C114" s="86" t="s">
        <v>1506</v>
      </c>
      <c r="D114" t="str">
        <f t="shared" si="3"/>
        <v>nataga</v>
      </c>
      <c r="E114" t="str">
        <f t="shared" si="4"/>
        <v>norte de santander</v>
      </c>
      <c r="F114" t="str">
        <f t="shared" si="5"/>
        <v>nataga|norte de santander</v>
      </c>
    </row>
    <row r="115" spans="1:6" ht="15" customHeight="1" x14ac:dyDescent="0.25">
      <c r="A115" s="85" t="s">
        <v>48</v>
      </c>
      <c r="B115" s="85" t="s">
        <v>497</v>
      </c>
      <c r="C115" s="85" t="s">
        <v>1507</v>
      </c>
      <c r="D115" t="str">
        <f t="shared" si="3"/>
        <v>natagaima</v>
      </c>
      <c r="E115" t="str">
        <f t="shared" si="4"/>
        <v>tolima</v>
      </c>
      <c r="F115" t="str">
        <f t="shared" si="5"/>
        <v>natagaima|tolima</v>
      </c>
    </row>
    <row r="116" spans="1:6" ht="25.5" customHeight="1" x14ac:dyDescent="0.25">
      <c r="A116" s="86" t="s">
        <v>48</v>
      </c>
      <c r="B116" s="86" t="s">
        <v>730</v>
      </c>
      <c r="C116" s="86" t="s">
        <v>1508</v>
      </c>
      <c r="D116" t="str">
        <f t="shared" si="3"/>
        <v>neiva</v>
      </c>
      <c r="E116" t="str">
        <f t="shared" si="4"/>
        <v>tolima</v>
      </c>
      <c r="F116" t="str">
        <f t="shared" si="5"/>
        <v>neiva|tolima</v>
      </c>
    </row>
    <row r="117" spans="1:6" ht="15" customHeight="1" x14ac:dyDescent="0.25">
      <c r="A117" s="85" t="s">
        <v>41</v>
      </c>
      <c r="B117" s="85" t="s">
        <v>460</v>
      </c>
      <c r="C117" s="85" t="s">
        <v>1509</v>
      </c>
      <c r="D117" t="str">
        <f t="shared" si="3"/>
        <v>nilo</v>
      </c>
      <c r="E117" t="str">
        <f t="shared" si="4"/>
        <v>narino</v>
      </c>
      <c r="F117" t="str">
        <f t="shared" si="5"/>
        <v>nilo|narino</v>
      </c>
    </row>
    <row r="118" spans="1:6" ht="25.5" customHeight="1" x14ac:dyDescent="0.25">
      <c r="A118" s="85" t="s">
        <v>41</v>
      </c>
      <c r="B118" s="85" t="s">
        <v>1510</v>
      </c>
      <c r="C118" s="85" t="s">
        <v>1511</v>
      </c>
      <c r="D118" t="str">
        <f t="shared" si="3"/>
        <v>nuevo belen de bajira</v>
      </c>
      <c r="E118" t="str">
        <f t="shared" si="4"/>
        <v>narino</v>
      </c>
      <c r="F118" t="str">
        <f t="shared" si="5"/>
        <v>nuevo belen de bajira|narino</v>
      </c>
    </row>
    <row r="119" spans="1:6" ht="15" customHeight="1" x14ac:dyDescent="0.25">
      <c r="A119" s="86" t="s">
        <v>41</v>
      </c>
      <c r="B119" s="86" t="s">
        <v>1512</v>
      </c>
      <c r="C119" s="86" t="s">
        <v>1513</v>
      </c>
      <c r="D119" t="str">
        <f t="shared" si="3"/>
        <v>olaya herrera</v>
      </c>
      <c r="E119" t="str">
        <f t="shared" si="4"/>
        <v>narino</v>
      </c>
      <c r="F119" t="str">
        <f t="shared" si="5"/>
        <v>olaya herrera|narino</v>
      </c>
    </row>
    <row r="120" spans="1:6" ht="25.5" customHeight="1" x14ac:dyDescent="0.25">
      <c r="A120" s="85" t="s">
        <v>41</v>
      </c>
      <c r="B120" s="85" t="s">
        <v>285</v>
      </c>
      <c r="C120" s="85" t="s">
        <v>1514</v>
      </c>
      <c r="D120" t="str">
        <f t="shared" si="3"/>
        <v>ortega</v>
      </c>
      <c r="E120" t="str">
        <f t="shared" si="4"/>
        <v>narino</v>
      </c>
      <c r="F120" t="str">
        <f t="shared" si="5"/>
        <v>ortega|narino</v>
      </c>
    </row>
    <row r="121" spans="1:6" ht="15" customHeight="1" x14ac:dyDescent="0.25">
      <c r="A121" s="86" t="s">
        <v>41</v>
      </c>
      <c r="B121" s="86" t="s">
        <v>1515</v>
      </c>
      <c r="C121" s="86" t="s">
        <v>1516</v>
      </c>
      <c r="D121" t="str">
        <f t="shared" si="3"/>
        <v>otanche</v>
      </c>
      <c r="E121" t="str">
        <f t="shared" si="4"/>
        <v>narino</v>
      </c>
      <c r="F121" t="str">
        <f t="shared" si="5"/>
        <v>otanche|narino</v>
      </c>
    </row>
    <row r="122" spans="1:6" ht="15" customHeight="1" x14ac:dyDescent="0.25">
      <c r="A122" s="85" t="s">
        <v>41</v>
      </c>
      <c r="B122" s="85" t="s">
        <v>1201</v>
      </c>
      <c r="C122" s="85" t="s">
        <v>1517</v>
      </c>
      <c r="D122" t="str">
        <f t="shared" si="3"/>
        <v>pacho</v>
      </c>
      <c r="E122" t="str">
        <f t="shared" si="4"/>
        <v>narino</v>
      </c>
      <c r="F122" t="str">
        <f t="shared" si="5"/>
        <v>pacho|narino</v>
      </c>
    </row>
    <row r="123" spans="1:6" ht="15" customHeight="1" x14ac:dyDescent="0.25">
      <c r="A123" s="86" t="s">
        <v>41</v>
      </c>
      <c r="B123" s="86" t="s">
        <v>287</v>
      </c>
      <c r="C123" s="86" t="s">
        <v>1518</v>
      </c>
      <c r="D123" t="str">
        <f t="shared" si="3"/>
        <v>palocabildo</v>
      </c>
      <c r="E123" t="str">
        <f t="shared" si="4"/>
        <v>narino</v>
      </c>
      <c r="F123" t="str">
        <f t="shared" si="5"/>
        <v>palocabildo|narino</v>
      </c>
    </row>
    <row r="124" spans="1:6" ht="25.5" customHeight="1" x14ac:dyDescent="0.25">
      <c r="A124" s="86" t="s">
        <v>31</v>
      </c>
      <c r="B124" s="86" t="s">
        <v>1519</v>
      </c>
      <c r="C124" s="86" t="s">
        <v>1520</v>
      </c>
      <c r="D124" t="str">
        <f t="shared" si="3"/>
        <v>paramo</v>
      </c>
      <c r="E124" t="str">
        <f t="shared" si="4"/>
        <v>choco</v>
      </c>
      <c r="F124" t="str">
        <f t="shared" si="5"/>
        <v>paramo|choco</v>
      </c>
    </row>
    <row r="125" spans="1:6" ht="15" customHeight="1" x14ac:dyDescent="0.25">
      <c r="A125" s="85" t="s">
        <v>49</v>
      </c>
      <c r="B125" s="85" t="s">
        <v>580</v>
      </c>
      <c r="C125" s="85" t="s">
        <v>581</v>
      </c>
      <c r="D125" t="str">
        <f t="shared" si="3"/>
        <v>pasto</v>
      </c>
      <c r="E125" t="str">
        <f t="shared" si="4"/>
        <v>valle del cauca</v>
      </c>
      <c r="F125" t="str">
        <f t="shared" si="5"/>
        <v>pasto|valle del cauca</v>
      </c>
    </row>
    <row r="126" spans="1:6" ht="38.25" customHeight="1" x14ac:dyDescent="0.25">
      <c r="A126" s="86" t="s">
        <v>14</v>
      </c>
      <c r="B126" s="86" t="s">
        <v>1521</v>
      </c>
      <c r="C126" s="86" t="s">
        <v>1522</v>
      </c>
      <c r="D126" t="str">
        <f t="shared" si="3"/>
        <v>piedecuesta</v>
      </c>
      <c r="E126" t="str">
        <f t="shared" si="4"/>
        <v>atlantico</v>
      </c>
      <c r="F126" t="str">
        <f t="shared" si="5"/>
        <v>piedecuesta|atlantico</v>
      </c>
    </row>
    <row r="127" spans="1:6" ht="15" customHeight="1" x14ac:dyDescent="0.25">
      <c r="A127" s="85" t="s">
        <v>37</v>
      </c>
      <c r="B127" s="85" t="s">
        <v>732</v>
      </c>
      <c r="C127" s="85" t="s">
        <v>733</v>
      </c>
      <c r="D127" t="str">
        <f t="shared" si="3"/>
        <v>pitalito</v>
      </c>
      <c r="E127" t="str">
        <f t="shared" si="4"/>
        <v>huila</v>
      </c>
      <c r="F127" t="str">
        <f t="shared" si="5"/>
        <v>pitalito|huila</v>
      </c>
    </row>
    <row r="128" spans="1:6" ht="25.5" customHeight="1" x14ac:dyDescent="0.25">
      <c r="A128" s="86" t="s">
        <v>41</v>
      </c>
      <c r="B128" s="86" t="s">
        <v>289</v>
      </c>
      <c r="C128" s="86" t="s">
        <v>290</v>
      </c>
      <c r="D128" t="str">
        <f t="shared" si="3"/>
        <v>planadas</v>
      </c>
      <c r="E128" t="str">
        <f t="shared" si="4"/>
        <v>narino</v>
      </c>
      <c r="F128" t="str">
        <f t="shared" si="5"/>
        <v>planadas|narino</v>
      </c>
    </row>
    <row r="129" spans="1:6" ht="25.5" customHeight="1" x14ac:dyDescent="0.25">
      <c r="A129" s="85" t="s">
        <v>42</v>
      </c>
      <c r="B129" s="85" t="s">
        <v>1523</v>
      </c>
      <c r="C129" s="85" t="s">
        <v>1524</v>
      </c>
      <c r="D129" t="str">
        <f t="shared" si="3"/>
        <v>policarpa</v>
      </c>
      <c r="E129" t="str">
        <f t="shared" si="4"/>
        <v>norte de santander</v>
      </c>
      <c r="F129" t="str">
        <f t="shared" si="5"/>
        <v>policarpa|norte de santander</v>
      </c>
    </row>
    <row r="130" spans="1:6" ht="25.5" customHeight="1" x14ac:dyDescent="0.25">
      <c r="A130" s="85" t="s">
        <v>41</v>
      </c>
      <c r="B130" s="85" t="s">
        <v>1525</v>
      </c>
      <c r="C130" s="85" t="s">
        <v>1526</v>
      </c>
      <c r="D130" t="str">
        <f t="shared" ref="D130:D193" si="6">TRIM(SUBSTITUTE(SUBSTITUTE(SUBSTITUTE(SUBSTITUTE(SUBSTITUTE(SUBSTITUTE(SUBSTITUTE(SUBSTITUTE(SUBSTITUTE(LOWER(B130),"á","a"),"é","e"),"í","i"),"ó","o"),"ú","u"),"ñ","n"),"-"," "),","," "),"."," "))</f>
        <v>polonuevo</v>
      </c>
      <c r="E130" t="str">
        <f t="shared" ref="E130:E193" si="7">TRIM(SUBSTITUTE(SUBSTITUTE(SUBSTITUTE(SUBSTITUTE(SUBSTITUTE(SUBSTITUTE(SUBSTITUTE(SUBSTITUTE(SUBSTITUTE(LOWER(A130),"á","a"),"é","e"),"í","i"),"ó","o"),"ú","u"),"ñ","n"),"-"," "),","," "),"."," "))</f>
        <v>narino</v>
      </c>
      <c r="F130" t="str">
        <f t="shared" ref="F130:F193" si="8">D130&amp;"|"&amp;E130</f>
        <v>polonuevo|narino</v>
      </c>
    </row>
    <row r="131" spans="1:6" ht="25.5" customHeight="1" x14ac:dyDescent="0.25">
      <c r="A131" s="85" t="s">
        <v>40</v>
      </c>
      <c r="B131" s="85" t="s">
        <v>451</v>
      </c>
      <c r="C131" s="85" t="s">
        <v>452</v>
      </c>
      <c r="D131" t="str">
        <f t="shared" si="6"/>
        <v>pradera</v>
      </c>
      <c r="E131" t="str">
        <f t="shared" si="7"/>
        <v>meta</v>
      </c>
      <c r="F131" t="str">
        <f t="shared" si="8"/>
        <v>pradera|meta</v>
      </c>
    </row>
    <row r="132" spans="1:6" ht="15" customHeight="1" x14ac:dyDescent="0.25">
      <c r="A132" s="86" t="s">
        <v>40</v>
      </c>
      <c r="B132" s="86" t="s">
        <v>746</v>
      </c>
      <c r="C132" s="86" t="s">
        <v>747</v>
      </c>
      <c r="D132" t="str">
        <f t="shared" si="6"/>
        <v>prado</v>
      </c>
      <c r="E132" t="str">
        <f t="shared" si="7"/>
        <v>meta</v>
      </c>
      <c r="F132" t="str">
        <f t="shared" si="8"/>
        <v>prado|meta</v>
      </c>
    </row>
    <row r="133" spans="1:6" ht="25.5" customHeight="1" x14ac:dyDescent="0.25">
      <c r="A133" s="85" t="s">
        <v>40</v>
      </c>
      <c r="B133" s="85" t="s">
        <v>1527</v>
      </c>
      <c r="C133" s="85" t="s">
        <v>1528</v>
      </c>
      <c r="D133" t="str">
        <f t="shared" si="6"/>
        <v>providencia</v>
      </c>
      <c r="E133" t="str">
        <f t="shared" si="7"/>
        <v>meta</v>
      </c>
      <c r="F133" t="str">
        <f t="shared" si="8"/>
        <v>providencia|meta</v>
      </c>
    </row>
    <row r="134" spans="1:6" ht="15" customHeight="1" x14ac:dyDescent="0.25">
      <c r="A134" s="85" t="s">
        <v>35</v>
      </c>
      <c r="B134" s="85" t="s">
        <v>1529</v>
      </c>
      <c r="C134" s="85" t="s">
        <v>1530</v>
      </c>
      <c r="D134" t="str">
        <f t="shared" si="6"/>
        <v>puerto boyaca</v>
      </c>
      <c r="E134" t="str">
        <f t="shared" si="7"/>
        <v>cundinamarca</v>
      </c>
      <c r="F134" t="str">
        <f t="shared" si="8"/>
        <v>puerto boyaca|cundinamarca</v>
      </c>
    </row>
    <row r="135" spans="1:6" ht="15" customHeight="1" x14ac:dyDescent="0.25">
      <c r="A135" s="86" t="s">
        <v>37</v>
      </c>
      <c r="B135" s="86" t="s">
        <v>1280</v>
      </c>
      <c r="C135" s="86" t="s">
        <v>1531</v>
      </c>
      <c r="D135" t="str">
        <f t="shared" si="6"/>
        <v>puerto carreno</v>
      </c>
      <c r="E135" t="str">
        <f t="shared" si="7"/>
        <v>huila</v>
      </c>
      <c r="F135" t="str">
        <f t="shared" si="8"/>
        <v>puerto carreno|huila</v>
      </c>
    </row>
    <row r="136" spans="1:6" ht="25.5" customHeight="1" x14ac:dyDescent="0.25">
      <c r="A136" s="85" t="s">
        <v>37</v>
      </c>
      <c r="B136" s="85" t="s">
        <v>1532</v>
      </c>
      <c r="C136" s="85" t="s">
        <v>1533</v>
      </c>
      <c r="D136" t="str">
        <f t="shared" si="6"/>
        <v>puerto concordia</v>
      </c>
      <c r="E136" t="str">
        <f t="shared" si="7"/>
        <v>huila</v>
      </c>
      <c r="F136" t="str">
        <f t="shared" si="8"/>
        <v>puerto concordia|huila</v>
      </c>
    </row>
    <row r="137" spans="1:6" ht="25.5" customHeight="1" x14ac:dyDescent="0.25">
      <c r="A137" s="86" t="s">
        <v>37</v>
      </c>
      <c r="B137" s="86" t="s">
        <v>1534</v>
      </c>
      <c r="C137" s="86" t="s">
        <v>1535</v>
      </c>
      <c r="D137" t="str">
        <f t="shared" si="6"/>
        <v>puerto gaitan</v>
      </c>
      <c r="E137" t="str">
        <f t="shared" si="7"/>
        <v>huila</v>
      </c>
      <c r="F137" t="str">
        <f t="shared" si="8"/>
        <v>puerto gaitan|huila</v>
      </c>
    </row>
    <row r="138" spans="1:6" ht="15" customHeight="1" x14ac:dyDescent="0.25">
      <c r="A138" s="85" t="s">
        <v>1360</v>
      </c>
      <c r="B138" s="85" t="s">
        <v>1536</v>
      </c>
      <c r="C138" s="85" t="s">
        <v>293</v>
      </c>
      <c r="D138" t="str">
        <f t="shared" si="6"/>
        <v>puerto lleras</v>
      </c>
      <c r="E138" t="str">
        <f t="shared" si="7"/>
        <v>quindio</v>
      </c>
      <c r="F138" t="str">
        <f t="shared" si="8"/>
        <v>puerto lleras|quindio</v>
      </c>
    </row>
    <row r="139" spans="1:6" ht="15" customHeight="1" x14ac:dyDescent="0.25">
      <c r="A139" s="86" t="s">
        <v>41</v>
      </c>
      <c r="B139" s="86" t="s">
        <v>1537</v>
      </c>
      <c r="C139" s="86" t="s">
        <v>1538</v>
      </c>
      <c r="D139" t="str">
        <f t="shared" si="6"/>
        <v>puerto lopez</v>
      </c>
      <c r="E139" t="str">
        <f t="shared" si="7"/>
        <v>narino</v>
      </c>
      <c r="F139" t="str">
        <f t="shared" si="8"/>
        <v>puerto lopez|narino</v>
      </c>
    </row>
    <row r="140" spans="1:6" ht="15" customHeight="1" x14ac:dyDescent="0.25">
      <c r="A140" s="86" t="s">
        <v>49</v>
      </c>
      <c r="B140" s="86" t="s">
        <v>292</v>
      </c>
      <c r="C140" s="86" t="s">
        <v>293</v>
      </c>
      <c r="D140" t="str">
        <f t="shared" si="6"/>
        <v>purificacion</v>
      </c>
      <c r="E140" t="str">
        <f t="shared" si="7"/>
        <v>valle del cauca</v>
      </c>
      <c r="F140" t="str">
        <f t="shared" si="8"/>
        <v>purificacion|valle del cauca</v>
      </c>
    </row>
    <row r="141" spans="1:6" ht="15" customHeight="1" x14ac:dyDescent="0.25">
      <c r="A141" s="85" t="s">
        <v>48</v>
      </c>
      <c r="B141" s="85" t="s">
        <v>587</v>
      </c>
      <c r="C141" s="85" t="s">
        <v>588</v>
      </c>
      <c r="D141" t="str">
        <f t="shared" si="6"/>
        <v>quibdo</v>
      </c>
      <c r="E141" t="str">
        <f t="shared" si="7"/>
        <v>tolima</v>
      </c>
      <c r="F141" t="str">
        <f t="shared" si="8"/>
        <v>quibdo|tolima</v>
      </c>
    </row>
    <row r="142" spans="1:6" ht="25.5" customHeight="1" x14ac:dyDescent="0.25">
      <c r="A142" s="86" t="s">
        <v>48</v>
      </c>
      <c r="B142" s="86" t="s">
        <v>474</v>
      </c>
      <c r="C142" s="86" t="s">
        <v>475</v>
      </c>
      <c r="D142" t="str">
        <f t="shared" si="6"/>
        <v>restrepo</v>
      </c>
      <c r="E142" t="str">
        <f t="shared" si="7"/>
        <v>tolima</v>
      </c>
      <c r="F142" t="str">
        <f t="shared" si="8"/>
        <v>restrepo|tolima</v>
      </c>
    </row>
    <row r="143" spans="1:6" ht="25.5" customHeight="1" x14ac:dyDescent="0.25">
      <c r="A143" s="85" t="s">
        <v>41</v>
      </c>
      <c r="B143" s="85" t="s">
        <v>170</v>
      </c>
      <c r="C143" s="85" t="s">
        <v>171</v>
      </c>
      <c r="D143" t="str">
        <f t="shared" si="6"/>
        <v>ricaurte</v>
      </c>
      <c r="E143" t="str">
        <f t="shared" si="7"/>
        <v>narino</v>
      </c>
      <c r="F143" t="str">
        <f t="shared" si="8"/>
        <v>ricaurte|narino</v>
      </c>
    </row>
    <row r="144" spans="1:6" ht="25.5" customHeight="1" x14ac:dyDescent="0.25">
      <c r="A144" s="85" t="s">
        <v>14</v>
      </c>
      <c r="B144" s="85" t="s">
        <v>499</v>
      </c>
      <c r="C144" s="85" t="s">
        <v>500</v>
      </c>
      <c r="D144" t="str">
        <f t="shared" si="6"/>
        <v>rioblanco</v>
      </c>
      <c r="E144" t="str">
        <f t="shared" si="7"/>
        <v>atlantico</v>
      </c>
      <c r="F144" t="str">
        <f t="shared" si="8"/>
        <v>rioblanco|atlantico</v>
      </c>
    </row>
    <row r="145" spans="1:6" ht="25.5" customHeight="1" x14ac:dyDescent="0.25">
      <c r="A145" s="85" t="s">
        <v>1376</v>
      </c>
      <c r="B145" s="85" t="s">
        <v>455</v>
      </c>
      <c r="C145" s="85" t="s">
        <v>456</v>
      </c>
      <c r="D145" t="str">
        <f t="shared" si="6"/>
        <v>riofrio</v>
      </c>
      <c r="E145" t="str">
        <f t="shared" si="7"/>
        <v>guajira</v>
      </c>
      <c r="F145" t="str">
        <f t="shared" si="8"/>
        <v>riofrio|guajira</v>
      </c>
    </row>
    <row r="146" spans="1:6" ht="25.5" customHeight="1" x14ac:dyDescent="0.25">
      <c r="A146" s="86" t="s">
        <v>1376</v>
      </c>
      <c r="B146" s="86" t="s">
        <v>1127</v>
      </c>
      <c r="C146" s="86" t="s">
        <v>1128</v>
      </c>
      <c r="D146" t="str">
        <f t="shared" si="6"/>
        <v>riohacha</v>
      </c>
      <c r="E146" t="str">
        <f t="shared" si="7"/>
        <v>guajira</v>
      </c>
      <c r="F146" t="str">
        <f t="shared" si="8"/>
        <v>riohacha|guajira</v>
      </c>
    </row>
    <row r="147" spans="1:6" ht="15" customHeight="1" x14ac:dyDescent="0.25">
      <c r="A147" s="85" t="s">
        <v>1376</v>
      </c>
      <c r="B147" s="85" t="s">
        <v>295</v>
      </c>
      <c r="C147" s="85" t="s">
        <v>296</v>
      </c>
      <c r="D147" t="str">
        <f t="shared" si="6"/>
        <v>rivera</v>
      </c>
      <c r="E147" t="str">
        <f t="shared" si="7"/>
        <v>guajira</v>
      </c>
      <c r="F147" t="str">
        <f t="shared" si="8"/>
        <v>rivera|guajira</v>
      </c>
    </row>
    <row r="148" spans="1:6" ht="25.5" customHeight="1" x14ac:dyDescent="0.25">
      <c r="A148" s="86" t="s">
        <v>41</v>
      </c>
      <c r="B148" s="86" t="s">
        <v>1539</v>
      </c>
      <c r="C148" s="86" t="s">
        <v>1540</v>
      </c>
      <c r="D148" t="str">
        <f t="shared" si="6"/>
        <v>roberto payan</v>
      </c>
      <c r="E148" t="str">
        <f t="shared" si="7"/>
        <v>narino</v>
      </c>
      <c r="F148" t="str">
        <f t="shared" si="8"/>
        <v>roberto payan|narino</v>
      </c>
    </row>
    <row r="149" spans="1:6" ht="25.5" customHeight="1" x14ac:dyDescent="0.25">
      <c r="A149" s="85" t="s">
        <v>1376</v>
      </c>
      <c r="B149" s="85" t="s">
        <v>502</v>
      </c>
      <c r="C149" s="85" t="s">
        <v>503</v>
      </c>
      <c r="D149" t="str">
        <f t="shared" si="6"/>
        <v>rovira</v>
      </c>
      <c r="E149" t="str">
        <f t="shared" si="7"/>
        <v>guajira</v>
      </c>
      <c r="F149" t="str">
        <f t="shared" si="8"/>
        <v>rovira|guajira</v>
      </c>
    </row>
    <row r="150" spans="1:6" ht="38.25" customHeight="1" x14ac:dyDescent="0.25">
      <c r="A150" s="86" t="s">
        <v>1376</v>
      </c>
      <c r="B150" s="86" t="s">
        <v>1541</v>
      </c>
      <c r="C150" s="86" t="s">
        <v>1542</v>
      </c>
      <c r="D150" t="str">
        <f t="shared" si="6"/>
        <v>sabana de torres</v>
      </c>
      <c r="E150" t="str">
        <f t="shared" si="7"/>
        <v>guajira</v>
      </c>
      <c r="F150" t="str">
        <f t="shared" si="8"/>
        <v>sabana de torres|guajira</v>
      </c>
    </row>
    <row r="151" spans="1:6" ht="15" customHeight="1" x14ac:dyDescent="0.25">
      <c r="A151" s="85" t="s">
        <v>1376</v>
      </c>
      <c r="B151" s="85" t="s">
        <v>1543</v>
      </c>
      <c r="C151" s="85" t="s">
        <v>1544</v>
      </c>
      <c r="D151" t="str">
        <f t="shared" si="6"/>
        <v>saboya</v>
      </c>
      <c r="E151" t="str">
        <f t="shared" si="7"/>
        <v>guajira</v>
      </c>
      <c r="F151" t="str">
        <f t="shared" si="8"/>
        <v>saboya|guajira</v>
      </c>
    </row>
    <row r="152" spans="1:6" ht="15" customHeight="1" x14ac:dyDescent="0.25">
      <c r="A152" s="86" t="s">
        <v>1376</v>
      </c>
      <c r="B152" s="86" t="s">
        <v>1545</v>
      </c>
      <c r="C152" s="86" t="s">
        <v>1546</v>
      </c>
      <c r="D152" t="str">
        <f t="shared" si="6"/>
        <v>saladoblanco</v>
      </c>
      <c r="E152" t="str">
        <f t="shared" si="7"/>
        <v>guajira</v>
      </c>
      <c r="F152" t="str">
        <f t="shared" si="8"/>
        <v>saladoblanco|guajira</v>
      </c>
    </row>
    <row r="153" spans="1:6" ht="25.5" customHeight="1" x14ac:dyDescent="0.25">
      <c r="A153" s="86" t="s">
        <v>40</v>
      </c>
      <c r="B153" s="86" t="s">
        <v>1547</v>
      </c>
      <c r="C153" s="86" t="s">
        <v>1548</v>
      </c>
      <c r="D153" t="str">
        <f t="shared" si="6"/>
        <v>samaca</v>
      </c>
      <c r="E153" t="str">
        <f t="shared" si="7"/>
        <v>meta</v>
      </c>
      <c r="F153" t="str">
        <f t="shared" si="8"/>
        <v>samaca|meta</v>
      </c>
    </row>
    <row r="154" spans="1:6" ht="15" customHeight="1" x14ac:dyDescent="0.25">
      <c r="A154" s="85" t="s">
        <v>31</v>
      </c>
      <c r="B154" s="85" t="s">
        <v>1549</v>
      </c>
      <c r="C154" s="85" t="s">
        <v>1550</v>
      </c>
      <c r="D154" t="str">
        <f t="shared" si="6"/>
        <v>san andres</v>
      </c>
      <c r="E154" t="str">
        <f t="shared" si="7"/>
        <v>choco</v>
      </c>
      <c r="F154" t="str">
        <f t="shared" si="8"/>
        <v>san andres|choco</v>
      </c>
    </row>
    <row r="155" spans="1:6" ht="25.5" customHeight="1" x14ac:dyDescent="0.25">
      <c r="A155" s="86" t="s">
        <v>31</v>
      </c>
      <c r="B155" s="86" t="s">
        <v>1203</v>
      </c>
      <c r="C155" s="86" t="s">
        <v>1204</v>
      </c>
      <c r="D155" t="str">
        <f t="shared" si="6"/>
        <v>san antonio del tequendama</v>
      </c>
      <c r="E155" t="str">
        <f t="shared" si="7"/>
        <v>choco</v>
      </c>
      <c r="F155" t="str">
        <f t="shared" si="8"/>
        <v>san antonio del tequendama|choco</v>
      </c>
    </row>
    <row r="156" spans="1:6" ht="25.5" customHeight="1" x14ac:dyDescent="0.25">
      <c r="A156" s="85" t="s">
        <v>48</v>
      </c>
      <c r="B156" s="85" t="s">
        <v>1551</v>
      </c>
      <c r="C156" s="85" t="s">
        <v>1552</v>
      </c>
      <c r="D156" t="str">
        <f t="shared" si="6"/>
        <v>san bernardo</v>
      </c>
      <c r="E156" t="str">
        <f t="shared" si="7"/>
        <v>tolima</v>
      </c>
      <c r="F156" t="str">
        <f t="shared" si="8"/>
        <v>san bernardo|tolima</v>
      </c>
    </row>
    <row r="157" spans="1:6" ht="15" customHeight="1" x14ac:dyDescent="0.25">
      <c r="A157" s="86" t="s">
        <v>22</v>
      </c>
      <c r="B157" s="86" t="s">
        <v>1276</v>
      </c>
      <c r="C157" s="86" t="s">
        <v>1553</v>
      </c>
      <c r="D157" t="str">
        <f t="shared" si="6"/>
        <v>san gil</v>
      </c>
      <c r="E157" t="str">
        <f t="shared" si="7"/>
        <v>boyaca</v>
      </c>
      <c r="F157" t="str">
        <f t="shared" si="8"/>
        <v>san gil|boyaca</v>
      </c>
    </row>
    <row r="158" spans="1:6" ht="25.5" customHeight="1" x14ac:dyDescent="0.25">
      <c r="A158" s="85" t="s">
        <v>1403</v>
      </c>
      <c r="B158" s="85" t="s">
        <v>1554</v>
      </c>
      <c r="C158" s="85" t="s">
        <v>1555</v>
      </c>
      <c r="D158" t="str">
        <f t="shared" si="6"/>
        <v>san jose del guaviare</v>
      </c>
      <c r="E158" t="str">
        <f t="shared" si="7"/>
        <v>guaviare</v>
      </c>
      <c r="F158" t="str">
        <f t="shared" si="8"/>
        <v>san jose del guaviare|guaviare</v>
      </c>
    </row>
    <row r="159" spans="1:6" ht="25.5" customHeight="1" x14ac:dyDescent="0.25">
      <c r="A159" s="85" t="s">
        <v>46</v>
      </c>
      <c r="B159" s="85" t="s">
        <v>738</v>
      </c>
      <c r="C159" s="85" t="s">
        <v>739</v>
      </c>
      <c r="D159" t="str">
        <f t="shared" si="6"/>
        <v>san juan de rioseco</v>
      </c>
      <c r="E159" t="str">
        <f t="shared" si="7"/>
        <v>santander</v>
      </c>
      <c r="F159" t="str">
        <f t="shared" si="8"/>
        <v>san juan de rioseco|santander</v>
      </c>
    </row>
    <row r="160" spans="1:6" ht="15" customHeight="1" x14ac:dyDescent="0.25">
      <c r="A160" s="86" t="s">
        <v>46</v>
      </c>
      <c r="B160" s="86" t="s">
        <v>1556</v>
      </c>
      <c r="C160" s="86" t="s">
        <v>1557</v>
      </c>
      <c r="D160" t="str">
        <f t="shared" si="6"/>
        <v>san lorenzo</v>
      </c>
      <c r="E160" t="str">
        <f t="shared" si="7"/>
        <v>santander</v>
      </c>
      <c r="F160" t="str">
        <f t="shared" si="8"/>
        <v>san lorenzo|santander</v>
      </c>
    </row>
    <row r="161" spans="1:6" ht="25.5" customHeight="1" x14ac:dyDescent="0.25">
      <c r="A161" s="85" t="s">
        <v>22</v>
      </c>
      <c r="B161" s="85" t="s">
        <v>140</v>
      </c>
      <c r="C161" s="85" t="s">
        <v>1558</v>
      </c>
      <c r="D161" t="str">
        <f t="shared" si="6"/>
        <v>san luis</v>
      </c>
      <c r="E161" t="str">
        <f t="shared" si="7"/>
        <v>boyaca</v>
      </c>
      <c r="F161" t="str">
        <f t="shared" si="8"/>
        <v>san luis|boyaca</v>
      </c>
    </row>
    <row r="162" spans="1:6" ht="25.5" customHeight="1" x14ac:dyDescent="0.25">
      <c r="A162" s="86" t="s">
        <v>1360</v>
      </c>
      <c r="B162" s="86" t="s">
        <v>1559</v>
      </c>
      <c r="C162" s="86" t="s">
        <v>1560</v>
      </c>
      <c r="D162" t="str">
        <f t="shared" si="6"/>
        <v>santa helena del opon</v>
      </c>
      <c r="E162" t="str">
        <f t="shared" si="7"/>
        <v>quindio</v>
      </c>
      <c r="F162" t="str">
        <f t="shared" si="8"/>
        <v>santa helena del opon|quindio</v>
      </c>
    </row>
    <row r="163" spans="1:6" ht="25.5" customHeight="1" x14ac:dyDescent="0.25">
      <c r="A163" s="86" t="s">
        <v>42</v>
      </c>
      <c r="B163" s="86" t="s">
        <v>505</v>
      </c>
      <c r="C163" s="86" t="s">
        <v>506</v>
      </c>
      <c r="D163" t="str">
        <f t="shared" si="6"/>
        <v>santa isabel</v>
      </c>
      <c r="E163" t="str">
        <f t="shared" si="7"/>
        <v>norte de santander</v>
      </c>
      <c r="F163" t="str">
        <f t="shared" si="8"/>
        <v>santa isabel|norte de santander</v>
      </c>
    </row>
    <row r="164" spans="1:6" ht="15" customHeight="1" x14ac:dyDescent="0.25">
      <c r="A164" s="85" t="s">
        <v>37</v>
      </c>
      <c r="B164" s="85" t="s">
        <v>298</v>
      </c>
      <c r="C164" s="85" t="s">
        <v>299</v>
      </c>
      <c r="D164" t="str">
        <f t="shared" si="6"/>
        <v>santa maria</v>
      </c>
      <c r="E164" t="str">
        <f t="shared" si="7"/>
        <v>huila</v>
      </c>
      <c r="F164" t="str">
        <f t="shared" si="8"/>
        <v>santa maria|huila</v>
      </c>
    </row>
    <row r="165" spans="1:6" ht="15" customHeight="1" x14ac:dyDescent="0.25">
      <c r="A165" s="86" t="s">
        <v>48</v>
      </c>
      <c r="B165" s="86" t="s">
        <v>1561</v>
      </c>
      <c r="C165" s="86" t="s">
        <v>1562</v>
      </c>
      <c r="D165" t="str">
        <f t="shared" si="6"/>
        <v>santacruz</v>
      </c>
      <c r="E165" t="str">
        <f t="shared" si="7"/>
        <v>tolima</v>
      </c>
      <c r="F165" t="str">
        <f t="shared" si="8"/>
        <v>santacruz|tolima</v>
      </c>
    </row>
    <row r="166" spans="1:6" ht="25.5" customHeight="1" x14ac:dyDescent="0.25">
      <c r="A166" s="86" t="s">
        <v>37</v>
      </c>
      <c r="B166" s="86" t="s">
        <v>1563</v>
      </c>
      <c r="C166" s="86" t="s">
        <v>1564</v>
      </c>
      <c r="D166" t="str">
        <f t="shared" si="6"/>
        <v>santo tomas</v>
      </c>
      <c r="E166" t="str">
        <f t="shared" si="7"/>
        <v>huila</v>
      </c>
      <c r="F166" t="str">
        <f t="shared" si="8"/>
        <v>santo tomas|huila</v>
      </c>
    </row>
    <row r="167" spans="1:6" ht="15" customHeight="1" x14ac:dyDescent="0.25">
      <c r="A167" s="85" t="s">
        <v>37</v>
      </c>
      <c r="B167" s="85" t="s">
        <v>1565</v>
      </c>
      <c r="C167" s="85" t="s">
        <v>1566</v>
      </c>
      <c r="D167" t="str">
        <f t="shared" si="6"/>
        <v>sardinata</v>
      </c>
      <c r="E167" t="str">
        <f t="shared" si="7"/>
        <v>huila</v>
      </c>
      <c r="F167" t="str">
        <f t="shared" si="8"/>
        <v>sardinata|huila</v>
      </c>
    </row>
    <row r="168" spans="1:6" ht="25.5" customHeight="1" x14ac:dyDescent="0.25">
      <c r="A168" s="86" t="s">
        <v>37</v>
      </c>
      <c r="B168" s="86" t="s">
        <v>992</v>
      </c>
      <c r="C168" s="86" t="s">
        <v>993</v>
      </c>
      <c r="D168" t="str">
        <f t="shared" si="6"/>
        <v>sevilla</v>
      </c>
      <c r="E168" t="str">
        <f t="shared" si="7"/>
        <v>huila</v>
      </c>
      <c r="F168" t="str">
        <f t="shared" si="8"/>
        <v>sevilla|huila</v>
      </c>
    </row>
    <row r="169" spans="1:6" ht="25.5" customHeight="1" x14ac:dyDescent="0.25">
      <c r="A169" s="86" t="s">
        <v>35</v>
      </c>
      <c r="B169" s="86" t="s">
        <v>1115</v>
      </c>
      <c r="C169" s="86" t="s">
        <v>1116</v>
      </c>
      <c r="D169" t="str">
        <f t="shared" si="6"/>
        <v>soacha</v>
      </c>
      <c r="E169" t="str">
        <f t="shared" si="7"/>
        <v>cundinamarca</v>
      </c>
      <c r="F169" t="str">
        <f t="shared" si="8"/>
        <v>soacha|cundinamarca</v>
      </c>
    </row>
    <row r="170" spans="1:6" ht="15" customHeight="1" x14ac:dyDescent="0.25">
      <c r="A170" s="85" t="s">
        <v>31</v>
      </c>
      <c r="B170" s="85" t="s">
        <v>1567</v>
      </c>
      <c r="C170" s="85" t="s">
        <v>1568</v>
      </c>
      <c r="D170" t="str">
        <f t="shared" si="6"/>
        <v>soata</v>
      </c>
      <c r="E170" t="str">
        <f t="shared" si="7"/>
        <v>choco</v>
      </c>
      <c r="F170" t="str">
        <f t="shared" si="8"/>
        <v>soata|choco</v>
      </c>
    </row>
    <row r="171" spans="1:6" ht="25.5" customHeight="1" x14ac:dyDescent="0.25">
      <c r="A171" s="85" t="s">
        <v>41</v>
      </c>
      <c r="B171" s="85" t="s">
        <v>1569</v>
      </c>
      <c r="C171" s="85" t="s">
        <v>1570</v>
      </c>
      <c r="D171" t="str">
        <f t="shared" si="6"/>
        <v>socorro</v>
      </c>
      <c r="E171" t="str">
        <f t="shared" si="7"/>
        <v>narino</v>
      </c>
      <c r="F171" t="str">
        <f t="shared" si="8"/>
        <v>socorro|narino</v>
      </c>
    </row>
    <row r="172" spans="1:6" ht="25.5" customHeight="1" x14ac:dyDescent="0.25">
      <c r="A172" s="85" t="s">
        <v>48</v>
      </c>
      <c r="B172" s="85" t="s">
        <v>1571</v>
      </c>
      <c r="C172" s="85" t="s">
        <v>1572</v>
      </c>
      <c r="D172" t="str">
        <f t="shared" si="6"/>
        <v>soledad</v>
      </c>
      <c r="E172" t="str">
        <f t="shared" si="7"/>
        <v>tolima</v>
      </c>
      <c r="F172" t="str">
        <f t="shared" si="8"/>
        <v>soledad|tolima</v>
      </c>
    </row>
    <row r="173" spans="1:6" ht="15" customHeight="1" x14ac:dyDescent="0.25">
      <c r="A173" s="86" t="s">
        <v>22</v>
      </c>
      <c r="B173" s="86" t="s">
        <v>1573</v>
      </c>
      <c r="C173" s="86" t="s">
        <v>1574</v>
      </c>
      <c r="D173" t="str">
        <f t="shared" si="6"/>
        <v>soraca</v>
      </c>
      <c r="E173" t="str">
        <f t="shared" si="7"/>
        <v>boyaca</v>
      </c>
      <c r="F173" t="str">
        <f t="shared" si="8"/>
        <v>soraca|boyaca</v>
      </c>
    </row>
    <row r="174" spans="1:6" ht="15" customHeight="1" x14ac:dyDescent="0.25">
      <c r="A174" s="85" t="s">
        <v>22</v>
      </c>
      <c r="B174" s="85" t="s">
        <v>1575</v>
      </c>
      <c r="C174" s="85" t="s">
        <v>1576</v>
      </c>
      <c r="D174" t="str">
        <f t="shared" si="6"/>
        <v>suaita</v>
      </c>
      <c r="E174" t="str">
        <f t="shared" si="7"/>
        <v>boyaca</v>
      </c>
      <c r="F174" t="str">
        <f t="shared" si="8"/>
        <v>suaita|boyaca</v>
      </c>
    </row>
    <row r="175" spans="1:6" ht="25.5" customHeight="1" x14ac:dyDescent="0.25">
      <c r="A175" s="85" t="s">
        <v>35</v>
      </c>
      <c r="B175" s="85" t="s">
        <v>1577</v>
      </c>
      <c r="C175" s="85" t="s">
        <v>1578</v>
      </c>
      <c r="D175" t="str">
        <f t="shared" si="6"/>
        <v>suaza</v>
      </c>
      <c r="E175" t="str">
        <f t="shared" si="7"/>
        <v>cundinamarca</v>
      </c>
      <c r="F175" t="str">
        <f t="shared" si="8"/>
        <v>suaza|cundinamarca</v>
      </c>
    </row>
    <row r="176" spans="1:6" ht="15" customHeight="1" x14ac:dyDescent="0.25">
      <c r="A176" s="86" t="s">
        <v>48</v>
      </c>
      <c r="B176" s="86" t="s">
        <v>1579</v>
      </c>
      <c r="C176" s="86" t="s">
        <v>1580</v>
      </c>
      <c r="D176" t="str">
        <f t="shared" si="6"/>
        <v>sutamarchan</v>
      </c>
      <c r="E176" t="str">
        <f t="shared" si="7"/>
        <v>tolima</v>
      </c>
      <c r="F176" t="str">
        <f t="shared" si="8"/>
        <v>sutamarchan|tolima</v>
      </c>
    </row>
    <row r="177" spans="1:6" ht="15" customHeight="1" x14ac:dyDescent="0.25">
      <c r="A177" s="85" t="s">
        <v>46</v>
      </c>
      <c r="B177" s="85" t="s">
        <v>1581</v>
      </c>
      <c r="C177" s="85" t="s">
        <v>739</v>
      </c>
      <c r="D177" t="str">
        <f t="shared" si="6"/>
        <v>tame</v>
      </c>
      <c r="E177" t="str">
        <f t="shared" si="7"/>
        <v>santander</v>
      </c>
      <c r="F177" t="str">
        <f t="shared" si="8"/>
        <v>tame|santander</v>
      </c>
    </row>
    <row r="178" spans="1:6" ht="15" customHeight="1" x14ac:dyDescent="0.25">
      <c r="A178" s="85" t="s">
        <v>41</v>
      </c>
      <c r="B178" s="85" t="s">
        <v>1582</v>
      </c>
      <c r="C178" s="85" t="s">
        <v>1583</v>
      </c>
      <c r="D178" t="str">
        <f t="shared" si="6"/>
        <v>taminango</v>
      </c>
      <c r="E178" t="str">
        <f t="shared" si="7"/>
        <v>narino</v>
      </c>
      <c r="F178" t="str">
        <f t="shared" si="8"/>
        <v>taminango|narino</v>
      </c>
    </row>
    <row r="179" spans="1:6" ht="25.5" customHeight="1" x14ac:dyDescent="0.25">
      <c r="A179" s="86" t="s">
        <v>41</v>
      </c>
      <c r="B179" s="86" t="s">
        <v>1584</v>
      </c>
      <c r="C179" s="86" t="s">
        <v>1585</v>
      </c>
      <c r="D179" t="str">
        <f t="shared" si="6"/>
        <v>tarqui</v>
      </c>
      <c r="E179" t="str">
        <f t="shared" si="7"/>
        <v>narino</v>
      </c>
      <c r="F179" t="str">
        <f t="shared" si="8"/>
        <v>tarqui|narino</v>
      </c>
    </row>
    <row r="180" spans="1:6" ht="15" customHeight="1" x14ac:dyDescent="0.25">
      <c r="A180" s="85" t="s">
        <v>41</v>
      </c>
      <c r="B180" s="85" t="s">
        <v>1586</v>
      </c>
      <c r="C180" s="85" t="s">
        <v>1587</v>
      </c>
      <c r="D180" t="str">
        <f t="shared" si="6"/>
        <v>tausa</v>
      </c>
      <c r="E180" t="str">
        <f t="shared" si="7"/>
        <v>narino</v>
      </c>
      <c r="F180" t="str">
        <f t="shared" si="8"/>
        <v>tausa|narino</v>
      </c>
    </row>
    <row r="181" spans="1:6" ht="15" customHeight="1" x14ac:dyDescent="0.25">
      <c r="A181" s="86" t="s">
        <v>41</v>
      </c>
      <c r="B181" s="86" t="s">
        <v>1588</v>
      </c>
      <c r="C181" s="86" t="s">
        <v>1589</v>
      </c>
      <c r="D181" t="str">
        <f t="shared" si="6"/>
        <v>teorama</v>
      </c>
      <c r="E181" t="str">
        <f t="shared" si="7"/>
        <v>narino</v>
      </c>
      <c r="F181" t="str">
        <f t="shared" si="8"/>
        <v>teorama|narino</v>
      </c>
    </row>
    <row r="182" spans="1:6" ht="15" customHeight="1" x14ac:dyDescent="0.25">
      <c r="A182" s="85" t="s">
        <v>41</v>
      </c>
      <c r="B182" s="85" t="s">
        <v>749</v>
      </c>
      <c r="C182" s="85" t="s">
        <v>750</v>
      </c>
      <c r="D182" t="str">
        <f t="shared" si="6"/>
        <v>teruel</v>
      </c>
      <c r="E182" t="str">
        <f t="shared" si="7"/>
        <v>narino</v>
      </c>
      <c r="F182" t="str">
        <f t="shared" si="8"/>
        <v>teruel|narino</v>
      </c>
    </row>
    <row r="183" spans="1:6" ht="15" customHeight="1" x14ac:dyDescent="0.25">
      <c r="A183" s="86" t="s">
        <v>41</v>
      </c>
      <c r="B183" s="86" t="s">
        <v>1590</v>
      </c>
      <c r="C183" s="86" t="s">
        <v>1591</v>
      </c>
      <c r="D183" t="str">
        <f t="shared" si="6"/>
        <v>tibu</v>
      </c>
      <c r="E183" t="str">
        <f t="shared" si="7"/>
        <v>narino</v>
      </c>
      <c r="F183" t="str">
        <f t="shared" si="8"/>
        <v>tibu|narino</v>
      </c>
    </row>
    <row r="184" spans="1:6" ht="15" customHeight="1" x14ac:dyDescent="0.25">
      <c r="A184" s="85" t="s">
        <v>41</v>
      </c>
      <c r="B184" s="85" t="s">
        <v>844</v>
      </c>
      <c r="C184" s="85" t="s">
        <v>845</v>
      </c>
      <c r="D184" t="str">
        <f t="shared" si="6"/>
        <v>toledo</v>
      </c>
      <c r="E184" t="str">
        <f t="shared" si="7"/>
        <v>narino</v>
      </c>
      <c r="F184" t="str">
        <f t="shared" si="8"/>
        <v>toledo|narino</v>
      </c>
    </row>
    <row r="185" spans="1:6" ht="15" customHeight="1" x14ac:dyDescent="0.25">
      <c r="A185" s="85" t="s">
        <v>46</v>
      </c>
      <c r="B185" s="85" t="s">
        <v>479</v>
      </c>
      <c r="C185" s="85" t="s">
        <v>480</v>
      </c>
      <c r="D185" t="str">
        <f t="shared" si="6"/>
        <v>trujillo</v>
      </c>
      <c r="E185" t="str">
        <f t="shared" si="7"/>
        <v>santander</v>
      </c>
      <c r="F185" t="str">
        <f t="shared" si="8"/>
        <v>trujillo|santander</v>
      </c>
    </row>
    <row r="186" spans="1:6" ht="15" customHeight="1" x14ac:dyDescent="0.25">
      <c r="A186" s="85" t="s">
        <v>37</v>
      </c>
      <c r="B186" s="85" t="s">
        <v>1013</v>
      </c>
      <c r="C186" s="85" t="s">
        <v>1014</v>
      </c>
      <c r="D186" t="str">
        <f t="shared" si="6"/>
        <v>tulua</v>
      </c>
      <c r="E186" t="str">
        <f t="shared" si="7"/>
        <v>huila</v>
      </c>
      <c r="F186" t="str">
        <f t="shared" si="8"/>
        <v>tulua|huila</v>
      </c>
    </row>
    <row r="187" spans="1:6" ht="25.5" customHeight="1" x14ac:dyDescent="0.25">
      <c r="A187" s="86" t="s">
        <v>37</v>
      </c>
      <c r="B187" s="86" t="s">
        <v>149</v>
      </c>
      <c r="C187" s="86" t="s">
        <v>150</v>
      </c>
      <c r="D187" t="str">
        <f t="shared" si="6"/>
        <v>tumaco</v>
      </c>
      <c r="E187" t="str">
        <f t="shared" si="7"/>
        <v>huila</v>
      </c>
      <c r="F187" t="str">
        <f t="shared" si="8"/>
        <v>tumaco|huila</v>
      </c>
    </row>
    <row r="188" spans="1:6" ht="25.5" customHeight="1" x14ac:dyDescent="0.25">
      <c r="A188" s="85" t="s">
        <v>37</v>
      </c>
      <c r="B188" s="85" t="s">
        <v>1592</v>
      </c>
      <c r="C188" s="85" t="s">
        <v>1593</v>
      </c>
      <c r="D188" t="str">
        <f t="shared" si="6"/>
        <v>tuquerres</v>
      </c>
      <c r="E188" t="str">
        <f t="shared" si="7"/>
        <v>huila</v>
      </c>
      <c r="F188" t="str">
        <f t="shared" si="8"/>
        <v>tuquerres|huila</v>
      </c>
    </row>
    <row r="189" spans="1:6" ht="15" customHeight="1" x14ac:dyDescent="0.25">
      <c r="A189" s="86" t="s">
        <v>37</v>
      </c>
      <c r="B189" s="86" t="s">
        <v>269</v>
      </c>
      <c r="C189" s="86" t="s">
        <v>270</v>
      </c>
      <c r="D189" t="str">
        <f t="shared" si="6"/>
        <v>ubala</v>
      </c>
      <c r="E189" t="str">
        <f t="shared" si="7"/>
        <v>huila</v>
      </c>
      <c r="F189" t="str">
        <f t="shared" si="8"/>
        <v>ubala|huila</v>
      </c>
    </row>
    <row r="190" spans="1:6" ht="15" customHeight="1" x14ac:dyDescent="0.25">
      <c r="A190" s="85" t="s">
        <v>48</v>
      </c>
      <c r="B190" s="85" t="s">
        <v>484</v>
      </c>
      <c r="C190" s="85" t="s">
        <v>485</v>
      </c>
      <c r="D190" t="str">
        <f t="shared" si="6"/>
        <v>ulloa</v>
      </c>
      <c r="E190" t="str">
        <f t="shared" si="7"/>
        <v>tolima</v>
      </c>
      <c r="F190" t="str">
        <f t="shared" si="8"/>
        <v>ulloa|tolima</v>
      </c>
    </row>
    <row r="191" spans="1:6" ht="15" customHeight="1" x14ac:dyDescent="0.25">
      <c r="A191" s="86" t="s">
        <v>41</v>
      </c>
      <c r="B191" s="86" t="s">
        <v>1241</v>
      </c>
      <c r="C191" s="86" t="s">
        <v>1594</v>
      </c>
      <c r="D191" t="str">
        <f t="shared" si="6"/>
        <v>unguia</v>
      </c>
      <c r="E191" t="str">
        <f t="shared" si="7"/>
        <v>narino</v>
      </c>
      <c r="F191" t="str">
        <f t="shared" si="8"/>
        <v>unguia|narino</v>
      </c>
    </row>
    <row r="192" spans="1:6" ht="38.25" customHeight="1" x14ac:dyDescent="0.25">
      <c r="A192" s="86" t="s">
        <v>14</v>
      </c>
      <c r="B192" s="86" t="s">
        <v>610</v>
      </c>
      <c r="C192" s="86" t="s">
        <v>611</v>
      </c>
      <c r="D192" t="str">
        <f t="shared" si="6"/>
        <v>union panamericana</v>
      </c>
      <c r="E192" t="str">
        <f t="shared" si="7"/>
        <v>atlantico</v>
      </c>
      <c r="F192" t="str">
        <f t="shared" si="8"/>
        <v>union panamericana|atlantico</v>
      </c>
    </row>
    <row r="193" spans="1:6" ht="25.5" customHeight="1" x14ac:dyDescent="0.25">
      <c r="A193" s="85" t="s">
        <v>49</v>
      </c>
      <c r="B193" s="85" t="s">
        <v>1595</v>
      </c>
      <c r="C193" s="85" t="s">
        <v>1596</v>
      </c>
      <c r="D193" t="str">
        <f t="shared" si="6"/>
        <v>uribia</v>
      </c>
      <c r="E193" t="str">
        <f t="shared" si="7"/>
        <v>valle del cauca</v>
      </c>
      <c r="F193" t="str">
        <f t="shared" si="8"/>
        <v>uribia|valle del cauca</v>
      </c>
    </row>
    <row r="194" spans="1:6" ht="25.5" customHeight="1" x14ac:dyDescent="0.25">
      <c r="A194" s="86" t="s">
        <v>49</v>
      </c>
      <c r="B194" s="86" t="s">
        <v>1597</v>
      </c>
      <c r="C194" s="86" t="s">
        <v>1598</v>
      </c>
      <c r="D194" t="str">
        <f t="shared" ref="D194:D257" si="9">TRIM(SUBSTITUTE(SUBSTITUTE(SUBSTITUTE(SUBSTITUTE(SUBSTITUTE(SUBSTITUTE(SUBSTITUTE(SUBSTITUTE(SUBSTITUTE(LOWER(B194),"á","a"),"é","e"),"í","i"),"ó","o"),"ú","u"),"ñ","n"),"-"," "),","," "),"."," "))</f>
        <v>valle de san jose</v>
      </c>
      <c r="E194" t="str">
        <f t="shared" ref="E194:E257" si="10">TRIM(SUBSTITUTE(SUBSTITUTE(SUBSTITUTE(SUBSTITUTE(SUBSTITUTE(SUBSTITUTE(SUBSTITUTE(SUBSTITUTE(SUBSTITUTE(LOWER(A194),"á","a"),"é","e"),"í","i"),"ó","o"),"ú","u"),"ñ","n"),"-"," "),","," "),"."," "))</f>
        <v>valle del cauca</v>
      </c>
      <c r="F194" t="str">
        <f t="shared" ref="F194:F257" si="11">D194&amp;"|"&amp;E194</f>
        <v>valle de san jose|valle del cauca</v>
      </c>
    </row>
    <row r="195" spans="1:6" ht="25.5" customHeight="1" x14ac:dyDescent="0.25">
      <c r="A195" s="86" t="s">
        <v>48</v>
      </c>
      <c r="B195" s="86" t="s">
        <v>508</v>
      </c>
      <c r="C195" s="86" t="s">
        <v>509</v>
      </c>
      <c r="D195" t="str">
        <f t="shared" si="9"/>
        <v>venadillo</v>
      </c>
      <c r="E195" t="str">
        <f t="shared" si="10"/>
        <v>tolima</v>
      </c>
      <c r="F195" t="str">
        <f t="shared" si="11"/>
        <v>venadillo|tolima</v>
      </c>
    </row>
    <row r="196" spans="1:6" ht="25.5" customHeight="1" x14ac:dyDescent="0.25">
      <c r="A196" s="86" t="s">
        <v>1599</v>
      </c>
      <c r="B196" s="86" t="s">
        <v>272</v>
      </c>
      <c r="C196" s="86" t="s">
        <v>273</v>
      </c>
      <c r="D196" t="str">
        <f t="shared" si="9"/>
        <v>vijes</v>
      </c>
      <c r="E196" t="str">
        <f t="shared" si="10"/>
        <v>archipielago san andres</v>
      </c>
      <c r="F196" t="str">
        <f t="shared" si="11"/>
        <v>vijes|archipielago san andres</v>
      </c>
    </row>
    <row r="197" spans="1:6" ht="15" customHeight="1" x14ac:dyDescent="0.25">
      <c r="A197" s="86" t="s">
        <v>22</v>
      </c>
      <c r="B197" s="86" t="s">
        <v>511</v>
      </c>
      <c r="C197" s="86" t="s">
        <v>512</v>
      </c>
      <c r="D197" t="str">
        <f t="shared" si="9"/>
        <v>villarrica</v>
      </c>
      <c r="E197" t="str">
        <f t="shared" si="10"/>
        <v>boyaca</v>
      </c>
      <c r="F197" t="str">
        <f t="shared" si="11"/>
        <v>villarrica|boyaca</v>
      </c>
    </row>
    <row r="198" spans="1:6" ht="25.5" customHeight="1" x14ac:dyDescent="0.25">
      <c r="A198" s="86" t="s">
        <v>1600</v>
      </c>
      <c r="B198" s="86" t="s">
        <v>1140</v>
      </c>
      <c r="C198" s="86" t="s">
        <v>993</v>
      </c>
      <c r="D198" t="str">
        <f t="shared" si="9"/>
        <v>villavicencio</v>
      </c>
      <c r="E198" t="str">
        <f t="shared" si="10"/>
        <v>vichada</v>
      </c>
      <c r="F198" t="str">
        <f t="shared" si="11"/>
        <v>villavicencio|vichada</v>
      </c>
    </row>
    <row r="199" spans="1:6" ht="25.5" customHeight="1" x14ac:dyDescent="0.25">
      <c r="A199" s="85" t="s">
        <v>40</v>
      </c>
      <c r="B199" s="85" t="s">
        <v>1601</v>
      </c>
      <c r="C199" s="85" t="s">
        <v>1602</v>
      </c>
      <c r="D199" t="str">
        <f t="shared" si="9"/>
        <v>vista hermosa</v>
      </c>
      <c r="E199" t="str">
        <f t="shared" si="10"/>
        <v>meta</v>
      </c>
      <c r="F199" t="str">
        <f t="shared" si="11"/>
        <v>vista hermosa|meta</v>
      </c>
    </row>
    <row r="200" spans="1:6" ht="25.5" customHeight="1" x14ac:dyDescent="0.25">
      <c r="A200" s="86" t="s">
        <v>40</v>
      </c>
      <c r="B200" s="86" t="s">
        <v>1603</v>
      </c>
      <c r="C200" s="86" t="s">
        <v>1560</v>
      </c>
      <c r="D200" t="str">
        <f t="shared" si="9"/>
        <v>yaguara</v>
      </c>
      <c r="E200" t="str">
        <f t="shared" si="10"/>
        <v>meta</v>
      </c>
      <c r="F200" t="str">
        <f t="shared" si="11"/>
        <v>yaguara|meta</v>
      </c>
    </row>
    <row r="201" spans="1:6" ht="15" customHeight="1" x14ac:dyDescent="0.25">
      <c r="A201" s="85" t="s">
        <v>40</v>
      </c>
      <c r="B201" s="85" t="s">
        <v>979</v>
      </c>
      <c r="C201" s="85" t="s">
        <v>980</v>
      </c>
      <c r="D201" t="str">
        <f t="shared" si="9"/>
        <v>yumbo</v>
      </c>
      <c r="E201" t="str">
        <f t="shared" si="10"/>
        <v>meta</v>
      </c>
      <c r="F201" t="str">
        <f t="shared" si="11"/>
        <v>yumbo|meta</v>
      </c>
    </row>
    <row r="202" spans="1:6" ht="15" customHeight="1" x14ac:dyDescent="0.25">
      <c r="A202" s="86" t="s">
        <v>40</v>
      </c>
      <c r="B202" s="86" t="s">
        <v>1537</v>
      </c>
      <c r="C202" s="86" t="s">
        <v>1604</v>
      </c>
      <c r="D202" t="str">
        <f t="shared" si="9"/>
        <v>puerto lopez</v>
      </c>
      <c r="E202" t="str">
        <f t="shared" si="10"/>
        <v>meta</v>
      </c>
      <c r="F202" t="str">
        <f t="shared" si="11"/>
        <v>puerto lopez|meta</v>
      </c>
    </row>
    <row r="203" spans="1:6" ht="25.5" customHeight="1" x14ac:dyDescent="0.25">
      <c r="A203" s="85" t="s">
        <v>48</v>
      </c>
      <c r="B203" s="85" t="s">
        <v>292</v>
      </c>
      <c r="C203" s="85" t="s">
        <v>1605</v>
      </c>
      <c r="D203" t="str">
        <f t="shared" si="9"/>
        <v>purificacion</v>
      </c>
      <c r="E203" t="str">
        <f t="shared" si="10"/>
        <v>tolima</v>
      </c>
      <c r="F203" t="str">
        <f t="shared" si="11"/>
        <v>purificacion|tolima</v>
      </c>
    </row>
    <row r="204" spans="1:6" ht="25.5" customHeight="1" x14ac:dyDescent="0.25">
      <c r="A204" s="85" t="s">
        <v>31</v>
      </c>
      <c r="B204" s="85" t="s">
        <v>587</v>
      </c>
      <c r="C204" s="85" t="s">
        <v>1606</v>
      </c>
      <c r="D204" t="str">
        <f t="shared" si="9"/>
        <v>quibdo</v>
      </c>
      <c r="E204" t="str">
        <f t="shared" si="10"/>
        <v>choco</v>
      </c>
      <c r="F204" t="str">
        <f t="shared" si="11"/>
        <v>quibdo|choco</v>
      </c>
    </row>
    <row r="205" spans="1:6" ht="15" customHeight="1" x14ac:dyDescent="0.25">
      <c r="A205" s="86" t="s">
        <v>31</v>
      </c>
      <c r="B205" s="86" t="s">
        <v>587</v>
      </c>
      <c r="C205" s="86" t="s">
        <v>1607</v>
      </c>
      <c r="D205" t="str">
        <f t="shared" si="9"/>
        <v>quibdo</v>
      </c>
      <c r="E205" t="str">
        <f t="shared" si="10"/>
        <v>choco</v>
      </c>
      <c r="F205" t="str">
        <f t="shared" si="11"/>
        <v>quibdo|choco</v>
      </c>
    </row>
    <row r="206" spans="1:6" ht="15" customHeight="1" x14ac:dyDescent="0.25">
      <c r="A206" s="85" t="s">
        <v>31</v>
      </c>
      <c r="B206" s="85" t="s">
        <v>587</v>
      </c>
      <c r="C206" s="85" t="s">
        <v>1608</v>
      </c>
      <c r="D206" t="str">
        <f t="shared" si="9"/>
        <v>quibdo</v>
      </c>
      <c r="E206" t="str">
        <f t="shared" si="10"/>
        <v>choco</v>
      </c>
      <c r="F206" t="str">
        <f t="shared" si="11"/>
        <v>quibdo|choco</v>
      </c>
    </row>
    <row r="207" spans="1:6" ht="15" customHeight="1" x14ac:dyDescent="0.25">
      <c r="A207" s="86" t="s">
        <v>31</v>
      </c>
      <c r="B207" s="86" t="s">
        <v>587</v>
      </c>
      <c r="C207" s="86" t="s">
        <v>1608</v>
      </c>
      <c r="D207" t="str">
        <f t="shared" si="9"/>
        <v>quibdo</v>
      </c>
      <c r="E207" t="str">
        <f t="shared" si="10"/>
        <v>choco</v>
      </c>
      <c r="F207" t="str">
        <f t="shared" si="11"/>
        <v>quibdo|choco</v>
      </c>
    </row>
    <row r="208" spans="1:6" ht="15" customHeight="1" x14ac:dyDescent="0.25">
      <c r="A208" s="85" t="s">
        <v>40</v>
      </c>
      <c r="B208" s="85" t="s">
        <v>474</v>
      </c>
      <c r="C208" s="85" t="s">
        <v>1609</v>
      </c>
      <c r="D208" t="str">
        <f t="shared" si="9"/>
        <v>restrepo</v>
      </c>
      <c r="E208" t="str">
        <f t="shared" si="10"/>
        <v>meta</v>
      </c>
      <c r="F208" t="str">
        <f t="shared" si="11"/>
        <v>restrepo|meta</v>
      </c>
    </row>
    <row r="209" spans="1:6" ht="15" customHeight="1" x14ac:dyDescent="0.25">
      <c r="A209" s="85" t="s">
        <v>41</v>
      </c>
      <c r="B209" s="85" t="s">
        <v>170</v>
      </c>
      <c r="C209" s="85" t="s">
        <v>1610</v>
      </c>
      <c r="D209" t="str">
        <f t="shared" si="9"/>
        <v>ricaurte</v>
      </c>
      <c r="E209" t="str">
        <f t="shared" si="10"/>
        <v>narino</v>
      </c>
      <c r="F209" t="str">
        <f t="shared" si="11"/>
        <v>ricaurte|narino</v>
      </c>
    </row>
    <row r="210" spans="1:6" ht="25.5" customHeight="1" x14ac:dyDescent="0.25">
      <c r="A210" s="86" t="s">
        <v>48</v>
      </c>
      <c r="B210" s="86" t="s">
        <v>499</v>
      </c>
      <c r="C210" s="86" t="s">
        <v>1611</v>
      </c>
      <c r="D210" t="str">
        <f t="shared" si="9"/>
        <v>rioblanco</v>
      </c>
      <c r="E210" t="str">
        <f t="shared" si="10"/>
        <v>tolima</v>
      </c>
      <c r="F210" t="str">
        <f t="shared" si="11"/>
        <v>rioblanco|tolima</v>
      </c>
    </row>
    <row r="211" spans="1:6" ht="25.5" customHeight="1" x14ac:dyDescent="0.25">
      <c r="A211" s="85" t="s">
        <v>48</v>
      </c>
      <c r="B211" s="85" t="s">
        <v>499</v>
      </c>
      <c r="C211" s="85" t="s">
        <v>1612</v>
      </c>
      <c r="D211" t="str">
        <f t="shared" si="9"/>
        <v>rioblanco</v>
      </c>
      <c r="E211" t="str">
        <f t="shared" si="10"/>
        <v>tolima</v>
      </c>
      <c r="F211" t="str">
        <f t="shared" si="11"/>
        <v>rioblanco|tolima</v>
      </c>
    </row>
    <row r="212" spans="1:6" ht="25.5" customHeight="1" x14ac:dyDescent="0.25">
      <c r="A212" s="85" t="s">
        <v>49</v>
      </c>
      <c r="B212" s="85" t="s">
        <v>455</v>
      </c>
      <c r="C212" s="85" t="s">
        <v>1397</v>
      </c>
      <c r="D212" t="str">
        <f t="shared" si="9"/>
        <v>riofrio</v>
      </c>
      <c r="E212" t="str">
        <f t="shared" si="10"/>
        <v>valle del cauca</v>
      </c>
      <c r="F212" t="str">
        <f t="shared" si="11"/>
        <v>riofrio|valle del cauca</v>
      </c>
    </row>
    <row r="213" spans="1:6" ht="25.5" customHeight="1" x14ac:dyDescent="0.25">
      <c r="A213" s="86" t="s">
        <v>1376</v>
      </c>
      <c r="B213" s="86" t="s">
        <v>1127</v>
      </c>
      <c r="C213" s="86" t="s">
        <v>1613</v>
      </c>
      <c r="D213" t="str">
        <f t="shared" si="9"/>
        <v>riohacha</v>
      </c>
      <c r="E213" t="str">
        <f t="shared" si="10"/>
        <v>guajira</v>
      </c>
      <c r="F213" t="str">
        <f t="shared" si="11"/>
        <v>riohacha|guajira</v>
      </c>
    </row>
    <row r="214" spans="1:6" ht="15" customHeight="1" x14ac:dyDescent="0.25">
      <c r="A214" s="85" t="s">
        <v>1376</v>
      </c>
      <c r="B214" s="85" t="s">
        <v>1127</v>
      </c>
      <c r="C214" s="85" t="s">
        <v>1614</v>
      </c>
      <c r="D214" t="str">
        <f t="shared" si="9"/>
        <v>riohacha</v>
      </c>
      <c r="E214" t="str">
        <f t="shared" si="10"/>
        <v>guajira</v>
      </c>
      <c r="F214" t="str">
        <f t="shared" si="11"/>
        <v>riohacha|guajira</v>
      </c>
    </row>
    <row r="215" spans="1:6" ht="25.5" customHeight="1" x14ac:dyDescent="0.25">
      <c r="A215" s="86" t="s">
        <v>1376</v>
      </c>
      <c r="B215" s="86" t="s">
        <v>1127</v>
      </c>
      <c r="C215" s="86" t="s">
        <v>1615</v>
      </c>
      <c r="D215" t="str">
        <f t="shared" si="9"/>
        <v>riohacha</v>
      </c>
      <c r="E215" t="str">
        <f t="shared" si="10"/>
        <v>guajira</v>
      </c>
      <c r="F215" t="str">
        <f t="shared" si="11"/>
        <v>riohacha|guajira</v>
      </c>
    </row>
    <row r="216" spans="1:6" ht="15" customHeight="1" x14ac:dyDescent="0.25">
      <c r="A216" s="85" t="s">
        <v>1376</v>
      </c>
      <c r="B216" s="85" t="s">
        <v>1127</v>
      </c>
      <c r="C216" s="85" t="s">
        <v>1616</v>
      </c>
      <c r="D216" t="str">
        <f t="shared" si="9"/>
        <v>riohacha</v>
      </c>
      <c r="E216" t="str">
        <f t="shared" si="10"/>
        <v>guajira</v>
      </c>
      <c r="F216" t="str">
        <f t="shared" si="11"/>
        <v>riohacha|guajira</v>
      </c>
    </row>
    <row r="217" spans="1:6" ht="15" customHeight="1" x14ac:dyDescent="0.25">
      <c r="A217" s="86" t="s">
        <v>37</v>
      </c>
      <c r="B217" s="86" t="s">
        <v>295</v>
      </c>
      <c r="C217" s="86" t="s">
        <v>1617</v>
      </c>
      <c r="D217" t="str">
        <f t="shared" si="9"/>
        <v>rivera</v>
      </c>
      <c r="E217" t="str">
        <f t="shared" si="10"/>
        <v>huila</v>
      </c>
      <c r="F217" t="str">
        <f t="shared" si="11"/>
        <v>rivera|huila</v>
      </c>
    </row>
    <row r="218" spans="1:6" ht="25.5" customHeight="1" x14ac:dyDescent="0.25">
      <c r="A218" s="85" t="s">
        <v>37</v>
      </c>
      <c r="B218" s="85" t="s">
        <v>295</v>
      </c>
      <c r="C218" s="85" t="s">
        <v>1618</v>
      </c>
      <c r="D218" t="str">
        <f t="shared" si="9"/>
        <v>rivera</v>
      </c>
      <c r="E218" t="str">
        <f t="shared" si="10"/>
        <v>huila</v>
      </c>
      <c r="F218" t="str">
        <f t="shared" si="11"/>
        <v>rivera|huila</v>
      </c>
    </row>
    <row r="219" spans="1:6" ht="25.5" customHeight="1" x14ac:dyDescent="0.25">
      <c r="A219" s="86" t="s">
        <v>41</v>
      </c>
      <c r="B219" s="86" t="s">
        <v>1619</v>
      </c>
      <c r="C219" s="86" t="s">
        <v>1620</v>
      </c>
      <c r="D219" t="str">
        <f t="shared" si="9"/>
        <v>roberto payan(san jose)</v>
      </c>
      <c r="E219" t="str">
        <f t="shared" si="10"/>
        <v>narino</v>
      </c>
      <c r="F219" t="str">
        <f t="shared" si="11"/>
        <v>roberto payan(san jose)|narino</v>
      </c>
    </row>
    <row r="220" spans="1:6" ht="25.5" customHeight="1" x14ac:dyDescent="0.25">
      <c r="A220" s="86" t="s">
        <v>48</v>
      </c>
      <c r="B220" s="86" t="s">
        <v>502</v>
      </c>
      <c r="C220" s="86" t="s">
        <v>1621</v>
      </c>
      <c r="D220" t="str">
        <f t="shared" si="9"/>
        <v>rovira</v>
      </c>
      <c r="E220" t="str">
        <f t="shared" si="10"/>
        <v>tolima</v>
      </c>
      <c r="F220" t="str">
        <f t="shared" si="11"/>
        <v>rovira|tolima</v>
      </c>
    </row>
    <row r="221" spans="1:6" ht="25.5" customHeight="1" x14ac:dyDescent="0.25">
      <c r="A221" s="85" t="s">
        <v>48</v>
      </c>
      <c r="B221" s="85" t="s">
        <v>502</v>
      </c>
      <c r="C221" s="85" t="s">
        <v>1622</v>
      </c>
      <c r="D221" t="str">
        <f t="shared" si="9"/>
        <v>rovira</v>
      </c>
      <c r="E221" t="str">
        <f t="shared" si="10"/>
        <v>tolima</v>
      </c>
      <c r="F221" t="str">
        <f t="shared" si="11"/>
        <v>rovira|tolima</v>
      </c>
    </row>
    <row r="222" spans="1:6" ht="25.5" customHeight="1" x14ac:dyDescent="0.25">
      <c r="A222" s="86" t="s">
        <v>35</v>
      </c>
      <c r="B222" s="86" t="s">
        <v>1623</v>
      </c>
      <c r="C222" s="86" t="s">
        <v>1624</v>
      </c>
      <c r="D222" t="str">
        <f t="shared" si="9"/>
        <v>s antonio de tequendama</v>
      </c>
      <c r="E222" t="str">
        <f t="shared" si="10"/>
        <v>cundinamarca</v>
      </c>
      <c r="F222" t="str">
        <f t="shared" si="11"/>
        <v>s antonio de tequendama|cundinamarca</v>
      </c>
    </row>
    <row r="223" spans="1:6" ht="25.5" customHeight="1" x14ac:dyDescent="0.25">
      <c r="A223" s="85" t="s">
        <v>35</v>
      </c>
      <c r="B223" s="85" t="s">
        <v>1623</v>
      </c>
      <c r="C223" s="85" t="s">
        <v>1625</v>
      </c>
      <c r="D223" t="str">
        <f t="shared" si="9"/>
        <v>s antonio de tequendama</v>
      </c>
      <c r="E223" t="str">
        <f t="shared" si="10"/>
        <v>cundinamarca</v>
      </c>
      <c r="F223" t="str">
        <f t="shared" si="11"/>
        <v>s antonio de tequendama|cundinamarca</v>
      </c>
    </row>
    <row r="224" spans="1:6" ht="25.5" customHeight="1" x14ac:dyDescent="0.25">
      <c r="A224" s="86" t="s">
        <v>46</v>
      </c>
      <c r="B224" s="86" t="s">
        <v>1541</v>
      </c>
      <c r="C224" s="86" t="s">
        <v>1626</v>
      </c>
      <c r="D224" t="str">
        <f t="shared" si="9"/>
        <v>sabana de torres</v>
      </c>
      <c r="E224" t="str">
        <f t="shared" si="10"/>
        <v>santander</v>
      </c>
      <c r="F224" t="str">
        <f t="shared" si="11"/>
        <v>sabana de torres|santander</v>
      </c>
    </row>
    <row r="225" spans="1:6" ht="15" customHeight="1" x14ac:dyDescent="0.25">
      <c r="A225" s="85" t="s">
        <v>22</v>
      </c>
      <c r="B225" s="85" t="s">
        <v>1543</v>
      </c>
      <c r="C225" s="85" t="s">
        <v>1627</v>
      </c>
      <c r="D225" t="str">
        <f t="shared" si="9"/>
        <v>saboya</v>
      </c>
      <c r="E225" t="str">
        <f t="shared" si="10"/>
        <v>boyaca</v>
      </c>
      <c r="F225" t="str">
        <f t="shared" si="11"/>
        <v>saboya|boyaca</v>
      </c>
    </row>
    <row r="226" spans="1:6" ht="15" customHeight="1" x14ac:dyDescent="0.25">
      <c r="A226" s="86" t="s">
        <v>37</v>
      </c>
      <c r="B226" s="86" t="s">
        <v>1545</v>
      </c>
      <c r="C226" s="86" t="s">
        <v>1628</v>
      </c>
      <c r="D226" t="str">
        <f t="shared" si="9"/>
        <v>saladoblanco</v>
      </c>
      <c r="E226" t="str">
        <f t="shared" si="10"/>
        <v>huila</v>
      </c>
      <c r="F226" t="str">
        <f t="shared" si="11"/>
        <v>saladoblanco|huila</v>
      </c>
    </row>
    <row r="227" spans="1:6" ht="15" customHeight="1" x14ac:dyDescent="0.25">
      <c r="A227" s="86" t="s">
        <v>22</v>
      </c>
      <c r="B227" s="86" t="s">
        <v>1547</v>
      </c>
      <c r="C227" s="86" t="s">
        <v>1629</v>
      </c>
      <c r="D227" t="str">
        <f t="shared" si="9"/>
        <v>samaca</v>
      </c>
      <c r="E227" t="str">
        <f t="shared" si="10"/>
        <v>boyaca</v>
      </c>
      <c r="F227" t="str">
        <f t="shared" si="11"/>
        <v>samaca|boyaca</v>
      </c>
    </row>
    <row r="228" spans="1:6" ht="25.5" customHeight="1" x14ac:dyDescent="0.25">
      <c r="A228" s="85" t="s">
        <v>46</v>
      </c>
      <c r="B228" s="85" t="s">
        <v>1549</v>
      </c>
      <c r="C228" s="85" t="s">
        <v>1630</v>
      </c>
      <c r="D228" t="str">
        <f t="shared" si="9"/>
        <v>san andres</v>
      </c>
      <c r="E228" t="str">
        <f t="shared" si="10"/>
        <v>santander</v>
      </c>
      <c r="F228" t="str">
        <f t="shared" si="11"/>
        <v>san andres|santander</v>
      </c>
    </row>
    <row r="229" spans="1:6" ht="25.5" customHeight="1" x14ac:dyDescent="0.25">
      <c r="A229" s="86" t="s">
        <v>41</v>
      </c>
      <c r="B229" s="86" t="s">
        <v>1631</v>
      </c>
      <c r="C229" s="86" t="s">
        <v>1632</v>
      </c>
      <c r="D229" t="str">
        <f t="shared" si="9"/>
        <v>san andres de tumaco</v>
      </c>
      <c r="E229" t="str">
        <f t="shared" si="10"/>
        <v>narino</v>
      </c>
      <c r="F229" t="str">
        <f t="shared" si="11"/>
        <v>san andres de tumaco|narino</v>
      </c>
    </row>
    <row r="230" spans="1:6" ht="25.5" customHeight="1" x14ac:dyDescent="0.25">
      <c r="A230" s="85" t="s">
        <v>41</v>
      </c>
      <c r="B230" s="85" t="s">
        <v>1631</v>
      </c>
      <c r="C230" s="85" t="s">
        <v>1633</v>
      </c>
      <c r="D230" t="str">
        <f t="shared" si="9"/>
        <v>san andres de tumaco</v>
      </c>
      <c r="E230" t="str">
        <f t="shared" si="10"/>
        <v>narino</v>
      </c>
      <c r="F230" t="str">
        <f t="shared" si="11"/>
        <v>san andres de tumaco|narino</v>
      </c>
    </row>
    <row r="231" spans="1:6" ht="25.5" customHeight="1" x14ac:dyDescent="0.25">
      <c r="A231" s="86" t="s">
        <v>41</v>
      </c>
      <c r="B231" s="86" t="s">
        <v>1631</v>
      </c>
      <c r="C231" s="86" t="s">
        <v>1634</v>
      </c>
      <c r="D231" t="str">
        <f t="shared" si="9"/>
        <v>san andres de tumaco</v>
      </c>
      <c r="E231" t="str">
        <f t="shared" si="10"/>
        <v>narino</v>
      </c>
      <c r="F231" t="str">
        <f t="shared" si="11"/>
        <v>san andres de tumaco|narino</v>
      </c>
    </row>
    <row r="232" spans="1:6" ht="25.5" customHeight="1" x14ac:dyDescent="0.25">
      <c r="A232" s="85" t="s">
        <v>41</v>
      </c>
      <c r="B232" s="85" t="s">
        <v>1631</v>
      </c>
      <c r="C232" s="85" t="s">
        <v>1635</v>
      </c>
      <c r="D232" t="str">
        <f t="shared" si="9"/>
        <v>san andres de tumaco</v>
      </c>
      <c r="E232" t="str">
        <f t="shared" si="10"/>
        <v>narino</v>
      </c>
      <c r="F232" t="str">
        <f t="shared" si="11"/>
        <v>san andres de tumaco|narino</v>
      </c>
    </row>
    <row r="233" spans="1:6" ht="25.5" customHeight="1" x14ac:dyDescent="0.25">
      <c r="A233" s="86" t="s">
        <v>41</v>
      </c>
      <c r="B233" s="86" t="s">
        <v>1631</v>
      </c>
      <c r="C233" s="86" t="s">
        <v>1636</v>
      </c>
      <c r="D233" t="str">
        <f t="shared" si="9"/>
        <v>san andres de tumaco</v>
      </c>
      <c r="E233" t="str">
        <f t="shared" si="10"/>
        <v>narino</v>
      </c>
      <c r="F233" t="str">
        <f t="shared" si="11"/>
        <v>san andres de tumaco|narino</v>
      </c>
    </row>
    <row r="234" spans="1:6" ht="25.5" customHeight="1" x14ac:dyDescent="0.25">
      <c r="A234" s="85" t="s">
        <v>41</v>
      </c>
      <c r="B234" s="85" t="s">
        <v>1631</v>
      </c>
      <c r="C234" s="85" t="s">
        <v>1637</v>
      </c>
      <c r="D234" t="str">
        <f t="shared" si="9"/>
        <v>san andres de tumaco</v>
      </c>
      <c r="E234" t="str">
        <f t="shared" si="10"/>
        <v>narino</v>
      </c>
      <c r="F234" t="str">
        <f t="shared" si="11"/>
        <v>san andres de tumaco|narino</v>
      </c>
    </row>
    <row r="235" spans="1:6" ht="25.5" customHeight="1" x14ac:dyDescent="0.25">
      <c r="A235" s="86" t="s">
        <v>41</v>
      </c>
      <c r="B235" s="86" t="s">
        <v>1631</v>
      </c>
      <c r="C235" s="86" t="s">
        <v>1638</v>
      </c>
      <c r="D235" t="str">
        <f t="shared" si="9"/>
        <v>san andres de tumaco</v>
      </c>
      <c r="E235" t="str">
        <f t="shared" si="10"/>
        <v>narino</v>
      </c>
      <c r="F235" t="str">
        <f t="shared" si="11"/>
        <v>san andres de tumaco|narino</v>
      </c>
    </row>
    <row r="236" spans="1:6" ht="25.5" customHeight="1" x14ac:dyDescent="0.25">
      <c r="A236" s="85" t="s">
        <v>41</v>
      </c>
      <c r="B236" s="85" t="s">
        <v>1631</v>
      </c>
      <c r="C236" s="85" t="s">
        <v>1639</v>
      </c>
      <c r="D236" t="str">
        <f t="shared" si="9"/>
        <v>san andres de tumaco</v>
      </c>
      <c r="E236" t="str">
        <f t="shared" si="10"/>
        <v>narino</v>
      </c>
      <c r="F236" t="str">
        <f t="shared" si="11"/>
        <v>san andres de tumaco|narino</v>
      </c>
    </row>
    <row r="237" spans="1:6" ht="25.5" customHeight="1" x14ac:dyDescent="0.25">
      <c r="A237" s="86" t="s">
        <v>41</v>
      </c>
      <c r="B237" s="86" t="s">
        <v>1631</v>
      </c>
      <c r="C237" s="86" t="s">
        <v>1640</v>
      </c>
      <c r="D237" t="str">
        <f t="shared" si="9"/>
        <v>san andres de tumaco</v>
      </c>
      <c r="E237" t="str">
        <f t="shared" si="10"/>
        <v>narino</v>
      </c>
      <c r="F237" t="str">
        <f t="shared" si="11"/>
        <v>san andres de tumaco|narino</v>
      </c>
    </row>
    <row r="238" spans="1:6" ht="25.5" customHeight="1" x14ac:dyDescent="0.25">
      <c r="A238" s="86" t="s">
        <v>35</v>
      </c>
      <c r="B238" s="86" t="s">
        <v>1551</v>
      </c>
      <c r="C238" s="86" t="s">
        <v>1560</v>
      </c>
      <c r="D238" t="str">
        <f t="shared" si="9"/>
        <v>san bernardo</v>
      </c>
      <c r="E238" t="str">
        <f t="shared" si="10"/>
        <v>cundinamarca</v>
      </c>
      <c r="F238" t="str">
        <f t="shared" si="11"/>
        <v>san bernardo|cundinamarca</v>
      </c>
    </row>
    <row r="239" spans="1:6" ht="15" customHeight="1" x14ac:dyDescent="0.25">
      <c r="A239" s="86" t="s">
        <v>46</v>
      </c>
      <c r="B239" s="86" t="s">
        <v>1276</v>
      </c>
      <c r="C239" s="86" t="s">
        <v>1641</v>
      </c>
      <c r="D239" t="str">
        <f t="shared" si="9"/>
        <v>san gil</v>
      </c>
      <c r="E239" t="str">
        <f t="shared" si="10"/>
        <v>santander</v>
      </c>
      <c r="F239" t="str">
        <f t="shared" si="11"/>
        <v>san gil|santander</v>
      </c>
    </row>
    <row r="240" spans="1:6" ht="25.5" customHeight="1" x14ac:dyDescent="0.25">
      <c r="A240" s="86" t="s">
        <v>1403</v>
      </c>
      <c r="B240" s="86" t="s">
        <v>1554</v>
      </c>
      <c r="C240" s="86" t="s">
        <v>1642</v>
      </c>
      <c r="D240" t="str">
        <f t="shared" si="9"/>
        <v>san jose del guaviare</v>
      </c>
      <c r="E240" t="str">
        <f t="shared" si="10"/>
        <v>guaviare</v>
      </c>
      <c r="F240" t="str">
        <f t="shared" si="11"/>
        <v>san jose del guaviare|guaviare</v>
      </c>
    </row>
    <row r="241" spans="1:6" ht="25.5" customHeight="1" x14ac:dyDescent="0.25">
      <c r="A241" s="85" t="s">
        <v>1403</v>
      </c>
      <c r="B241" s="85" t="s">
        <v>1554</v>
      </c>
      <c r="C241" s="85" t="s">
        <v>1643</v>
      </c>
      <c r="D241" t="str">
        <f t="shared" si="9"/>
        <v>san jose del guaviare</v>
      </c>
      <c r="E241" t="str">
        <f t="shared" si="10"/>
        <v>guaviare</v>
      </c>
      <c r="F241" t="str">
        <f t="shared" si="11"/>
        <v>san jose del guaviare|guaviare</v>
      </c>
    </row>
    <row r="242" spans="1:6" ht="25.5" customHeight="1" x14ac:dyDescent="0.25">
      <c r="A242" s="86" t="s">
        <v>1403</v>
      </c>
      <c r="B242" s="86" t="s">
        <v>1554</v>
      </c>
      <c r="C242" s="86" t="s">
        <v>1644</v>
      </c>
      <c r="D242" t="str">
        <f t="shared" si="9"/>
        <v>san jose del guaviare</v>
      </c>
      <c r="E242" t="str">
        <f t="shared" si="10"/>
        <v>guaviare</v>
      </c>
      <c r="F242" t="str">
        <f t="shared" si="11"/>
        <v>san jose del guaviare|guaviare</v>
      </c>
    </row>
    <row r="243" spans="1:6" ht="25.5" customHeight="1" x14ac:dyDescent="0.25">
      <c r="A243" s="85" t="s">
        <v>35</v>
      </c>
      <c r="B243" s="85" t="s">
        <v>1645</v>
      </c>
      <c r="C243" s="85" t="s">
        <v>1646</v>
      </c>
      <c r="D243" t="str">
        <f t="shared" si="9"/>
        <v>san juan de rio seco</v>
      </c>
      <c r="E243" t="str">
        <f t="shared" si="10"/>
        <v>cundinamarca</v>
      </c>
      <c r="F243" t="str">
        <f t="shared" si="11"/>
        <v>san juan de rio seco|cundinamarca</v>
      </c>
    </row>
    <row r="244" spans="1:6" ht="15" customHeight="1" x14ac:dyDescent="0.25">
      <c r="A244" s="85" t="s">
        <v>41</v>
      </c>
      <c r="B244" s="85" t="s">
        <v>1556</v>
      </c>
      <c r="C244" s="85" t="s">
        <v>1647</v>
      </c>
      <c r="D244" t="str">
        <f t="shared" si="9"/>
        <v>san lorenzo</v>
      </c>
      <c r="E244" t="str">
        <f t="shared" si="10"/>
        <v>narino</v>
      </c>
      <c r="F244" t="str">
        <f t="shared" si="11"/>
        <v>san lorenzo|narino</v>
      </c>
    </row>
    <row r="245" spans="1:6" ht="15" customHeight="1" x14ac:dyDescent="0.25">
      <c r="A245" s="86" t="s">
        <v>41</v>
      </c>
      <c r="B245" s="86" t="s">
        <v>1556</v>
      </c>
      <c r="C245" s="86" t="s">
        <v>1648</v>
      </c>
      <c r="D245" t="str">
        <f t="shared" si="9"/>
        <v>san lorenzo</v>
      </c>
      <c r="E245" t="str">
        <f t="shared" si="10"/>
        <v>narino</v>
      </c>
      <c r="F245" t="str">
        <f t="shared" si="11"/>
        <v>san lorenzo|narino</v>
      </c>
    </row>
    <row r="246" spans="1:6" ht="25.5" customHeight="1" x14ac:dyDescent="0.25">
      <c r="A246" s="86" t="s">
        <v>48</v>
      </c>
      <c r="B246" s="86" t="s">
        <v>140</v>
      </c>
      <c r="C246" s="86" t="s">
        <v>141</v>
      </c>
      <c r="D246" t="str">
        <f t="shared" si="9"/>
        <v>san luis</v>
      </c>
      <c r="E246" t="str">
        <f t="shared" si="10"/>
        <v>tolima</v>
      </c>
      <c r="F246" t="str">
        <f t="shared" si="11"/>
        <v>san luis|tolima</v>
      </c>
    </row>
    <row r="247" spans="1:6" ht="25.5" customHeight="1" x14ac:dyDescent="0.25">
      <c r="A247" s="85" t="s">
        <v>46</v>
      </c>
      <c r="B247" s="85" t="s">
        <v>1559</v>
      </c>
      <c r="C247" s="85" t="s">
        <v>1649</v>
      </c>
      <c r="D247" t="str">
        <f t="shared" si="9"/>
        <v>santa helena del opon</v>
      </c>
      <c r="E247" t="str">
        <f t="shared" si="10"/>
        <v>santander</v>
      </c>
      <c r="F247" t="str">
        <f t="shared" si="11"/>
        <v>santa helena del opon|santander</v>
      </c>
    </row>
    <row r="248" spans="1:6" ht="15" customHeight="1" x14ac:dyDescent="0.25">
      <c r="A248" s="85" t="s">
        <v>48</v>
      </c>
      <c r="B248" s="85" t="s">
        <v>505</v>
      </c>
      <c r="C248" s="85" t="s">
        <v>1473</v>
      </c>
      <c r="D248" t="str">
        <f t="shared" si="9"/>
        <v>santa isabel</v>
      </c>
      <c r="E248" t="str">
        <f t="shared" si="10"/>
        <v>tolima</v>
      </c>
      <c r="F248" t="str">
        <f t="shared" si="11"/>
        <v>santa isabel|tolima</v>
      </c>
    </row>
    <row r="249" spans="1:6" ht="25.5" customHeight="1" x14ac:dyDescent="0.25">
      <c r="A249" s="85" t="s">
        <v>37</v>
      </c>
      <c r="B249" s="85" t="s">
        <v>298</v>
      </c>
      <c r="C249" s="85" t="s">
        <v>1650</v>
      </c>
      <c r="D249" t="str">
        <f t="shared" si="9"/>
        <v>santa maria</v>
      </c>
      <c r="E249" t="str">
        <f t="shared" si="10"/>
        <v>huila</v>
      </c>
      <c r="F249" t="str">
        <f t="shared" si="11"/>
        <v>santa maria|huila</v>
      </c>
    </row>
    <row r="250" spans="1:6" ht="25.5" customHeight="1" x14ac:dyDescent="0.25">
      <c r="A250" s="85" t="s">
        <v>41</v>
      </c>
      <c r="B250" s="85" t="s">
        <v>1651</v>
      </c>
      <c r="C250" s="85" t="s">
        <v>1652</v>
      </c>
      <c r="D250" t="str">
        <f t="shared" si="9"/>
        <v>santacruz(guachaves)</v>
      </c>
      <c r="E250" t="str">
        <f t="shared" si="10"/>
        <v>narino</v>
      </c>
      <c r="F250" t="str">
        <f t="shared" si="11"/>
        <v>santacruz(guachaves)|narino</v>
      </c>
    </row>
    <row r="251" spans="1:6" ht="25.5" customHeight="1" x14ac:dyDescent="0.25">
      <c r="A251" s="85" t="s">
        <v>14</v>
      </c>
      <c r="B251" s="85" t="s">
        <v>1563</v>
      </c>
      <c r="C251" s="85" t="s">
        <v>1653</v>
      </c>
      <c r="D251" t="str">
        <f t="shared" si="9"/>
        <v>santo tomas</v>
      </c>
      <c r="E251" t="str">
        <f t="shared" si="10"/>
        <v>atlantico</v>
      </c>
      <c r="F251" t="str">
        <f t="shared" si="11"/>
        <v>santo tomas|atlantico</v>
      </c>
    </row>
    <row r="252" spans="1:6" ht="25.5" customHeight="1" x14ac:dyDescent="0.25">
      <c r="A252" s="85" t="s">
        <v>42</v>
      </c>
      <c r="B252" s="85" t="s">
        <v>1565</v>
      </c>
      <c r="C252" s="85" t="s">
        <v>1654</v>
      </c>
      <c r="D252" t="str">
        <f t="shared" si="9"/>
        <v>sardinata</v>
      </c>
      <c r="E252" t="str">
        <f t="shared" si="10"/>
        <v>norte de santander</v>
      </c>
      <c r="F252" t="str">
        <f t="shared" si="11"/>
        <v>sardinata|norte de santander</v>
      </c>
    </row>
    <row r="253" spans="1:6" ht="15" customHeight="1" x14ac:dyDescent="0.25">
      <c r="A253" s="86" t="s">
        <v>49</v>
      </c>
      <c r="B253" s="86" t="s">
        <v>992</v>
      </c>
      <c r="C253" s="86" t="s">
        <v>293</v>
      </c>
      <c r="D253" t="str">
        <f t="shared" si="9"/>
        <v>sevilla</v>
      </c>
      <c r="E253" t="str">
        <f t="shared" si="10"/>
        <v>valle del cauca</v>
      </c>
      <c r="F253" t="str">
        <f t="shared" si="11"/>
        <v>sevilla|valle del cauca</v>
      </c>
    </row>
    <row r="254" spans="1:6" ht="25.5" customHeight="1" x14ac:dyDescent="0.25">
      <c r="A254" s="85" t="s">
        <v>35</v>
      </c>
      <c r="B254" s="85" t="s">
        <v>1115</v>
      </c>
      <c r="C254" s="85" t="s">
        <v>1655</v>
      </c>
      <c r="D254" t="str">
        <f t="shared" si="9"/>
        <v>soacha</v>
      </c>
      <c r="E254" t="str">
        <f t="shared" si="10"/>
        <v>cundinamarca</v>
      </c>
      <c r="F254" t="str">
        <f t="shared" si="11"/>
        <v>soacha|cundinamarca</v>
      </c>
    </row>
    <row r="255" spans="1:6" ht="25.5" customHeight="1" x14ac:dyDescent="0.25">
      <c r="A255" s="86" t="s">
        <v>35</v>
      </c>
      <c r="B255" s="86" t="s">
        <v>1115</v>
      </c>
      <c r="C255" s="86" t="s">
        <v>1656</v>
      </c>
      <c r="D255" t="str">
        <f t="shared" si="9"/>
        <v>soacha</v>
      </c>
      <c r="E255" t="str">
        <f t="shared" si="10"/>
        <v>cundinamarca</v>
      </c>
      <c r="F255" t="str">
        <f t="shared" si="11"/>
        <v>soacha|cundinamarca</v>
      </c>
    </row>
    <row r="256" spans="1:6" ht="25.5" customHeight="1" x14ac:dyDescent="0.25">
      <c r="A256" s="85" t="s">
        <v>35</v>
      </c>
      <c r="B256" s="85" t="s">
        <v>1115</v>
      </c>
      <c r="C256" s="85" t="s">
        <v>1416</v>
      </c>
      <c r="D256" t="str">
        <f t="shared" si="9"/>
        <v>soacha</v>
      </c>
      <c r="E256" t="str">
        <f t="shared" si="10"/>
        <v>cundinamarca</v>
      </c>
      <c r="F256" t="str">
        <f t="shared" si="11"/>
        <v>soacha|cundinamarca</v>
      </c>
    </row>
    <row r="257" spans="1:6" ht="15" customHeight="1" x14ac:dyDescent="0.25">
      <c r="A257" s="85" t="s">
        <v>22</v>
      </c>
      <c r="B257" s="85" t="s">
        <v>1567</v>
      </c>
      <c r="C257" s="85" t="s">
        <v>1657</v>
      </c>
      <c r="D257" t="str">
        <f t="shared" si="9"/>
        <v>soata</v>
      </c>
      <c r="E257" t="str">
        <f t="shared" si="10"/>
        <v>boyaca</v>
      </c>
      <c r="F257" t="str">
        <f t="shared" si="11"/>
        <v>soata|boyaca</v>
      </c>
    </row>
    <row r="258" spans="1:6" ht="25.5" customHeight="1" x14ac:dyDescent="0.25">
      <c r="A258" s="86" t="s">
        <v>46</v>
      </c>
      <c r="B258" s="86" t="s">
        <v>1569</v>
      </c>
      <c r="C258" s="86" t="s">
        <v>1658</v>
      </c>
      <c r="D258" t="str">
        <f t="shared" ref="D258:D307" si="12">TRIM(SUBSTITUTE(SUBSTITUTE(SUBSTITUTE(SUBSTITUTE(SUBSTITUTE(SUBSTITUTE(SUBSTITUTE(SUBSTITUTE(SUBSTITUTE(LOWER(B258),"á","a"),"é","e"),"í","i"),"ó","o"),"ú","u"),"ñ","n"),"-"," "),","," "),"."," "))</f>
        <v>socorro</v>
      </c>
      <c r="E258" t="str">
        <f t="shared" ref="E258:E307" si="13">TRIM(SUBSTITUTE(SUBSTITUTE(SUBSTITUTE(SUBSTITUTE(SUBSTITUTE(SUBSTITUTE(SUBSTITUTE(SUBSTITUTE(SUBSTITUTE(LOWER(A258),"á","a"),"é","e"),"í","i"),"ó","o"),"ú","u"),"ñ","n"),"-"," "),","," "),"."," "))</f>
        <v>santander</v>
      </c>
      <c r="F258" t="str">
        <f t="shared" ref="F258:F307" si="14">D258&amp;"|"&amp;E258</f>
        <v>socorro|santander</v>
      </c>
    </row>
    <row r="259" spans="1:6" ht="25.5" customHeight="1" x14ac:dyDescent="0.25">
      <c r="A259" s="86" t="s">
        <v>14</v>
      </c>
      <c r="B259" s="86" t="s">
        <v>1571</v>
      </c>
      <c r="C259" s="86" t="s">
        <v>1659</v>
      </c>
      <c r="D259" t="str">
        <f t="shared" si="12"/>
        <v>soledad</v>
      </c>
      <c r="E259" t="str">
        <f t="shared" si="13"/>
        <v>atlantico</v>
      </c>
      <c r="F259" t="str">
        <f t="shared" si="14"/>
        <v>soledad|atlantico</v>
      </c>
    </row>
    <row r="260" spans="1:6" ht="25.5" customHeight="1" x14ac:dyDescent="0.25">
      <c r="A260" s="85" t="s">
        <v>14</v>
      </c>
      <c r="B260" s="85" t="s">
        <v>1571</v>
      </c>
      <c r="C260" s="85" t="s">
        <v>1660</v>
      </c>
      <c r="D260" t="str">
        <f t="shared" si="12"/>
        <v>soledad</v>
      </c>
      <c r="E260" t="str">
        <f t="shared" si="13"/>
        <v>atlantico</v>
      </c>
      <c r="F260" t="str">
        <f t="shared" si="14"/>
        <v>soledad|atlantico</v>
      </c>
    </row>
    <row r="261" spans="1:6" ht="25.5" customHeight="1" x14ac:dyDescent="0.25">
      <c r="A261" s="86" t="s">
        <v>14</v>
      </c>
      <c r="B261" s="86" t="s">
        <v>1571</v>
      </c>
      <c r="C261" s="86" t="s">
        <v>1661</v>
      </c>
      <c r="D261" t="str">
        <f t="shared" si="12"/>
        <v>soledad</v>
      </c>
      <c r="E261" t="str">
        <f t="shared" si="13"/>
        <v>atlantico</v>
      </c>
      <c r="F261" t="str">
        <f t="shared" si="14"/>
        <v>soledad|atlantico</v>
      </c>
    </row>
    <row r="262" spans="1:6" ht="25.5" customHeight="1" x14ac:dyDescent="0.25">
      <c r="A262" s="85" t="s">
        <v>14</v>
      </c>
      <c r="B262" s="85" t="s">
        <v>1571</v>
      </c>
      <c r="C262" s="85" t="s">
        <v>1662</v>
      </c>
      <c r="D262" t="str">
        <f t="shared" si="12"/>
        <v>soledad</v>
      </c>
      <c r="E262" t="str">
        <f t="shared" si="13"/>
        <v>atlantico</v>
      </c>
      <c r="F262" t="str">
        <f t="shared" si="14"/>
        <v>soledad|atlantico</v>
      </c>
    </row>
    <row r="263" spans="1:6" ht="25.5" customHeight="1" x14ac:dyDescent="0.25">
      <c r="A263" s="86" t="s">
        <v>14</v>
      </c>
      <c r="B263" s="86" t="s">
        <v>1571</v>
      </c>
      <c r="C263" s="86" t="s">
        <v>1663</v>
      </c>
      <c r="D263" t="str">
        <f t="shared" si="12"/>
        <v>soledad</v>
      </c>
      <c r="E263" t="str">
        <f t="shared" si="13"/>
        <v>atlantico</v>
      </c>
      <c r="F263" t="str">
        <f t="shared" si="14"/>
        <v>soledad|atlantico</v>
      </c>
    </row>
    <row r="264" spans="1:6" ht="25.5" customHeight="1" x14ac:dyDescent="0.25">
      <c r="A264" s="86" t="s">
        <v>22</v>
      </c>
      <c r="B264" s="86" t="s">
        <v>1573</v>
      </c>
      <c r="C264" s="86" t="s">
        <v>1664</v>
      </c>
      <c r="D264" t="str">
        <f t="shared" si="12"/>
        <v>soraca</v>
      </c>
      <c r="E264" t="str">
        <f t="shared" si="13"/>
        <v>boyaca</v>
      </c>
      <c r="F264" t="str">
        <f t="shared" si="14"/>
        <v>soraca|boyaca</v>
      </c>
    </row>
    <row r="265" spans="1:6" ht="15" customHeight="1" x14ac:dyDescent="0.25">
      <c r="A265" s="85" t="s">
        <v>46</v>
      </c>
      <c r="B265" s="85" t="s">
        <v>1575</v>
      </c>
      <c r="C265" s="85" t="s">
        <v>1665</v>
      </c>
      <c r="D265" t="str">
        <f t="shared" si="12"/>
        <v>suaita</v>
      </c>
      <c r="E265" t="str">
        <f t="shared" si="13"/>
        <v>santander</v>
      </c>
      <c r="F265" t="str">
        <f t="shared" si="14"/>
        <v>suaita|santander</v>
      </c>
    </row>
    <row r="266" spans="1:6" ht="15" customHeight="1" x14ac:dyDescent="0.25">
      <c r="A266" s="86" t="s">
        <v>37</v>
      </c>
      <c r="B266" s="86" t="s">
        <v>1577</v>
      </c>
      <c r="C266" s="86" t="s">
        <v>1666</v>
      </c>
      <c r="D266" t="str">
        <f t="shared" si="12"/>
        <v>suaza</v>
      </c>
      <c r="E266" t="str">
        <f t="shared" si="13"/>
        <v>huila</v>
      </c>
      <c r="F266" t="str">
        <f t="shared" si="14"/>
        <v>suaza|huila</v>
      </c>
    </row>
    <row r="267" spans="1:6" ht="15" customHeight="1" x14ac:dyDescent="0.25">
      <c r="A267" s="85" t="s">
        <v>22</v>
      </c>
      <c r="B267" s="85" t="s">
        <v>1579</v>
      </c>
      <c r="C267" s="85" t="s">
        <v>1667</v>
      </c>
      <c r="D267" t="str">
        <f t="shared" si="12"/>
        <v>sutamarchan</v>
      </c>
      <c r="E267" t="str">
        <f t="shared" si="13"/>
        <v>boyaca</v>
      </c>
      <c r="F267" t="str">
        <f t="shared" si="14"/>
        <v>sutamarchan|boyaca</v>
      </c>
    </row>
    <row r="268" spans="1:6" ht="15" customHeight="1" x14ac:dyDescent="0.25">
      <c r="A268" s="86" t="s">
        <v>1352</v>
      </c>
      <c r="B268" s="86" t="s">
        <v>1581</v>
      </c>
      <c r="C268" s="86" t="s">
        <v>1668</v>
      </c>
      <c r="D268" t="str">
        <f t="shared" si="12"/>
        <v>tame</v>
      </c>
      <c r="E268" t="str">
        <f t="shared" si="13"/>
        <v>arauca</v>
      </c>
      <c r="F268" t="str">
        <f t="shared" si="14"/>
        <v>tame|arauca</v>
      </c>
    </row>
    <row r="269" spans="1:6" ht="15" customHeight="1" x14ac:dyDescent="0.25">
      <c r="A269" s="85" t="s">
        <v>1352</v>
      </c>
      <c r="B269" s="85" t="s">
        <v>1581</v>
      </c>
      <c r="C269" s="85" t="s">
        <v>1669</v>
      </c>
      <c r="D269" t="str">
        <f t="shared" si="12"/>
        <v>tame</v>
      </c>
      <c r="E269" t="str">
        <f t="shared" si="13"/>
        <v>arauca</v>
      </c>
      <c r="F269" t="str">
        <f t="shared" si="14"/>
        <v>tame|arauca</v>
      </c>
    </row>
    <row r="270" spans="1:6" ht="25.5" customHeight="1" x14ac:dyDescent="0.25">
      <c r="A270" s="86" t="s">
        <v>41</v>
      </c>
      <c r="B270" s="86" t="s">
        <v>1582</v>
      </c>
      <c r="C270" s="86" t="s">
        <v>1670</v>
      </c>
      <c r="D270" t="str">
        <f t="shared" si="12"/>
        <v>taminango</v>
      </c>
      <c r="E270" t="str">
        <f t="shared" si="13"/>
        <v>narino</v>
      </c>
      <c r="F270" t="str">
        <f t="shared" si="14"/>
        <v>taminango|narino</v>
      </c>
    </row>
    <row r="271" spans="1:6" ht="25.5" customHeight="1" x14ac:dyDescent="0.25">
      <c r="A271" s="85" t="s">
        <v>37</v>
      </c>
      <c r="B271" s="85" t="s">
        <v>1584</v>
      </c>
      <c r="C271" s="85" t="s">
        <v>1671</v>
      </c>
      <c r="D271" t="str">
        <f t="shared" si="12"/>
        <v>tarqui</v>
      </c>
      <c r="E271" t="str">
        <f t="shared" si="13"/>
        <v>huila</v>
      </c>
      <c r="F271" t="str">
        <f t="shared" si="14"/>
        <v>tarqui|huila</v>
      </c>
    </row>
    <row r="272" spans="1:6" ht="15" customHeight="1" x14ac:dyDescent="0.25">
      <c r="A272" s="86" t="s">
        <v>35</v>
      </c>
      <c r="B272" s="86" t="s">
        <v>1586</v>
      </c>
      <c r="C272" s="86" t="s">
        <v>1672</v>
      </c>
      <c r="D272" t="str">
        <f t="shared" si="12"/>
        <v>tausa</v>
      </c>
      <c r="E272" t="str">
        <f t="shared" si="13"/>
        <v>cundinamarca</v>
      </c>
      <c r="F272" t="str">
        <f t="shared" si="14"/>
        <v>tausa|cundinamarca</v>
      </c>
    </row>
    <row r="273" spans="1:6" ht="25.5" customHeight="1" x14ac:dyDescent="0.25">
      <c r="A273" s="86" t="s">
        <v>42</v>
      </c>
      <c r="B273" s="86" t="s">
        <v>1588</v>
      </c>
      <c r="C273" s="86" t="s">
        <v>1673</v>
      </c>
      <c r="D273" t="str">
        <f t="shared" si="12"/>
        <v>teorama</v>
      </c>
      <c r="E273" t="str">
        <f t="shared" si="13"/>
        <v>norte de santander</v>
      </c>
      <c r="F273" t="str">
        <f t="shared" si="14"/>
        <v>teorama|norte de santander</v>
      </c>
    </row>
    <row r="274" spans="1:6" ht="15" customHeight="1" x14ac:dyDescent="0.25">
      <c r="A274" s="86" t="s">
        <v>37</v>
      </c>
      <c r="B274" s="86" t="s">
        <v>749</v>
      </c>
      <c r="C274" s="86" t="s">
        <v>1674</v>
      </c>
      <c r="D274" t="str">
        <f t="shared" si="12"/>
        <v>teruel</v>
      </c>
      <c r="E274" t="str">
        <f t="shared" si="13"/>
        <v>huila</v>
      </c>
      <c r="F274" t="str">
        <f t="shared" si="14"/>
        <v>teruel|huila</v>
      </c>
    </row>
    <row r="275" spans="1:6" ht="38.25" customHeight="1" x14ac:dyDescent="0.25">
      <c r="A275" s="85" t="s">
        <v>42</v>
      </c>
      <c r="B275" s="85" t="s">
        <v>1590</v>
      </c>
      <c r="C275" s="85" t="s">
        <v>1675</v>
      </c>
      <c r="D275" t="str">
        <f t="shared" si="12"/>
        <v>tibu</v>
      </c>
      <c r="E275" t="str">
        <f t="shared" si="13"/>
        <v>norte de santander</v>
      </c>
      <c r="F275" t="str">
        <f t="shared" si="14"/>
        <v>tibu|norte de santander</v>
      </c>
    </row>
    <row r="276" spans="1:6" ht="25.5" customHeight="1" x14ac:dyDescent="0.25">
      <c r="A276" s="86" t="s">
        <v>42</v>
      </c>
      <c r="B276" s="86" t="s">
        <v>844</v>
      </c>
      <c r="C276" s="86" t="s">
        <v>1449</v>
      </c>
      <c r="D276" t="str">
        <f t="shared" si="12"/>
        <v>toledo</v>
      </c>
      <c r="E276" t="str">
        <f t="shared" si="13"/>
        <v>norte de santander</v>
      </c>
      <c r="F276" t="str">
        <f t="shared" si="14"/>
        <v>toledo|norte de santander</v>
      </c>
    </row>
    <row r="277" spans="1:6" ht="25.5" customHeight="1" x14ac:dyDescent="0.25">
      <c r="A277" s="85" t="s">
        <v>49</v>
      </c>
      <c r="B277" s="85" t="s">
        <v>479</v>
      </c>
      <c r="C277" s="85" t="s">
        <v>1676</v>
      </c>
      <c r="D277" t="str">
        <f t="shared" si="12"/>
        <v>trujillo</v>
      </c>
      <c r="E277" t="str">
        <f t="shared" si="13"/>
        <v>valle del cauca</v>
      </c>
      <c r="F277" t="str">
        <f t="shared" si="14"/>
        <v>trujillo|valle del cauca</v>
      </c>
    </row>
    <row r="278" spans="1:6" ht="25.5" customHeight="1" x14ac:dyDescent="0.25">
      <c r="A278" s="86" t="s">
        <v>49</v>
      </c>
      <c r="B278" s="86" t="s">
        <v>1013</v>
      </c>
      <c r="C278" s="86" t="s">
        <v>1396</v>
      </c>
      <c r="D278" t="str">
        <f t="shared" si="12"/>
        <v>tulua</v>
      </c>
      <c r="E278" t="str">
        <f t="shared" si="13"/>
        <v>valle del cauca</v>
      </c>
      <c r="F278" t="str">
        <f t="shared" si="14"/>
        <v>tulua|valle del cauca</v>
      </c>
    </row>
    <row r="279" spans="1:6" ht="15" customHeight="1" x14ac:dyDescent="0.25">
      <c r="A279" s="85" t="s">
        <v>49</v>
      </c>
      <c r="B279" s="85" t="s">
        <v>1013</v>
      </c>
      <c r="C279" s="85" t="s">
        <v>1677</v>
      </c>
      <c r="D279" t="str">
        <f t="shared" si="12"/>
        <v>tulua</v>
      </c>
      <c r="E279" t="str">
        <f t="shared" si="13"/>
        <v>valle del cauca</v>
      </c>
      <c r="F279" t="str">
        <f t="shared" si="14"/>
        <v>tulua|valle del cauca</v>
      </c>
    </row>
    <row r="280" spans="1:6" ht="15" customHeight="1" x14ac:dyDescent="0.25">
      <c r="A280" s="85" t="s">
        <v>41</v>
      </c>
      <c r="B280" s="85" t="s">
        <v>1592</v>
      </c>
      <c r="C280" s="85" t="s">
        <v>1678</v>
      </c>
      <c r="D280" t="str">
        <f t="shared" si="12"/>
        <v>tuquerres</v>
      </c>
      <c r="E280" t="str">
        <f t="shared" si="13"/>
        <v>narino</v>
      </c>
      <c r="F280" t="str">
        <f t="shared" si="14"/>
        <v>tuquerres|narino</v>
      </c>
    </row>
    <row r="281" spans="1:6" ht="15" customHeight="1" x14ac:dyDescent="0.25">
      <c r="A281" s="86" t="s">
        <v>41</v>
      </c>
      <c r="B281" s="86" t="s">
        <v>1592</v>
      </c>
      <c r="C281" s="86" t="s">
        <v>1679</v>
      </c>
      <c r="D281" t="str">
        <f t="shared" si="12"/>
        <v>tuquerres</v>
      </c>
      <c r="E281" t="str">
        <f t="shared" si="13"/>
        <v>narino</v>
      </c>
      <c r="F281" t="str">
        <f t="shared" si="14"/>
        <v>tuquerres|narino</v>
      </c>
    </row>
    <row r="282" spans="1:6" ht="25.5" customHeight="1" x14ac:dyDescent="0.25">
      <c r="A282" s="85" t="s">
        <v>35</v>
      </c>
      <c r="B282" s="85" t="s">
        <v>269</v>
      </c>
      <c r="C282" s="85" t="s">
        <v>1680</v>
      </c>
      <c r="D282" t="str">
        <f t="shared" si="12"/>
        <v>ubala</v>
      </c>
      <c r="E282" t="str">
        <f t="shared" si="13"/>
        <v>cundinamarca</v>
      </c>
      <c r="F282" t="str">
        <f t="shared" si="14"/>
        <v>ubala|cundinamarca</v>
      </c>
    </row>
    <row r="283" spans="1:6" ht="25.5" customHeight="1" x14ac:dyDescent="0.25">
      <c r="A283" s="86" t="s">
        <v>49</v>
      </c>
      <c r="B283" s="86" t="s">
        <v>484</v>
      </c>
      <c r="C283" s="86" t="s">
        <v>1681</v>
      </c>
      <c r="D283" t="str">
        <f t="shared" si="12"/>
        <v>ulloa</v>
      </c>
      <c r="E283" t="str">
        <f t="shared" si="13"/>
        <v>valle del cauca</v>
      </c>
      <c r="F283" t="str">
        <f t="shared" si="14"/>
        <v>ulloa|valle del cauca</v>
      </c>
    </row>
    <row r="284" spans="1:6" ht="15" customHeight="1" x14ac:dyDescent="0.25">
      <c r="A284" s="86" t="s">
        <v>31</v>
      </c>
      <c r="B284" s="86" t="s">
        <v>1241</v>
      </c>
      <c r="C284" s="86" t="s">
        <v>1682</v>
      </c>
      <c r="D284" t="str">
        <f t="shared" si="12"/>
        <v>unguia</v>
      </c>
      <c r="E284" t="str">
        <f t="shared" si="13"/>
        <v>choco</v>
      </c>
      <c r="F284" t="str">
        <f t="shared" si="14"/>
        <v>unguia|choco</v>
      </c>
    </row>
    <row r="285" spans="1:6" ht="15" customHeight="1" x14ac:dyDescent="0.25">
      <c r="A285" s="85" t="s">
        <v>31</v>
      </c>
      <c r="B285" s="85" t="s">
        <v>1241</v>
      </c>
      <c r="C285" s="85" t="s">
        <v>1683</v>
      </c>
      <c r="D285" t="str">
        <f t="shared" si="12"/>
        <v>unguia</v>
      </c>
      <c r="E285" t="str">
        <f t="shared" si="13"/>
        <v>choco</v>
      </c>
      <c r="F285" t="str">
        <f t="shared" si="14"/>
        <v>unguia|choco</v>
      </c>
    </row>
    <row r="286" spans="1:6" ht="25.5" customHeight="1" x14ac:dyDescent="0.25">
      <c r="A286" s="86" t="s">
        <v>31</v>
      </c>
      <c r="B286" s="86" t="s">
        <v>610</v>
      </c>
      <c r="C286" s="86" t="s">
        <v>1684</v>
      </c>
      <c r="D286" t="str">
        <f t="shared" si="12"/>
        <v>union panamericana</v>
      </c>
      <c r="E286" t="str">
        <f t="shared" si="13"/>
        <v>choco</v>
      </c>
      <c r="F286" t="str">
        <f t="shared" si="14"/>
        <v>union panamericana|choco</v>
      </c>
    </row>
    <row r="287" spans="1:6" ht="25.5" customHeight="1" x14ac:dyDescent="0.25">
      <c r="A287" s="86" t="s">
        <v>1376</v>
      </c>
      <c r="B287" s="86" t="s">
        <v>1595</v>
      </c>
      <c r="C287" s="86" t="s">
        <v>1685</v>
      </c>
      <c r="D287" t="str">
        <f t="shared" si="12"/>
        <v>uribia</v>
      </c>
      <c r="E287" t="str">
        <f t="shared" si="13"/>
        <v>guajira</v>
      </c>
      <c r="F287" t="str">
        <f t="shared" si="14"/>
        <v>uribia|guajira</v>
      </c>
    </row>
    <row r="288" spans="1:6" ht="25.5" customHeight="1" x14ac:dyDescent="0.25">
      <c r="A288" s="85" t="s">
        <v>1376</v>
      </c>
      <c r="B288" s="85" t="s">
        <v>1595</v>
      </c>
      <c r="C288" s="85" t="s">
        <v>1686</v>
      </c>
      <c r="D288" t="str">
        <f t="shared" si="12"/>
        <v>uribia</v>
      </c>
      <c r="E288" t="str">
        <f t="shared" si="13"/>
        <v>guajira</v>
      </c>
      <c r="F288" t="str">
        <f t="shared" si="14"/>
        <v>uribia|guajira</v>
      </c>
    </row>
    <row r="289" spans="1:6" ht="25.5" customHeight="1" x14ac:dyDescent="0.25">
      <c r="A289" s="86" t="s">
        <v>1376</v>
      </c>
      <c r="B289" s="86" t="s">
        <v>1595</v>
      </c>
      <c r="C289" s="86" t="s">
        <v>1687</v>
      </c>
      <c r="D289" t="str">
        <f t="shared" si="12"/>
        <v>uribia</v>
      </c>
      <c r="E289" t="str">
        <f t="shared" si="13"/>
        <v>guajira</v>
      </c>
      <c r="F289" t="str">
        <f t="shared" si="14"/>
        <v>uribia|guajira</v>
      </c>
    </row>
    <row r="290" spans="1:6" ht="38.25" customHeight="1" x14ac:dyDescent="0.25">
      <c r="A290" s="85" t="s">
        <v>1376</v>
      </c>
      <c r="B290" s="85" t="s">
        <v>1595</v>
      </c>
      <c r="C290" s="85" t="s">
        <v>1688</v>
      </c>
      <c r="D290" t="str">
        <f t="shared" si="12"/>
        <v>uribia</v>
      </c>
      <c r="E290" t="str">
        <f t="shared" si="13"/>
        <v>guajira</v>
      </c>
      <c r="F290" t="str">
        <f t="shared" si="14"/>
        <v>uribia|guajira</v>
      </c>
    </row>
    <row r="291" spans="1:6" ht="15" customHeight="1" x14ac:dyDescent="0.25">
      <c r="A291" s="86" t="s">
        <v>1376</v>
      </c>
      <c r="B291" s="86" t="s">
        <v>1595</v>
      </c>
      <c r="C291" s="86" t="s">
        <v>1689</v>
      </c>
      <c r="D291" t="str">
        <f t="shared" si="12"/>
        <v>uribia</v>
      </c>
      <c r="E291" t="str">
        <f t="shared" si="13"/>
        <v>guajira</v>
      </c>
      <c r="F291" t="str">
        <f t="shared" si="14"/>
        <v>uribia|guajira</v>
      </c>
    </row>
    <row r="292" spans="1:6" ht="25.5" customHeight="1" x14ac:dyDescent="0.25">
      <c r="A292" s="85" t="s">
        <v>1376</v>
      </c>
      <c r="B292" s="85" t="s">
        <v>1595</v>
      </c>
      <c r="C292" s="85" t="s">
        <v>1690</v>
      </c>
      <c r="D292" t="str">
        <f t="shared" si="12"/>
        <v>uribia</v>
      </c>
      <c r="E292" t="str">
        <f t="shared" si="13"/>
        <v>guajira</v>
      </c>
      <c r="F292" t="str">
        <f t="shared" si="14"/>
        <v>uribia|guajira</v>
      </c>
    </row>
    <row r="293" spans="1:6" ht="25.5" customHeight="1" x14ac:dyDescent="0.25">
      <c r="A293" s="86" t="s">
        <v>1376</v>
      </c>
      <c r="B293" s="86" t="s">
        <v>1595</v>
      </c>
      <c r="C293" s="86" t="s">
        <v>1691</v>
      </c>
      <c r="D293" t="str">
        <f t="shared" si="12"/>
        <v>uribia</v>
      </c>
      <c r="E293" t="str">
        <f t="shared" si="13"/>
        <v>guajira</v>
      </c>
      <c r="F293" t="str">
        <f t="shared" si="14"/>
        <v>uribia|guajira</v>
      </c>
    </row>
    <row r="294" spans="1:6" ht="25.5" customHeight="1" x14ac:dyDescent="0.25">
      <c r="A294" s="86" t="s">
        <v>46</v>
      </c>
      <c r="B294" s="86" t="s">
        <v>1597</v>
      </c>
      <c r="C294" s="86" t="s">
        <v>1692</v>
      </c>
      <c r="D294" t="str">
        <f t="shared" si="12"/>
        <v>valle de san jose</v>
      </c>
      <c r="E294" t="str">
        <f t="shared" si="13"/>
        <v>santander</v>
      </c>
      <c r="F294" t="str">
        <f t="shared" si="14"/>
        <v>valle de san jose|santander</v>
      </c>
    </row>
    <row r="295" spans="1:6" ht="25.5" customHeight="1" x14ac:dyDescent="0.25">
      <c r="A295" s="86" t="s">
        <v>48</v>
      </c>
      <c r="B295" s="86" t="s">
        <v>508</v>
      </c>
      <c r="C295" s="86" t="s">
        <v>1693</v>
      </c>
      <c r="D295" t="str">
        <f t="shared" si="12"/>
        <v>venadillo</v>
      </c>
      <c r="E295" t="str">
        <f t="shared" si="13"/>
        <v>tolima</v>
      </c>
      <c r="F295" t="str">
        <f t="shared" si="14"/>
        <v>venadillo|tolima</v>
      </c>
    </row>
    <row r="296" spans="1:6" ht="15" customHeight="1" x14ac:dyDescent="0.25">
      <c r="A296" s="85" t="s">
        <v>49</v>
      </c>
      <c r="B296" s="85" t="s">
        <v>272</v>
      </c>
      <c r="C296" s="85" t="s">
        <v>1406</v>
      </c>
      <c r="D296" t="str">
        <f t="shared" si="12"/>
        <v>vijes</v>
      </c>
      <c r="E296" t="str">
        <f t="shared" si="13"/>
        <v>valle del cauca</v>
      </c>
      <c r="F296" t="str">
        <f t="shared" si="14"/>
        <v>vijes|valle del cauca</v>
      </c>
    </row>
    <row r="297" spans="1:6" ht="25.5" customHeight="1" x14ac:dyDescent="0.25">
      <c r="A297" s="85" t="s">
        <v>48</v>
      </c>
      <c r="B297" s="85" t="s">
        <v>511</v>
      </c>
      <c r="C297" s="85" t="s">
        <v>1694</v>
      </c>
      <c r="D297" t="str">
        <f t="shared" si="12"/>
        <v>villarrica</v>
      </c>
      <c r="E297" t="str">
        <f t="shared" si="13"/>
        <v>tolima</v>
      </c>
      <c r="F297" t="str">
        <f t="shared" si="14"/>
        <v>villarrica|tolima</v>
      </c>
    </row>
    <row r="298" spans="1:6" ht="25.5" customHeight="1" x14ac:dyDescent="0.25">
      <c r="A298" s="85" t="s">
        <v>40</v>
      </c>
      <c r="B298" s="85" t="s">
        <v>1140</v>
      </c>
      <c r="C298" s="85" t="s">
        <v>1695</v>
      </c>
      <c r="D298" t="str">
        <f t="shared" si="12"/>
        <v>villavicencio</v>
      </c>
      <c r="E298" t="str">
        <f t="shared" si="13"/>
        <v>meta</v>
      </c>
      <c r="F298" t="str">
        <f t="shared" si="14"/>
        <v>villavicencio|meta</v>
      </c>
    </row>
    <row r="299" spans="1:6" ht="25.5" customHeight="1" x14ac:dyDescent="0.25">
      <c r="A299" s="86" t="s">
        <v>40</v>
      </c>
      <c r="B299" s="86" t="s">
        <v>1140</v>
      </c>
      <c r="C299" s="86" t="s">
        <v>1461</v>
      </c>
      <c r="D299" t="str">
        <f t="shared" si="12"/>
        <v>villavicencio</v>
      </c>
      <c r="E299" t="str">
        <f t="shared" si="13"/>
        <v>meta</v>
      </c>
      <c r="F299" t="str">
        <f t="shared" si="14"/>
        <v>villavicencio|meta</v>
      </c>
    </row>
    <row r="300" spans="1:6" ht="25.5" customHeight="1" x14ac:dyDescent="0.25">
      <c r="A300" s="85" t="s">
        <v>40</v>
      </c>
      <c r="B300" s="85" t="s">
        <v>1140</v>
      </c>
      <c r="C300" s="85" t="s">
        <v>1696</v>
      </c>
      <c r="D300" t="str">
        <f t="shared" si="12"/>
        <v>villavicencio</v>
      </c>
      <c r="E300" t="str">
        <f t="shared" si="13"/>
        <v>meta</v>
      </c>
      <c r="F300" t="str">
        <f t="shared" si="14"/>
        <v>villavicencio|meta</v>
      </c>
    </row>
    <row r="301" spans="1:6" ht="15" customHeight="1" x14ac:dyDescent="0.25">
      <c r="A301" s="86" t="s">
        <v>40</v>
      </c>
      <c r="B301" s="86" t="s">
        <v>1140</v>
      </c>
      <c r="C301" s="86" t="s">
        <v>1697</v>
      </c>
      <c r="D301" t="str">
        <f t="shared" si="12"/>
        <v>villavicencio</v>
      </c>
      <c r="E301" t="str">
        <f t="shared" si="13"/>
        <v>meta</v>
      </c>
      <c r="F301" t="str">
        <f t="shared" si="14"/>
        <v>villavicencio|meta</v>
      </c>
    </row>
    <row r="302" spans="1:6" ht="15" customHeight="1" x14ac:dyDescent="0.25">
      <c r="A302" s="86" t="s">
        <v>40</v>
      </c>
      <c r="B302" s="86" t="s">
        <v>1601</v>
      </c>
      <c r="C302" s="86" t="s">
        <v>1698</v>
      </c>
      <c r="D302" t="str">
        <f t="shared" si="12"/>
        <v>vista hermosa</v>
      </c>
      <c r="E302" t="str">
        <f t="shared" si="13"/>
        <v>meta</v>
      </c>
      <c r="F302" t="str">
        <f t="shared" si="14"/>
        <v>vista hermosa|meta</v>
      </c>
    </row>
    <row r="303" spans="1:6" ht="15" customHeight="1" x14ac:dyDescent="0.25">
      <c r="A303" s="85" t="s">
        <v>40</v>
      </c>
      <c r="B303" s="85" t="s">
        <v>1601</v>
      </c>
      <c r="C303" s="85" t="s">
        <v>1699</v>
      </c>
      <c r="D303" t="str">
        <f t="shared" si="12"/>
        <v>vista hermosa</v>
      </c>
      <c r="E303" t="str">
        <f t="shared" si="13"/>
        <v>meta</v>
      </c>
      <c r="F303" t="str">
        <f t="shared" si="14"/>
        <v>vista hermosa|meta</v>
      </c>
    </row>
    <row r="304" spans="1:6" ht="25.5" customHeight="1" x14ac:dyDescent="0.25">
      <c r="A304" s="86" t="s">
        <v>40</v>
      </c>
      <c r="B304" s="86" t="s">
        <v>1601</v>
      </c>
      <c r="C304" s="86" t="s">
        <v>1700</v>
      </c>
      <c r="D304" t="str">
        <f t="shared" si="12"/>
        <v>vista hermosa</v>
      </c>
      <c r="E304" t="str">
        <f t="shared" si="13"/>
        <v>meta</v>
      </c>
      <c r="F304" t="str">
        <f t="shared" si="14"/>
        <v>vista hermosa|meta</v>
      </c>
    </row>
    <row r="305" spans="1:6" ht="25.5" customHeight="1" x14ac:dyDescent="0.25">
      <c r="A305" s="85" t="s">
        <v>37</v>
      </c>
      <c r="B305" s="85" t="s">
        <v>1603</v>
      </c>
      <c r="C305" s="85" t="s">
        <v>1701</v>
      </c>
      <c r="D305" t="str">
        <f t="shared" si="12"/>
        <v>yaguara</v>
      </c>
      <c r="E305" t="str">
        <f t="shared" si="13"/>
        <v>huila</v>
      </c>
      <c r="F305" t="str">
        <f t="shared" si="14"/>
        <v>yaguara|huila</v>
      </c>
    </row>
    <row r="306" spans="1:6" ht="15" customHeight="1" x14ac:dyDescent="0.25">
      <c r="A306" s="86" t="s">
        <v>49</v>
      </c>
      <c r="B306" s="86" t="s">
        <v>979</v>
      </c>
      <c r="C306" s="86" t="s">
        <v>1702</v>
      </c>
      <c r="D306" t="str">
        <f t="shared" si="12"/>
        <v>yumbo</v>
      </c>
      <c r="E306" t="str">
        <f t="shared" si="13"/>
        <v>valle del cauca</v>
      </c>
      <c r="F306" t="str">
        <f t="shared" si="14"/>
        <v>yumbo|valle del cauca</v>
      </c>
    </row>
    <row r="307" spans="1:6" ht="15" customHeight="1" x14ac:dyDescent="0.25">
      <c r="A307" s="85" t="s">
        <v>49</v>
      </c>
      <c r="B307" s="85" t="s">
        <v>979</v>
      </c>
      <c r="C307" s="85" t="s">
        <v>1703</v>
      </c>
      <c r="D307" t="str">
        <f t="shared" si="12"/>
        <v>yumbo</v>
      </c>
      <c r="E307" t="str">
        <f t="shared" si="13"/>
        <v>valle del cauca</v>
      </c>
      <c r="F307" t="str">
        <f t="shared" si="14"/>
        <v>yumbo|valle del cauca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26"/>
  <sheetViews>
    <sheetView topLeftCell="A494" zoomScaleNormal="100" workbookViewId="0">
      <selection activeCell="H1085" sqref="H1085"/>
    </sheetView>
  </sheetViews>
  <sheetFormatPr baseColWidth="10" defaultColWidth="9.140625" defaultRowHeight="15" x14ac:dyDescent="0.25"/>
  <cols>
    <col min="1" max="1" width="37.140625" style="87" customWidth="1"/>
    <col min="2" max="2" width="29.5703125" style="87" customWidth="1"/>
    <col min="3" max="4" width="11.42578125" style="88" customWidth="1"/>
    <col min="5" max="5" width="19.28515625" style="89" customWidth="1"/>
    <col min="6" max="6" width="33.28515625" style="89" customWidth="1"/>
    <col min="7" max="7" width="7.7109375" customWidth="1"/>
    <col min="8" max="8" width="7.42578125" customWidth="1"/>
    <col min="9" max="9" width="11.140625" customWidth="1"/>
  </cols>
  <sheetData>
    <row r="1" spans="1:9" ht="15" customHeight="1" x14ac:dyDescent="0.25">
      <c r="A1" s="87" t="s">
        <v>3</v>
      </c>
      <c r="B1" s="87" t="s">
        <v>56</v>
      </c>
      <c r="C1" s="88" t="s">
        <v>1704</v>
      </c>
      <c r="D1" s="88" t="s">
        <v>32</v>
      </c>
      <c r="E1" s="89" t="s">
        <v>1705</v>
      </c>
      <c r="F1" s="89" t="s">
        <v>1706</v>
      </c>
      <c r="G1" t="s">
        <v>1707</v>
      </c>
      <c r="H1" t="s">
        <v>1708</v>
      </c>
      <c r="I1" t="s">
        <v>1709</v>
      </c>
    </row>
    <row r="2" spans="1:9" ht="15" customHeight="1" x14ac:dyDescent="0.25">
      <c r="A2" s="87" t="s">
        <v>1710</v>
      </c>
      <c r="B2" s="87" t="s">
        <v>1711</v>
      </c>
      <c r="C2" s="88">
        <v>0</v>
      </c>
      <c r="D2" s="88">
        <v>0</v>
      </c>
    </row>
    <row r="3" spans="1:9" ht="15" customHeight="1" x14ac:dyDescent="0.25">
      <c r="A3" s="87" t="s">
        <v>1710</v>
      </c>
      <c r="B3" s="87" t="s">
        <v>1712</v>
      </c>
      <c r="C3" s="88">
        <v>0</v>
      </c>
      <c r="D3" s="88">
        <v>0</v>
      </c>
    </row>
    <row r="4" spans="1:9" ht="15" customHeight="1" x14ac:dyDescent="0.25">
      <c r="A4" s="87" t="s">
        <v>1710</v>
      </c>
      <c r="B4" s="87" t="s">
        <v>1713</v>
      </c>
      <c r="C4" s="88">
        <v>0</v>
      </c>
      <c r="D4" s="88">
        <v>0</v>
      </c>
    </row>
    <row r="5" spans="1:9" ht="15" customHeight="1" x14ac:dyDescent="0.25">
      <c r="A5" s="87" t="s">
        <v>1710</v>
      </c>
      <c r="B5" s="87" t="s">
        <v>1714</v>
      </c>
      <c r="C5" s="88">
        <v>0</v>
      </c>
      <c r="D5" s="88">
        <v>0</v>
      </c>
    </row>
    <row r="6" spans="1:9" ht="15" customHeight="1" x14ac:dyDescent="0.25">
      <c r="A6" s="87" t="s">
        <v>1710</v>
      </c>
      <c r="B6" s="87" t="s">
        <v>1715</v>
      </c>
      <c r="C6" s="88">
        <v>0</v>
      </c>
      <c r="D6" s="88">
        <v>0</v>
      </c>
    </row>
    <row r="7" spans="1:9" ht="15" customHeight="1" x14ac:dyDescent="0.25">
      <c r="A7" s="87" t="s">
        <v>1710</v>
      </c>
      <c r="B7" s="87" t="s">
        <v>1010</v>
      </c>
      <c r="C7" s="88">
        <v>0</v>
      </c>
      <c r="D7" s="88">
        <v>0</v>
      </c>
    </row>
    <row r="8" spans="1:9" ht="15" customHeight="1" x14ac:dyDescent="0.25">
      <c r="A8" s="87" t="s">
        <v>1710</v>
      </c>
      <c r="B8" s="87" t="s">
        <v>1716</v>
      </c>
      <c r="C8" s="88">
        <v>0</v>
      </c>
      <c r="D8" s="88">
        <v>0</v>
      </c>
    </row>
    <row r="9" spans="1:9" ht="15" customHeight="1" x14ac:dyDescent="0.25">
      <c r="A9" s="87" t="s">
        <v>1710</v>
      </c>
      <c r="B9" s="87" t="s">
        <v>1717</v>
      </c>
      <c r="C9" s="88">
        <v>0</v>
      </c>
      <c r="D9" s="88">
        <v>0</v>
      </c>
    </row>
    <row r="10" spans="1:9" ht="15" customHeight="1" x14ac:dyDescent="0.25">
      <c r="A10" s="87" t="s">
        <v>1710</v>
      </c>
      <c r="B10" s="87" t="s">
        <v>1718</v>
      </c>
      <c r="C10" s="88">
        <v>0</v>
      </c>
      <c r="D10" s="88">
        <v>0</v>
      </c>
    </row>
    <row r="11" spans="1:9" ht="15" customHeight="1" x14ac:dyDescent="0.25">
      <c r="A11" s="87" t="s">
        <v>1710</v>
      </c>
      <c r="B11" s="87" t="s">
        <v>1719</v>
      </c>
      <c r="C11" s="88">
        <v>0</v>
      </c>
      <c r="D11" s="88">
        <v>0</v>
      </c>
    </row>
    <row r="12" spans="1:9" ht="15" customHeight="1" x14ac:dyDescent="0.25">
      <c r="A12" s="87" t="s">
        <v>1710</v>
      </c>
      <c r="B12" s="87" t="s">
        <v>1720</v>
      </c>
      <c r="C12" s="88">
        <v>0</v>
      </c>
      <c r="D12" s="88">
        <v>0</v>
      </c>
    </row>
    <row r="13" spans="1:9" ht="15" customHeight="1" x14ac:dyDescent="0.25">
      <c r="A13" s="87" t="s">
        <v>10</v>
      </c>
      <c r="B13" s="87" t="s">
        <v>358</v>
      </c>
      <c r="C13" s="88">
        <v>0</v>
      </c>
      <c r="D13" s="88">
        <v>0</v>
      </c>
    </row>
    <row r="14" spans="1:9" ht="15" customHeight="1" x14ac:dyDescent="0.25">
      <c r="A14" s="87" t="s">
        <v>10</v>
      </c>
      <c r="B14" s="87" t="s">
        <v>1721</v>
      </c>
      <c r="C14" s="88">
        <v>0</v>
      </c>
      <c r="D14" s="88">
        <v>0</v>
      </c>
    </row>
    <row r="15" spans="1:9" ht="15" customHeight="1" x14ac:dyDescent="0.25">
      <c r="A15" s="87" t="s">
        <v>10</v>
      </c>
      <c r="B15" s="87" t="s">
        <v>866</v>
      </c>
      <c r="C15" s="88">
        <v>0</v>
      </c>
      <c r="D15" s="88">
        <v>0</v>
      </c>
    </row>
    <row r="16" spans="1:9" ht="15" customHeight="1" x14ac:dyDescent="0.25">
      <c r="A16" s="87" t="s">
        <v>10</v>
      </c>
      <c r="B16" s="87" t="s">
        <v>616</v>
      </c>
      <c r="C16" s="88">
        <v>0</v>
      </c>
      <c r="D16" s="88">
        <v>0</v>
      </c>
    </row>
    <row r="17" spans="1:4" ht="15" customHeight="1" x14ac:dyDescent="0.25">
      <c r="A17" s="87" t="s">
        <v>10</v>
      </c>
      <c r="B17" s="87" t="s">
        <v>868</v>
      </c>
      <c r="C17" s="88">
        <v>0</v>
      </c>
      <c r="D17" s="88">
        <v>0</v>
      </c>
    </row>
    <row r="18" spans="1:4" ht="15" customHeight="1" x14ac:dyDescent="0.25">
      <c r="A18" s="87" t="s">
        <v>10</v>
      </c>
      <c r="B18" s="87" t="s">
        <v>181</v>
      </c>
      <c r="C18" s="88">
        <v>0</v>
      </c>
      <c r="D18" s="88">
        <v>0</v>
      </c>
    </row>
    <row r="19" spans="1:4" ht="15" customHeight="1" x14ac:dyDescent="0.25">
      <c r="A19" s="87" t="s">
        <v>10</v>
      </c>
      <c r="B19" s="87" t="s">
        <v>870</v>
      </c>
      <c r="C19" s="88">
        <v>0</v>
      </c>
      <c r="D19" s="88">
        <v>0</v>
      </c>
    </row>
    <row r="20" spans="1:4" ht="15" customHeight="1" x14ac:dyDescent="0.25">
      <c r="A20" s="87" t="s">
        <v>10</v>
      </c>
      <c r="B20" s="87" t="s">
        <v>872</v>
      </c>
      <c r="C20" s="88">
        <v>0</v>
      </c>
      <c r="D20" s="88">
        <v>0</v>
      </c>
    </row>
    <row r="21" spans="1:4" ht="15" customHeight="1" x14ac:dyDescent="0.25">
      <c r="A21" s="87" t="s">
        <v>10</v>
      </c>
      <c r="B21" s="87" t="s">
        <v>1722</v>
      </c>
      <c r="C21" s="88">
        <v>0</v>
      </c>
      <c r="D21" s="88">
        <v>0</v>
      </c>
    </row>
    <row r="22" spans="1:4" ht="15" customHeight="1" x14ac:dyDescent="0.25">
      <c r="A22" s="87" t="s">
        <v>10</v>
      </c>
      <c r="B22" s="87" t="s">
        <v>618</v>
      </c>
      <c r="C22" s="88">
        <v>0</v>
      </c>
      <c r="D22" s="88">
        <v>0</v>
      </c>
    </row>
    <row r="23" spans="1:4" ht="15" customHeight="1" x14ac:dyDescent="0.25">
      <c r="A23" s="87" t="s">
        <v>10</v>
      </c>
      <c r="B23" s="87" t="s">
        <v>620</v>
      </c>
      <c r="C23" s="88">
        <v>0</v>
      </c>
      <c r="D23" s="88">
        <v>0</v>
      </c>
    </row>
    <row r="24" spans="1:4" ht="15" customHeight="1" x14ac:dyDescent="0.25">
      <c r="A24" s="87" t="s">
        <v>10</v>
      </c>
      <c r="B24" s="87" t="s">
        <v>1723</v>
      </c>
      <c r="C24" s="88">
        <v>0</v>
      </c>
      <c r="D24" s="88">
        <v>0</v>
      </c>
    </row>
    <row r="25" spans="1:4" ht="15" customHeight="1" x14ac:dyDescent="0.25">
      <c r="A25" s="87" t="s">
        <v>10</v>
      </c>
      <c r="B25" s="87" t="s">
        <v>224</v>
      </c>
      <c r="C25" s="88">
        <v>0</v>
      </c>
      <c r="D25" s="88">
        <v>0</v>
      </c>
    </row>
    <row r="26" spans="1:4" ht="15" customHeight="1" x14ac:dyDescent="0.25">
      <c r="A26" s="87" t="s">
        <v>10</v>
      </c>
      <c r="B26" s="87" t="s">
        <v>1724</v>
      </c>
      <c r="C26" s="88">
        <v>3</v>
      </c>
      <c r="D26" s="88">
        <v>0</v>
      </c>
    </row>
    <row r="27" spans="1:4" ht="15" customHeight="1" x14ac:dyDescent="0.25">
      <c r="A27" s="87" t="s">
        <v>10</v>
      </c>
      <c r="B27" s="87" t="s">
        <v>876</v>
      </c>
      <c r="C27" s="88">
        <v>0</v>
      </c>
      <c r="D27" s="88">
        <v>0</v>
      </c>
    </row>
    <row r="28" spans="1:4" ht="15" customHeight="1" x14ac:dyDescent="0.25">
      <c r="A28" s="87" t="s">
        <v>10</v>
      </c>
      <c r="B28" s="87" t="s">
        <v>1106</v>
      </c>
      <c r="C28" s="88">
        <v>0</v>
      </c>
      <c r="D28" s="88">
        <v>0</v>
      </c>
    </row>
    <row r="29" spans="1:4" ht="15" customHeight="1" x14ac:dyDescent="0.25">
      <c r="A29" s="87" t="s">
        <v>10</v>
      </c>
      <c r="B29" s="87" t="s">
        <v>1725</v>
      </c>
      <c r="C29" s="88">
        <v>0</v>
      </c>
      <c r="D29" s="88">
        <v>0</v>
      </c>
    </row>
    <row r="30" spans="1:4" ht="15" customHeight="1" x14ac:dyDescent="0.25">
      <c r="A30" s="87" t="s">
        <v>10</v>
      </c>
      <c r="B30" s="87" t="s">
        <v>881</v>
      </c>
      <c r="C30" s="88">
        <v>0</v>
      </c>
      <c r="D30" s="88">
        <v>0</v>
      </c>
    </row>
    <row r="31" spans="1:4" ht="15" customHeight="1" x14ac:dyDescent="0.25">
      <c r="A31" s="87" t="s">
        <v>10</v>
      </c>
      <c r="B31" s="87" t="s">
        <v>883</v>
      </c>
      <c r="C31" s="88">
        <v>0</v>
      </c>
      <c r="D31" s="88">
        <v>0</v>
      </c>
    </row>
    <row r="32" spans="1:4" ht="15" customHeight="1" x14ac:dyDescent="0.25">
      <c r="A32" s="87" t="s">
        <v>10</v>
      </c>
      <c r="B32" s="87" t="s">
        <v>1726</v>
      </c>
      <c r="C32" s="88">
        <v>0</v>
      </c>
      <c r="D32" s="88">
        <v>0</v>
      </c>
    </row>
    <row r="33" spans="1:4" ht="15" customHeight="1" x14ac:dyDescent="0.25">
      <c r="A33" s="87" t="s">
        <v>10</v>
      </c>
      <c r="B33" s="87" t="s">
        <v>1727</v>
      </c>
      <c r="C33" s="88">
        <v>0</v>
      </c>
      <c r="D33" s="88">
        <v>0</v>
      </c>
    </row>
    <row r="34" spans="1:4" ht="15" customHeight="1" x14ac:dyDescent="0.25">
      <c r="A34" s="87" t="s">
        <v>10</v>
      </c>
      <c r="B34" s="87" t="s">
        <v>1728</v>
      </c>
      <c r="C34" s="88">
        <v>0</v>
      </c>
      <c r="D34" s="88">
        <v>0</v>
      </c>
    </row>
    <row r="35" spans="1:4" ht="15" customHeight="1" x14ac:dyDescent="0.25">
      <c r="A35" s="87" t="s">
        <v>10</v>
      </c>
      <c r="B35" s="87" t="s">
        <v>885</v>
      </c>
      <c r="C35" s="88">
        <v>0</v>
      </c>
      <c r="D35" s="88">
        <v>0</v>
      </c>
    </row>
    <row r="36" spans="1:4" ht="15" customHeight="1" x14ac:dyDescent="0.25">
      <c r="A36" s="87" t="s">
        <v>10</v>
      </c>
      <c r="B36" s="87" t="s">
        <v>24</v>
      </c>
      <c r="C36" s="88">
        <v>0</v>
      </c>
      <c r="D36" s="88">
        <v>0</v>
      </c>
    </row>
    <row r="37" spans="1:4" ht="15" customHeight="1" x14ac:dyDescent="0.25">
      <c r="A37" s="87" t="s">
        <v>10</v>
      </c>
      <c r="B37" s="87" t="s">
        <v>890</v>
      </c>
      <c r="C37" s="88">
        <v>0</v>
      </c>
      <c r="D37" s="88">
        <v>0</v>
      </c>
    </row>
    <row r="38" spans="1:4" ht="15" customHeight="1" x14ac:dyDescent="0.25">
      <c r="A38" s="87" t="s">
        <v>10</v>
      </c>
      <c r="B38" s="87" t="s">
        <v>623</v>
      </c>
      <c r="C38" s="88">
        <v>0</v>
      </c>
      <c r="D38" s="88">
        <v>0</v>
      </c>
    </row>
    <row r="39" spans="1:4" ht="15" customHeight="1" x14ac:dyDescent="0.25">
      <c r="A39" s="87" t="s">
        <v>10</v>
      </c>
      <c r="B39" s="87" t="s">
        <v>892</v>
      </c>
      <c r="C39" s="88">
        <v>0</v>
      </c>
      <c r="D39" s="88">
        <v>0</v>
      </c>
    </row>
    <row r="40" spans="1:4" ht="15" customHeight="1" x14ac:dyDescent="0.25">
      <c r="A40" s="87" t="s">
        <v>10</v>
      </c>
      <c r="B40" s="87" t="s">
        <v>360</v>
      </c>
      <c r="C40" s="88">
        <v>0</v>
      </c>
      <c r="D40" s="88">
        <v>0</v>
      </c>
    </row>
    <row r="41" spans="1:4" ht="15" customHeight="1" x14ac:dyDescent="0.25">
      <c r="A41" s="87" t="s">
        <v>10</v>
      </c>
      <c r="B41" s="87" t="s">
        <v>625</v>
      </c>
      <c r="C41" s="88">
        <v>0</v>
      </c>
      <c r="D41" s="88">
        <v>0</v>
      </c>
    </row>
    <row r="42" spans="1:4" ht="15" customHeight="1" x14ac:dyDescent="0.25">
      <c r="A42" s="87" t="s">
        <v>10</v>
      </c>
      <c r="B42" s="87" t="s">
        <v>894</v>
      </c>
      <c r="C42" s="88">
        <v>0</v>
      </c>
      <c r="D42" s="88">
        <v>0</v>
      </c>
    </row>
    <row r="43" spans="1:4" ht="15" customHeight="1" x14ac:dyDescent="0.25">
      <c r="A43" s="87" t="s">
        <v>10</v>
      </c>
      <c r="B43" s="87" t="s">
        <v>350</v>
      </c>
      <c r="C43" s="88">
        <v>0</v>
      </c>
      <c r="D43" s="88">
        <v>0</v>
      </c>
    </row>
    <row r="44" spans="1:4" ht="15" customHeight="1" x14ac:dyDescent="0.25">
      <c r="A44" s="87" t="s">
        <v>10</v>
      </c>
      <c r="B44" s="87" t="s">
        <v>1342</v>
      </c>
      <c r="C44" s="88">
        <v>0</v>
      </c>
      <c r="D44" s="88">
        <v>0</v>
      </c>
    </row>
    <row r="45" spans="1:4" ht="15" customHeight="1" x14ac:dyDescent="0.25">
      <c r="A45" s="87" t="s">
        <v>10</v>
      </c>
      <c r="B45" s="87" t="s">
        <v>1142</v>
      </c>
      <c r="C45" s="88">
        <v>0</v>
      </c>
      <c r="D45" s="88">
        <v>0</v>
      </c>
    </row>
    <row r="46" spans="1:4" ht="15" customHeight="1" x14ac:dyDescent="0.25">
      <c r="A46" s="87" t="s">
        <v>10</v>
      </c>
      <c r="B46" s="87" t="s">
        <v>627</v>
      </c>
      <c r="C46" s="88">
        <v>0</v>
      </c>
      <c r="D46" s="88">
        <v>0</v>
      </c>
    </row>
    <row r="47" spans="1:4" ht="15" customHeight="1" x14ac:dyDescent="0.25">
      <c r="A47" s="87" t="s">
        <v>10</v>
      </c>
      <c r="B47" s="87" t="s">
        <v>898</v>
      </c>
      <c r="C47" s="88">
        <v>0</v>
      </c>
      <c r="D47" s="88">
        <v>0</v>
      </c>
    </row>
    <row r="48" spans="1:4" ht="15" customHeight="1" x14ac:dyDescent="0.25">
      <c r="A48" s="87" t="s">
        <v>10</v>
      </c>
      <c r="B48" s="87" t="s">
        <v>900</v>
      </c>
      <c r="C48" s="88">
        <v>0</v>
      </c>
      <c r="D48" s="88">
        <v>0</v>
      </c>
    </row>
    <row r="49" spans="1:4" ht="15" customHeight="1" x14ac:dyDescent="0.25">
      <c r="A49" s="87" t="s">
        <v>10</v>
      </c>
      <c r="B49" s="87" t="s">
        <v>362</v>
      </c>
      <c r="C49" s="88">
        <v>0</v>
      </c>
      <c r="D49" s="88">
        <v>0</v>
      </c>
    </row>
    <row r="50" spans="1:4" ht="15" customHeight="1" x14ac:dyDescent="0.25">
      <c r="A50" s="87" t="s">
        <v>10</v>
      </c>
      <c r="B50" s="87" t="s">
        <v>1144</v>
      </c>
      <c r="C50" s="88">
        <v>0</v>
      </c>
      <c r="D50" s="88">
        <v>0</v>
      </c>
    </row>
    <row r="51" spans="1:4" ht="15" customHeight="1" x14ac:dyDescent="0.25">
      <c r="A51" s="87" t="s">
        <v>10</v>
      </c>
      <c r="B51" s="87" t="s">
        <v>633</v>
      </c>
      <c r="C51" s="88">
        <v>0</v>
      </c>
      <c r="D51" s="88">
        <v>0</v>
      </c>
    </row>
    <row r="52" spans="1:4" ht="15" customHeight="1" x14ac:dyDescent="0.25">
      <c r="A52" s="87" t="s">
        <v>10</v>
      </c>
      <c r="B52" s="87" t="s">
        <v>905</v>
      </c>
      <c r="C52" s="88">
        <v>0</v>
      </c>
      <c r="D52" s="88">
        <v>0</v>
      </c>
    </row>
    <row r="53" spans="1:4" ht="15" customHeight="1" x14ac:dyDescent="0.25">
      <c r="A53" s="87" t="s">
        <v>10</v>
      </c>
      <c r="B53" s="87" t="s">
        <v>907</v>
      </c>
      <c r="C53" s="88">
        <v>0</v>
      </c>
      <c r="D53" s="88">
        <v>0</v>
      </c>
    </row>
    <row r="54" spans="1:4" ht="15" customHeight="1" x14ac:dyDescent="0.25">
      <c r="A54" s="87" t="s">
        <v>10</v>
      </c>
      <c r="B54" s="87" t="s">
        <v>909</v>
      </c>
      <c r="C54" s="88">
        <v>0</v>
      </c>
      <c r="D54" s="88">
        <v>0</v>
      </c>
    </row>
    <row r="55" spans="1:4" ht="15" customHeight="1" x14ac:dyDescent="0.25">
      <c r="A55" s="87" t="s">
        <v>10</v>
      </c>
      <c r="B55" s="87" t="s">
        <v>1729</v>
      </c>
      <c r="C55" s="88">
        <v>0</v>
      </c>
      <c r="D55" s="88">
        <v>0</v>
      </c>
    </row>
    <row r="56" spans="1:4" ht="15" customHeight="1" x14ac:dyDescent="0.25">
      <c r="A56" s="87" t="s">
        <v>10</v>
      </c>
      <c r="B56" s="87" t="s">
        <v>422</v>
      </c>
      <c r="C56" s="88">
        <v>0</v>
      </c>
      <c r="D56" s="88">
        <v>0</v>
      </c>
    </row>
    <row r="57" spans="1:4" ht="15" customHeight="1" x14ac:dyDescent="0.25">
      <c r="A57" s="87" t="s">
        <v>10</v>
      </c>
      <c r="B57" s="87" t="s">
        <v>364</v>
      </c>
      <c r="C57" s="88">
        <v>0</v>
      </c>
      <c r="D57" s="88">
        <v>0</v>
      </c>
    </row>
    <row r="58" spans="1:4" ht="15" customHeight="1" x14ac:dyDescent="0.25">
      <c r="A58" s="87" t="s">
        <v>10</v>
      </c>
      <c r="B58" s="87" t="s">
        <v>912</v>
      </c>
      <c r="C58" s="88">
        <v>0</v>
      </c>
      <c r="D58" s="88">
        <v>0</v>
      </c>
    </row>
    <row r="59" spans="1:4" ht="15" customHeight="1" x14ac:dyDescent="0.25">
      <c r="A59" s="87" t="s">
        <v>10</v>
      </c>
      <c r="B59" s="87" t="s">
        <v>914</v>
      </c>
      <c r="C59" s="88">
        <v>0</v>
      </c>
      <c r="D59" s="88">
        <v>0</v>
      </c>
    </row>
    <row r="60" spans="1:4" ht="15" customHeight="1" x14ac:dyDescent="0.25">
      <c r="A60" s="87" t="s">
        <v>10</v>
      </c>
      <c r="B60" s="87" t="s">
        <v>585</v>
      </c>
      <c r="C60" s="88">
        <v>0</v>
      </c>
      <c r="D60" s="88">
        <v>0</v>
      </c>
    </row>
    <row r="61" spans="1:4" ht="15" customHeight="1" x14ac:dyDescent="0.25">
      <c r="A61" s="87" t="s">
        <v>10</v>
      </c>
      <c r="B61" s="87" t="s">
        <v>371</v>
      </c>
      <c r="C61" s="88">
        <v>0</v>
      </c>
      <c r="D61" s="88">
        <v>0</v>
      </c>
    </row>
    <row r="62" spans="1:4" ht="15" customHeight="1" x14ac:dyDescent="0.25">
      <c r="A62" s="87" t="s">
        <v>10</v>
      </c>
      <c r="B62" s="87" t="s">
        <v>916</v>
      </c>
      <c r="C62" s="88">
        <v>0</v>
      </c>
      <c r="D62" s="88">
        <v>0</v>
      </c>
    </row>
    <row r="63" spans="1:4" ht="15" customHeight="1" x14ac:dyDescent="0.25">
      <c r="A63" s="87" t="s">
        <v>10</v>
      </c>
      <c r="B63" s="87" t="s">
        <v>920</v>
      </c>
      <c r="C63" s="88">
        <v>0</v>
      </c>
      <c r="D63" s="88">
        <v>0</v>
      </c>
    </row>
    <row r="64" spans="1:4" ht="15" customHeight="1" x14ac:dyDescent="0.25">
      <c r="A64" s="87" t="s">
        <v>10</v>
      </c>
      <c r="B64" s="87" t="s">
        <v>922</v>
      </c>
      <c r="C64" s="88">
        <v>0</v>
      </c>
      <c r="D64" s="88">
        <v>0</v>
      </c>
    </row>
    <row r="65" spans="1:6" ht="15" customHeight="1" x14ac:dyDescent="0.25">
      <c r="A65" s="87" t="s">
        <v>10</v>
      </c>
      <c r="B65" s="87" t="s">
        <v>924</v>
      </c>
      <c r="C65" s="88">
        <v>0</v>
      </c>
      <c r="D65" s="88">
        <v>0</v>
      </c>
    </row>
    <row r="66" spans="1:6" ht="15" customHeight="1" x14ac:dyDescent="0.25">
      <c r="A66" s="87" t="s">
        <v>10</v>
      </c>
      <c r="B66" s="87" t="s">
        <v>428</v>
      </c>
      <c r="C66" s="88">
        <v>0</v>
      </c>
      <c r="D66" s="88">
        <v>0</v>
      </c>
    </row>
    <row r="67" spans="1:6" ht="15" customHeight="1" x14ac:dyDescent="0.25">
      <c r="A67" s="87" t="s">
        <v>10</v>
      </c>
      <c r="B67" s="87" t="s">
        <v>1448</v>
      </c>
      <c r="C67" s="88">
        <v>0</v>
      </c>
      <c r="D67" s="88">
        <v>0</v>
      </c>
    </row>
    <row r="68" spans="1:6" ht="15" customHeight="1" x14ac:dyDescent="0.25">
      <c r="A68" s="87" t="s">
        <v>10</v>
      </c>
      <c r="B68" s="87" t="s">
        <v>635</v>
      </c>
      <c r="C68" s="88">
        <v>0</v>
      </c>
      <c r="D68" s="88">
        <v>0</v>
      </c>
    </row>
    <row r="69" spans="1:6" ht="15" customHeight="1" x14ac:dyDescent="0.25">
      <c r="A69" s="87" t="s">
        <v>10</v>
      </c>
      <c r="B69" s="87" t="s">
        <v>1730</v>
      </c>
      <c r="C69" s="88">
        <v>0</v>
      </c>
      <c r="D69" s="88">
        <v>0</v>
      </c>
    </row>
    <row r="70" spans="1:6" ht="15" customHeight="1" x14ac:dyDescent="0.25">
      <c r="A70" s="87" t="s">
        <v>10</v>
      </c>
      <c r="B70" s="87" t="s">
        <v>926</v>
      </c>
      <c r="C70" s="88">
        <v>0</v>
      </c>
      <c r="D70" s="88">
        <v>0</v>
      </c>
    </row>
    <row r="71" spans="1:6" ht="15" customHeight="1" x14ac:dyDescent="0.25">
      <c r="A71" s="87" t="s">
        <v>10</v>
      </c>
      <c r="B71" s="87" t="s">
        <v>373</v>
      </c>
      <c r="C71" s="88">
        <v>0</v>
      </c>
      <c r="D71" s="88">
        <v>0</v>
      </c>
    </row>
    <row r="72" spans="1:6" ht="38.25" customHeight="1" x14ac:dyDescent="0.25">
      <c r="A72" s="87" t="s">
        <v>10</v>
      </c>
      <c r="B72" s="87" t="s">
        <v>1189</v>
      </c>
      <c r="C72" s="88">
        <v>0</v>
      </c>
      <c r="D72" s="88">
        <v>0</v>
      </c>
      <c r="F72" s="89" t="s">
        <v>1731</v>
      </c>
    </row>
    <row r="73" spans="1:6" ht="15" customHeight="1" x14ac:dyDescent="0.25">
      <c r="A73" s="87" t="s">
        <v>10</v>
      </c>
      <c r="B73" s="87" t="s">
        <v>375</v>
      </c>
      <c r="C73" s="88">
        <v>0</v>
      </c>
      <c r="D73" s="88">
        <v>0</v>
      </c>
    </row>
    <row r="74" spans="1:6" ht="15" customHeight="1" x14ac:dyDescent="0.25">
      <c r="A74" s="87" t="s">
        <v>10</v>
      </c>
      <c r="B74" s="87" t="s">
        <v>187</v>
      </c>
      <c r="C74" s="88">
        <v>0</v>
      </c>
      <c r="D74" s="88">
        <v>0</v>
      </c>
    </row>
    <row r="75" spans="1:6" ht="15" customHeight="1" x14ac:dyDescent="0.25">
      <c r="A75" s="87" t="s">
        <v>10</v>
      </c>
      <c r="B75" s="87" t="s">
        <v>1732</v>
      </c>
      <c r="C75" s="88">
        <v>0</v>
      </c>
      <c r="D75" s="88">
        <v>0</v>
      </c>
    </row>
    <row r="76" spans="1:6" ht="76.5" customHeight="1" x14ac:dyDescent="0.25">
      <c r="A76" s="87" t="s">
        <v>10</v>
      </c>
      <c r="B76" s="87" t="s">
        <v>928</v>
      </c>
      <c r="C76" s="88">
        <v>0</v>
      </c>
      <c r="D76" s="88">
        <v>3</v>
      </c>
      <c r="F76" s="89" t="s">
        <v>1733</v>
      </c>
    </row>
    <row r="77" spans="1:6" ht="15" customHeight="1" x14ac:dyDescent="0.25">
      <c r="A77" s="87" t="s">
        <v>10</v>
      </c>
      <c r="B77" s="87" t="s">
        <v>836</v>
      </c>
      <c r="C77" s="88">
        <v>0</v>
      </c>
      <c r="D77" s="88">
        <v>0</v>
      </c>
    </row>
    <row r="78" spans="1:6" ht="15" customHeight="1" x14ac:dyDescent="0.25">
      <c r="A78" s="87" t="s">
        <v>10</v>
      </c>
      <c r="B78" s="87" t="s">
        <v>191</v>
      </c>
      <c r="C78" s="88">
        <v>0</v>
      </c>
      <c r="D78" s="88">
        <v>0</v>
      </c>
    </row>
    <row r="79" spans="1:6" ht="15" customHeight="1" x14ac:dyDescent="0.25">
      <c r="A79" s="87" t="s">
        <v>10</v>
      </c>
      <c r="B79" s="87" t="s">
        <v>930</v>
      </c>
      <c r="C79" s="88">
        <v>0</v>
      </c>
      <c r="D79" s="88">
        <v>0</v>
      </c>
    </row>
    <row r="80" spans="1:6" ht="15" customHeight="1" x14ac:dyDescent="0.25">
      <c r="A80" s="87" t="s">
        <v>10</v>
      </c>
      <c r="B80" s="87" t="s">
        <v>1734</v>
      </c>
      <c r="C80" s="88">
        <v>0</v>
      </c>
      <c r="D80" s="88">
        <v>0</v>
      </c>
    </row>
    <row r="81" spans="1:4" ht="15" customHeight="1" x14ac:dyDescent="0.25">
      <c r="A81" s="87" t="s">
        <v>10</v>
      </c>
      <c r="B81" s="87" t="s">
        <v>1191</v>
      </c>
      <c r="C81" s="88">
        <v>0</v>
      </c>
      <c r="D81" s="88">
        <v>0</v>
      </c>
    </row>
    <row r="82" spans="1:4" ht="15" customHeight="1" x14ac:dyDescent="0.25">
      <c r="A82" s="87" t="s">
        <v>10</v>
      </c>
      <c r="B82" s="87" t="s">
        <v>838</v>
      </c>
      <c r="C82" s="88">
        <v>0</v>
      </c>
      <c r="D82" s="88">
        <v>0</v>
      </c>
    </row>
    <row r="83" spans="1:4" ht="15" customHeight="1" x14ac:dyDescent="0.25">
      <c r="A83" s="87" t="s">
        <v>10</v>
      </c>
      <c r="B83" s="87" t="s">
        <v>642</v>
      </c>
      <c r="C83" s="88">
        <v>0</v>
      </c>
      <c r="D83" s="88">
        <v>0</v>
      </c>
    </row>
    <row r="84" spans="1:4" ht="15" customHeight="1" x14ac:dyDescent="0.25">
      <c r="A84" s="87" t="s">
        <v>10</v>
      </c>
      <c r="B84" s="87" t="s">
        <v>1735</v>
      </c>
      <c r="C84" s="88">
        <v>0</v>
      </c>
      <c r="D84" s="88">
        <v>0</v>
      </c>
    </row>
    <row r="85" spans="1:4" ht="15" customHeight="1" x14ac:dyDescent="0.25">
      <c r="A85" s="87" t="s">
        <v>10</v>
      </c>
      <c r="B85" s="87" t="s">
        <v>1736</v>
      </c>
      <c r="C85" s="88">
        <v>0</v>
      </c>
      <c r="D85" s="88">
        <v>0</v>
      </c>
    </row>
    <row r="86" spans="1:4" ht="15" customHeight="1" x14ac:dyDescent="0.25">
      <c r="A86" s="87" t="s">
        <v>10</v>
      </c>
      <c r="B86" s="87" t="s">
        <v>41</v>
      </c>
      <c r="C86" s="88">
        <v>0</v>
      </c>
      <c r="D86" s="88">
        <v>0</v>
      </c>
    </row>
    <row r="87" spans="1:4" ht="15" customHeight="1" x14ac:dyDescent="0.25">
      <c r="A87" s="87" t="s">
        <v>10</v>
      </c>
      <c r="B87" s="87" t="s">
        <v>1737</v>
      </c>
      <c r="C87" s="88">
        <v>0</v>
      </c>
      <c r="D87" s="88">
        <v>0</v>
      </c>
    </row>
    <row r="88" spans="1:4" ht="15" customHeight="1" x14ac:dyDescent="0.25">
      <c r="A88" s="87" t="s">
        <v>10</v>
      </c>
      <c r="B88" s="87" t="s">
        <v>1738</v>
      </c>
      <c r="C88" s="88">
        <v>0</v>
      </c>
      <c r="D88" s="88">
        <v>0</v>
      </c>
    </row>
    <row r="89" spans="1:4" ht="15" customHeight="1" x14ac:dyDescent="0.25">
      <c r="A89" s="87" t="s">
        <v>10</v>
      </c>
      <c r="B89" s="87" t="s">
        <v>1739</v>
      </c>
      <c r="C89" s="88">
        <v>0</v>
      </c>
      <c r="D89" s="88">
        <v>0</v>
      </c>
    </row>
    <row r="90" spans="1:4" ht="15" customHeight="1" x14ac:dyDescent="0.25">
      <c r="A90" s="87" t="s">
        <v>10</v>
      </c>
      <c r="B90" s="87" t="s">
        <v>1740</v>
      </c>
      <c r="C90" s="88">
        <v>0</v>
      </c>
      <c r="D90" s="88">
        <v>0</v>
      </c>
    </row>
    <row r="91" spans="1:4" ht="15" customHeight="1" x14ac:dyDescent="0.25">
      <c r="A91" s="87" t="s">
        <v>10</v>
      </c>
      <c r="B91" s="87" t="s">
        <v>935</v>
      </c>
      <c r="C91" s="88">
        <v>0</v>
      </c>
      <c r="D91" s="88">
        <v>0</v>
      </c>
    </row>
    <row r="92" spans="1:4" ht="15" customHeight="1" x14ac:dyDescent="0.25">
      <c r="A92" s="87" t="s">
        <v>10</v>
      </c>
      <c r="B92" s="87" t="s">
        <v>388</v>
      </c>
      <c r="C92" s="88">
        <v>0</v>
      </c>
      <c r="D92" s="88">
        <v>0</v>
      </c>
    </row>
    <row r="93" spans="1:4" ht="15" customHeight="1" x14ac:dyDescent="0.25">
      <c r="A93" s="87" t="s">
        <v>10</v>
      </c>
      <c r="B93" s="87" t="s">
        <v>1741</v>
      </c>
      <c r="C93" s="88">
        <v>0</v>
      </c>
      <c r="D93" s="88">
        <v>0</v>
      </c>
    </row>
    <row r="94" spans="1:4" ht="15" customHeight="1" x14ac:dyDescent="0.25">
      <c r="A94" s="87" t="s">
        <v>10</v>
      </c>
      <c r="B94" s="87" t="s">
        <v>937</v>
      </c>
      <c r="C94" s="88">
        <v>0</v>
      </c>
      <c r="D94" s="88">
        <v>0</v>
      </c>
    </row>
    <row r="95" spans="1:4" ht="15" customHeight="1" x14ac:dyDescent="0.25">
      <c r="A95" s="87" t="s">
        <v>10</v>
      </c>
      <c r="B95" s="87" t="s">
        <v>939</v>
      </c>
      <c r="C95" s="88">
        <v>0</v>
      </c>
      <c r="D95" s="88">
        <v>0</v>
      </c>
    </row>
    <row r="96" spans="1:4" ht="15" customHeight="1" x14ac:dyDescent="0.25">
      <c r="A96" s="87" t="s">
        <v>10</v>
      </c>
      <c r="B96" s="87" t="s">
        <v>390</v>
      </c>
      <c r="C96" s="88">
        <v>0</v>
      </c>
      <c r="D96" s="88">
        <v>0</v>
      </c>
    </row>
    <row r="97" spans="1:5" ht="15" customHeight="1" x14ac:dyDescent="0.25">
      <c r="A97" s="87" t="s">
        <v>10</v>
      </c>
      <c r="B97" s="87" t="s">
        <v>1742</v>
      </c>
      <c r="C97" s="88">
        <v>0</v>
      </c>
      <c r="D97" s="88">
        <v>0</v>
      </c>
    </row>
    <row r="98" spans="1:5" ht="15" customHeight="1" x14ac:dyDescent="0.25">
      <c r="A98" s="87" t="s">
        <v>10</v>
      </c>
      <c r="B98" s="87" t="s">
        <v>945</v>
      </c>
      <c r="C98" s="88">
        <v>0</v>
      </c>
      <c r="D98" s="88">
        <v>0</v>
      </c>
    </row>
    <row r="99" spans="1:5" ht="15" customHeight="1" x14ac:dyDescent="0.25">
      <c r="A99" s="87" t="s">
        <v>10</v>
      </c>
      <c r="B99" s="87" t="s">
        <v>1743</v>
      </c>
      <c r="C99" s="88">
        <v>0</v>
      </c>
      <c r="D99" s="88">
        <v>0</v>
      </c>
    </row>
    <row r="100" spans="1:5" ht="15" customHeight="1" x14ac:dyDescent="0.25">
      <c r="A100" s="87" t="s">
        <v>10</v>
      </c>
      <c r="B100" s="87" t="s">
        <v>197</v>
      </c>
      <c r="C100" s="88">
        <v>0</v>
      </c>
      <c r="D100" s="88">
        <v>0</v>
      </c>
    </row>
    <row r="101" spans="1:5" ht="89.25" customHeight="1" x14ac:dyDescent="0.25">
      <c r="A101" s="87" t="s">
        <v>10</v>
      </c>
      <c r="B101" s="87" t="s">
        <v>644</v>
      </c>
      <c r="C101" s="88">
        <v>0</v>
      </c>
      <c r="D101" s="88">
        <v>1</v>
      </c>
      <c r="E101" s="89" t="s">
        <v>1744</v>
      </c>
    </row>
    <row r="102" spans="1:5" ht="15" customHeight="1" x14ac:dyDescent="0.25">
      <c r="A102" s="87" t="s">
        <v>10</v>
      </c>
      <c r="B102" s="87" t="s">
        <v>1745</v>
      </c>
      <c r="C102" s="88">
        <v>0</v>
      </c>
      <c r="D102" s="88">
        <v>0</v>
      </c>
    </row>
    <row r="103" spans="1:5" ht="15" customHeight="1" x14ac:dyDescent="0.25">
      <c r="A103" s="87" t="s">
        <v>10</v>
      </c>
      <c r="B103" s="87" t="s">
        <v>646</v>
      </c>
      <c r="C103" s="88">
        <v>0</v>
      </c>
      <c r="D103" s="88">
        <v>0</v>
      </c>
    </row>
    <row r="104" spans="1:5" ht="15" customHeight="1" x14ac:dyDescent="0.25">
      <c r="A104" s="87" t="s">
        <v>10</v>
      </c>
      <c r="B104" s="87" t="s">
        <v>544</v>
      </c>
      <c r="C104" s="88">
        <v>0</v>
      </c>
      <c r="D104" s="88">
        <v>0</v>
      </c>
    </row>
    <row r="105" spans="1:5" ht="15" customHeight="1" x14ac:dyDescent="0.25">
      <c r="A105" s="87" t="s">
        <v>10</v>
      </c>
      <c r="B105" s="87" t="s">
        <v>648</v>
      </c>
      <c r="C105" s="88">
        <v>0</v>
      </c>
      <c r="D105" s="88">
        <v>0</v>
      </c>
    </row>
    <row r="106" spans="1:5" ht="15" customHeight="1" x14ac:dyDescent="0.25">
      <c r="A106" s="87" t="s">
        <v>10</v>
      </c>
      <c r="B106" s="87" t="s">
        <v>1746</v>
      </c>
      <c r="C106" s="88">
        <v>0</v>
      </c>
      <c r="D106" s="88">
        <v>0</v>
      </c>
    </row>
    <row r="107" spans="1:5" ht="15" customHeight="1" x14ac:dyDescent="0.25">
      <c r="A107" s="87" t="s">
        <v>10</v>
      </c>
      <c r="B107" s="87" t="s">
        <v>1747</v>
      </c>
      <c r="C107" s="88">
        <v>0</v>
      </c>
      <c r="D107" s="88">
        <v>0</v>
      </c>
    </row>
    <row r="108" spans="1:5" ht="15" customHeight="1" x14ac:dyDescent="0.25">
      <c r="A108" s="87" t="s">
        <v>10</v>
      </c>
      <c r="B108" s="87" t="s">
        <v>140</v>
      </c>
      <c r="C108" s="88">
        <v>0</v>
      </c>
      <c r="D108" s="88">
        <v>0</v>
      </c>
    </row>
    <row r="109" spans="1:5" ht="15" customHeight="1" x14ac:dyDescent="0.25">
      <c r="A109" s="87" t="s">
        <v>10</v>
      </c>
      <c r="B109" s="87" t="s">
        <v>1748</v>
      </c>
      <c r="C109" s="88">
        <v>0</v>
      </c>
      <c r="D109" s="88">
        <v>0</v>
      </c>
    </row>
    <row r="110" spans="1:5" ht="15" customHeight="1" x14ac:dyDescent="0.25">
      <c r="A110" s="87" t="s">
        <v>10</v>
      </c>
      <c r="B110" s="87" t="s">
        <v>951</v>
      </c>
      <c r="C110" s="88">
        <v>0</v>
      </c>
      <c r="D110" s="88">
        <v>0</v>
      </c>
    </row>
    <row r="111" spans="1:5" ht="15" customHeight="1" x14ac:dyDescent="0.25">
      <c r="A111" s="87" t="s">
        <v>10</v>
      </c>
      <c r="B111" s="87" t="s">
        <v>650</v>
      </c>
      <c r="C111" s="88">
        <v>0</v>
      </c>
      <c r="D111" s="88">
        <v>0</v>
      </c>
    </row>
    <row r="112" spans="1:5" ht="15" customHeight="1" x14ac:dyDescent="0.25">
      <c r="A112" s="87" t="s">
        <v>10</v>
      </c>
      <c r="B112" s="87" t="s">
        <v>1749</v>
      </c>
      <c r="C112" s="88">
        <v>0</v>
      </c>
      <c r="D112" s="88">
        <v>0</v>
      </c>
    </row>
    <row r="113" spans="1:9" ht="15" customHeight="1" x14ac:dyDescent="0.25">
      <c r="A113" s="87" t="s">
        <v>10</v>
      </c>
      <c r="B113" s="87" t="s">
        <v>953</v>
      </c>
      <c r="C113" s="88">
        <v>0</v>
      </c>
      <c r="D113" s="88">
        <v>0</v>
      </c>
    </row>
    <row r="114" spans="1:9" ht="15" customHeight="1" x14ac:dyDescent="0.25">
      <c r="A114" s="87" t="s">
        <v>10</v>
      </c>
      <c r="B114" s="87" t="s">
        <v>956</v>
      </c>
      <c r="C114" s="88">
        <v>0</v>
      </c>
      <c r="D114" s="88">
        <v>0</v>
      </c>
    </row>
    <row r="115" spans="1:9" ht="15" customHeight="1" x14ac:dyDescent="0.25">
      <c r="A115" s="87" t="s">
        <v>10</v>
      </c>
      <c r="B115" s="87" t="s">
        <v>395</v>
      </c>
      <c r="C115" s="88">
        <v>0</v>
      </c>
      <c r="D115" s="88">
        <v>0</v>
      </c>
    </row>
    <row r="116" spans="1:9" ht="15" customHeight="1" x14ac:dyDescent="0.25">
      <c r="A116" s="87" t="s">
        <v>10</v>
      </c>
      <c r="B116" s="87" t="s">
        <v>652</v>
      </c>
      <c r="C116" s="88">
        <v>0</v>
      </c>
      <c r="D116" s="88">
        <v>0</v>
      </c>
    </row>
    <row r="117" spans="1:9" ht="15" customHeight="1" x14ac:dyDescent="0.25">
      <c r="A117" s="87" t="s">
        <v>10</v>
      </c>
      <c r="B117" s="87" t="s">
        <v>958</v>
      </c>
      <c r="C117" s="88">
        <v>0</v>
      </c>
      <c r="D117" s="88">
        <v>0</v>
      </c>
    </row>
    <row r="118" spans="1:9" ht="15" customHeight="1" x14ac:dyDescent="0.25">
      <c r="A118" s="87" t="s">
        <v>10</v>
      </c>
      <c r="B118" s="87" t="s">
        <v>1750</v>
      </c>
      <c r="C118" s="88">
        <v>0</v>
      </c>
      <c r="D118" s="88">
        <v>0</v>
      </c>
    </row>
    <row r="119" spans="1:9" ht="15" customHeight="1" x14ac:dyDescent="0.25">
      <c r="A119" s="87" t="s">
        <v>10</v>
      </c>
      <c r="B119" s="87" t="s">
        <v>208</v>
      </c>
      <c r="C119" s="88">
        <v>0</v>
      </c>
      <c r="D119" s="88">
        <v>0</v>
      </c>
    </row>
    <row r="120" spans="1:9" ht="15" customHeight="1" x14ac:dyDescent="0.25">
      <c r="A120" s="87" t="s">
        <v>10</v>
      </c>
      <c r="B120" s="87" t="s">
        <v>654</v>
      </c>
      <c r="C120" s="88">
        <v>0</v>
      </c>
      <c r="D120" s="88">
        <v>0</v>
      </c>
    </row>
    <row r="121" spans="1:9" ht="76.5" customHeight="1" x14ac:dyDescent="0.25">
      <c r="A121" s="87" t="s">
        <v>10</v>
      </c>
      <c r="B121" s="87" t="s">
        <v>210</v>
      </c>
      <c r="C121" s="88">
        <v>1</v>
      </c>
      <c r="D121" s="88">
        <v>12</v>
      </c>
      <c r="E121" s="89" t="s">
        <v>1751</v>
      </c>
      <c r="F121" s="89" t="s">
        <v>1752</v>
      </c>
      <c r="G121" s="90"/>
      <c r="H121" s="90"/>
      <c r="I121" s="90"/>
    </row>
    <row r="122" spans="1:9" ht="15" customHeight="1" x14ac:dyDescent="0.25">
      <c r="A122" s="87" t="s">
        <v>10</v>
      </c>
      <c r="B122" s="87" t="s">
        <v>1753</v>
      </c>
      <c r="C122" s="88">
        <v>0</v>
      </c>
      <c r="D122" s="88">
        <v>0</v>
      </c>
    </row>
    <row r="123" spans="1:9" ht="15" customHeight="1" x14ac:dyDescent="0.25">
      <c r="A123" s="87" t="s">
        <v>10</v>
      </c>
      <c r="B123" s="87" t="s">
        <v>960</v>
      </c>
      <c r="C123" s="88">
        <v>0</v>
      </c>
      <c r="D123" s="88">
        <v>0</v>
      </c>
    </row>
    <row r="124" spans="1:9" ht="15" customHeight="1" x14ac:dyDescent="0.25">
      <c r="A124" s="87" t="s">
        <v>10</v>
      </c>
      <c r="B124" s="87" t="s">
        <v>399</v>
      </c>
      <c r="C124" s="88">
        <v>0</v>
      </c>
      <c r="D124" s="88">
        <v>0</v>
      </c>
    </row>
    <row r="125" spans="1:9" ht="15" customHeight="1" x14ac:dyDescent="0.25">
      <c r="A125" s="87" t="s">
        <v>10</v>
      </c>
      <c r="B125" s="87" t="s">
        <v>844</v>
      </c>
      <c r="C125" s="88">
        <v>0</v>
      </c>
      <c r="D125" s="88">
        <v>0</v>
      </c>
    </row>
    <row r="126" spans="1:9" ht="15" customHeight="1" x14ac:dyDescent="0.25">
      <c r="A126" s="87" t="s">
        <v>10</v>
      </c>
      <c r="B126" s="87" t="s">
        <v>1754</v>
      </c>
      <c r="C126" s="88">
        <v>0</v>
      </c>
      <c r="D126" s="88">
        <v>0</v>
      </c>
    </row>
    <row r="127" spans="1:9" ht="15" customHeight="1" x14ac:dyDescent="0.25">
      <c r="A127" s="87" t="s">
        <v>10</v>
      </c>
      <c r="B127" s="87" t="s">
        <v>656</v>
      </c>
      <c r="C127" s="88">
        <v>0</v>
      </c>
      <c r="D127" s="88">
        <v>0</v>
      </c>
    </row>
    <row r="128" spans="1:9" ht="15" customHeight="1" x14ac:dyDescent="0.25">
      <c r="A128" s="87" t="s">
        <v>10</v>
      </c>
      <c r="B128" s="87" t="s">
        <v>962</v>
      </c>
      <c r="C128" s="88">
        <v>0</v>
      </c>
      <c r="D128" s="88">
        <v>0</v>
      </c>
    </row>
    <row r="129" spans="1:5" ht="15" customHeight="1" x14ac:dyDescent="0.25">
      <c r="A129" s="87" t="s">
        <v>10</v>
      </c>
      <c r="B129" s="87" t="s">
        <v>401</v>
      </c>
      <c r="C129" s="88">
        <v>0</v>
      </c>
      <c r="D129" s="88">
        <v>0</v>
      </c>
    </row>
    <row r="130" spans="1:5" ht="15" customHeight="1" x14ac:dyDescent="0.25">
      <c r="A130" s="87" t="s">
        <v>10</v>
      </c>
      <c r="B130" s="87" t="s">
        <v>964</v>
      </c>
      <c r="C130" s="88">
        <v>0</v>
      </c>
      <c r="D130" s="88">
        <v>0</v>
      </c>
    </row>
    <row r="131" spans="1:5" ht="15" customHeight="1" x14ac:dyDescent="0.25">
      <c r="A131" s="87" t="s">
        <v>10</v>
      </c>
      <c r="B131" s="87" t="s">
        <v>966</v>
      </c>
      <c r="C131" s="88">
        <v>0</v>
      </c>
      <c r="D131" s="88">
        <v>0</v>
      </c>
    </row>
    <row r="132" spans="1:5" ht="15" customHeight="1" x14ac:dyDescent="0.25">
      <c r="A132" s="87" t="s">
        <v>10</v>
      </c>
      <c r="B132" s="87" t="s">
        <v>968</v>
      </c>
      <c r="C132" s="88">
        <v>0</v>
      </c>
      <c r="D132" s="88">
        <v>0</v>
      </c>
    </row>
    <row r="133" spans="1:5" ht="15" customHeight="1" x14ac:dyDescent="0.25">
      <c r="A133" s="87" t="s">
        <v>10</v>
      </c>
      <c r="B133" s="87" t="s">
        <v>403</v>
      </c>
      <c r="C133" s="88">
        <v>0</v>
      </c>
      <c r="D133" s="88">
        <v>0</v>
      </c>
    </row>
    <row r="134" spans="1:5" ht="15" customHeight="1" x14ac:dyDescent="0.25">
      <c r="A134" s="87" t="s">
        <v>10</v>
      </c>
      <c r="B134" s="87" t="s">
        <v>1755</v>
      </c>
      <c r="C134" s="88">
        <v>0</v>
      </c>
      <c r="D134" s="88">
        <v>0</v>
      </c>
    </row>
    <row r="135" spans="1:5" ht="15" customHeight="1" x14ac:dyDescent="0.25">
      <c r="A135" s="87" t="s">
        <v>10</v>
      </c>
      <c r="B135" s="87" t="s">
        <v>1193</v>
      </c>
      <c r="C135" s="88">
        <v>0</v>
      </c>
      <c r="D135" s="88">
        <v>0</v>
      </c>
    </row>
    <row r="136" spans="1:5" ht="15" customHeight="1" x14ac:dyDescent="0.25">
      <c r="A136" s="87" t="s">
        <v>10</v>
      </c>
      <c r="B136" s="87" t="s">
        <v>970</v>
      </c>
      <c r="C136" s="88">
        <v>0</v>
      </c>
      <c r="D136" s="88">
        <v>0</v>
      </c>
    </row>
    <row r="137" spans="1:5" ht="15" customHeight="1" x14ac:dyDescent="0.25">
      <c r="A137" s="87" t="s">
        <v>10</v>
      </c>
      <c r="B137" s="87" t="s">
        <v>663</v>
      </c>
      <c r="C137" s="88">
        <v>0</v>
      </c>
      <c r="D137" s="88">
        <v>0</v>
      </c>
      <c r="E137" s="89" t="s">
        <v>1707</v>
      </c>
    </row>
    <row r="138" spans="1:5" ht="15" customHeight="1" x14ac:dyDescent="0.25">
      <c r="A138" s="87" t="s">
        <v>1352</v>
      </c>
      <c r="B138" s="87" t="s">
        <v>1352</v>
      </c>
      <c r="C138" s="88">
        <v>0</v>
      </c>
      <c r="D138" s="88">
        <v>0</v>
      </c>
    </row>
    <row r="139" spans="1:5" ht="15" customHeight="1" x14ac:dyDescent="0.25">
      <c r="A139" s="87" t="s">
        <v>1352</v>
      </c>
      <c r="B139" s="87" t="s">
        <v>1354</v>
      </c>
      <c r="C139" s="88">
        <v>0</v>
      </c>
      <c r="D139" s="88">
        <v>0</v>
      </c>
    </row>
    <row r="140" spans="1:5" ht="15" customHeight="1" x14ac:dyDescent="0.25">
      <c r="A140" s="87" t="s">
        <v>1352</v>
      </c>
      <c r="B140" s="87" t="s">
        <v>1756</v>
      </c>
      <c r="C140" s="88">
        <v>0</v>
      </c>
      <c r="D140" s="88">
        <v>0</v>
      </c>
    </row>
    <row r="141" spans="1:5" ht="15" customHeight="1" x14ac:dyDescent="0.25">
      <c r="A141" s="87" t="s">
        <v>1352</v>
      </c>
      <c r="B141" s="87" t="s">
        <v>1757</v>
      </c>
      <c r="C141" s="88">
        <v>0</v>
      </c>
      <c r="D141" s="88">
        <v>0</v>
      </c>
    </row>
    <row r="142" spans="1:5" ht="15" customHeight="1" x14ac:dyDescent="0.25">
      <c r="A142" s="87" t="s">
        <v>1352</v>
      </c>
      <c r="B142" s="87" t="s">
        <v>1758</v>
      </c>
      <c r="C142" s="88">
        <v>0</v>
      </c>
      <c r="D142" s="88">
        <v>0</v>
      </c>
    </row>
    <row r="143" spans="1:5" ht="15" customHeight="1" x14ac:dyDescent="0.25">
      <c r="A143" s="87" t="s">
        <v>1352</v>
      </c>
      <c r="B143" s="87" t="s">
        <v>1759</v>
      </c>
      <c r="C143" s="88">
        <v>0</v>
      </c>
      <c r="D143" s="88">
        <v>0</v>
      </c>
    </row>
    <row r="144" spans="1:5" ht="15" customHeight="1" x14ac:dyDescent="0.25">
      <c r="A144" s="87" t="s">
        <v>1352</v>
      </c>
      <c r="B144" s="87" t="s">
        <v>1581</v>
      </c>
      <c r="C144" s="88">
        <v>0</v>
      </c>
      <c r="D144" s="88">
        <v>0</v>
      </c>
    </row>
    <row r="145" spans="1:4" ht="15" customHeight="1" x14ac:dyDescent="0.25">
      <c r="A145" s="87" t="s">
        <v>1760</v>
      </c>
      <c r="B145" s="87" t="s">
        <v>1364</v>
      </c>
      <c r="C145" s="88">
        <v>0</v>
      </c>
      <c r="D145" s="88">
        <v>0</v>
      </c>
    </row>
    <row r="146" spans="1:4" ht="15" customHeight="1" x14ac:dyDescent="0.25">
      <c r="A146" s="87" t="s">
        <v>1760</v>
      </c>
      <c r="B146" s="87" t="s">
        <v>823</v>
      </c>
      <c r="C146" s="88">
        <v>0</v>
      </c>
      <c r="D146" s="88">
        <v>0</v>
      </c>
    </row>
    <row r="147" spans="1:4" ht="15" customHeight="1" x14ac:dyDescent="0.25">
      <c r="A147" s="87" t="s">
        <v>1760</v>
      </c>
      <c r="B147" s="87" t="s">
        <v>1388</v>
      </c>
      <c r="C147" s="88">
        <v>0</v>
      </c>
      <c r="D147" s="88">
        <v>0</v>
      </c>
    </row>
    <row r="148" spans="1:4" ht="15" customHeight="1" x14ac:dyDescent="0.25">
      <c r="A148" s="87" t="s">
        <v>1760</v>
      </c>
      <c r="B148" s="87" t="s">
        <v>463</v>
      </c>
      <c r="C148" s="88">
        <v>0</v>
      </c>
      <c r="D148" s="88">
        <v>0</v>
      </c>
    </row>
    <row r="149" spans="1:4" ht="15" customHeight="1" x14ac:dyDescent="0.25">
      <c r="A149" s="87" t="s">
        <v>1760</v>
      </c>
      <c r="B149" s="87" t="s">
        <v>1761</v>
      </c>
      <c r="C149" s="88">
        <v>0</v>
      </c>
      <c r="D149" s="88">
        <v>0</v>
      </c>
    </row>
    <row r="150" spans="1:4" ht="15" customHeight="1" x14ac:dyDescent="0.25">
      <c r="A150" s="87" t="s">
        <v>1760</v>
      </c>
      <c r="B150" s="87" t="s">
        <v>1466</v>
      </c>
      <c r="C150" s="88">
        <v>0</v>
      </c>
      <c r="D150" s="88">
        <v>0</v>
      </c>
    </row>
    <row r="151" spans="1:4" ht="15" customHeight="1" x14ac:dyDescent="0.25">
      <c r="A151" s="87" t="s">
        <v>1760</v>
      </c>
      <c r="B151" s="87" t="s">
        <v>1483</v>
      </c>
      <c r="C151" s="88">
        <v>0</v>
      </c>
      <c r="D151" s="88">
        <v>0</v>
      </c>
    </row>
    <row r="152" spans="1:4" ht="15" customHeight="1" x14ac:dyDescent="0.25">
      <c r="A152" s="87" t="s">
        <v>1760</v>
      </c>
      <c r="B152" s="87" t="s">
        <v>1332</v>
      </c>
      <c r="C152" s="88">
        <v>0</v>
      </c>
      <c r="D152" s="88">
        <v>0</v>
      </c>
    </row>
    <row r="153" spans="1:4" ht="15" customHeight="1" x14ac:dyDescent="0.25">
      <c r="A153" s="87" t="s">
        <v>1760</v>
      </c>
      <c r="B153" s="87" t="s">
        <v>1762</v>
      </c>
      <c r="C153" s="88">
        <v>0</v>
      </c>
      <c r="D153" s="88">
        <v>0</v>
      </c>
    </row>
    <row r="154" spans="1:4" ht="15" customHeight="1" x14ac:dyDescent="0.25">
      <c r="A154" s="87" t="s">
        <v>1760</v>
      </c>
      <c r="B154" s="87" t="s">
        <v>1763</v>
      </c>
      <c r="C154" s="88">
        <v>0</v>
      </c>
      <c r="D154" s="88">
        <v>0</v>
      </c>
    </row>
    <row r="155" spans="1:4" ht="15" customHeight="1" x14ac:dyDescent="0.25">
      <c r="A155" s="87" t="s">
        <v>1760</v>
      </c>
      <c r="B155" s="87" t="s">
        <v>1764</v>
      </c>
      <c r="C155" s="88">
        <v>0</v>
      </c>
      <c r="D155" s="88">
        <v>0</v>
      </c>
    </row>
    <row r="156" spans="1:4" ht="15" customHeight="1" x14ac:dyDescent="0.25">
      <c r="A156" s="87" t="s">
        <v>1760</v>
      </c>
      <c r="B156" s="87" t="s">
        <v>1525</v>
      </c>
      <c r="C156" s="88">
        <v>0</v>
      </c>
      <c r="D156" s="88">
        <v>0</v>
      </c>
    </row>
    <row r="157" spans="1:4" ht="15" customHeight="1" x14ac:dyDescent="0.25">
      <c r="A157" s="87" t="s">
        <v>1760</v>
      </c>
      <c r="B157" s="87" t="s">
        <v>1765</v>
      </c>
      <c r="C157" s="88">
        <v>0</v>
      </c>
      <c r="D157" s="88">
        <v>0</v>
      </c>
    </row>
    <row r="158" spans="1:4" ht="15" customHeight="1" x14ac:dyDescent="0.25">
      <c r="A158" s="87" t="s">
        <v>1760</v>
      </c>
      <c r="B158" s="87" t="s">
        <v>1766</v>
      </c>
      <c r="C158" s="88">
        <v>0</v>
      </c>
      <c r="D158" s="88">
        <v>0</v>
      </c>
    </row>
    <row r="159" spans="1:4" ht="15" customHeight="1" x14ac:dyDescent="0.25">
      <c r="A159" s="87" t="s">
        <v>1760</v>
      </c>
      <c r="B159" s="87" t="s">
        <v>1767</v>
      </c>
      <c r="C159" s="88">
        <v>0</v>
      </c>
      <c r="D159" s="88">
        <v>0</v>
      </c>
    </row>
    <row r="160" spans="1:4" ht="15" customHeight="1" x14ac:dyDescent="0.25">
      <c r="A160" s="87" t="s">
        <v>1760</v>
      </c>
      <c r="B160" s="87" t="s">
        <v>1768</v>
      </c>
      <c r="C160" s="88">
        <v>0</v>
      </c>
      <c r="D160" s="88">
        <v>0</v>
      </c>
    </row>
    <row r="161" spans="1:4" ht="15" customHeight="1" x14ac:dyDescent="0.25">
      <c r="A161" s="87" t="s">
        <v>1760</v>
      </c>
      <c r="B161" s="87" t="s">
        <v>1743</v>
      </c>
      <c r="C161" s="88">
        <v>0</v>
      </c>
      <c r="D161" s="88">
        <v>0</v>
      </c>
    </row>
    <row r="162" spans="1:4" ht="15" customHeight="1" x14ac:dyDescent="0.25">
      <c r="A162" s="87" t="s">
        <v>1760</v>
      </c>
      <c r="B162" s="87" t="s">
        <v>1769</v>
      </c>
      <c r="C162" s="88">
        <v>0</v>
      </c>
      <c r="D162" s="88">
        <v>0</v>
      </c>
    </row>
    <row r="163" spans="1:4" ht="15" customHeight="1" x14ac:dyDescent="0.25">
      <c r="A163" s="87" t="s">
        <v>1760</v>
      </c>
      <c r="B163" s="87" t="s">
        <v>1563</v>
      </c>
      <c r="C163" s="88">
        <v>0</v>
      </c>
      <c r="D163" s="88">
        <v>0</v>
      </c>
    </row>
    <row r="164" spans="1:4" ht="15" customHeight="1" x14ac:dyDescent="0.25">
      <c r="A164" s="87" t="s">
        <v>1760</v>
      </c>
      <c r="B164" s="87" t="s">
        <v>1571</v>
      </c>
      <c r="C164" s="88">
        <v>0</v>
      </c>
      <c r="D164" s="88">
        <v>0</v>
      </c>
    </row>
    <row r="165" spans="1:4" ht="15" customHeight="1" x14ac:dyDescent="0.25">
      <c r="A165" s="87" t="s">
        <v>1760</v>
      </c>
      <c r="B165" s="87" t="s">
        <v>1770</v>
      </c>
      <c r="C165" s="88">
        <v>0</v>
      </c>
      <c r="D165" s="88">
        <v>0</v>
      </c>
    </row>
    <row r="166" spans="1:4" ht="15" customHeight="1" x14ac:dyDescent="0.25">
      <c r="A166" s="87" t="s">
        <v>1760</v>
      </c>
      <c r="B166" s="87" t="s">
        <v>1771</v>
      </c>
      <c r="C166" s="88">
        <v>0</v>
      </c>
      <c r="D166" s="88">
        <v>0</v>
      </c>
    </row>
    <row r="167" spans="1:4" ht="15" customHeight="1" x14ac:dyDescent="0.25">
      <c r="A167" s="87" t="s">
        <v>1760</v>
      </c>
      <c r="B167" s="87" t="s">
        <v>1772</v>
      </c>
      <c r="C167" s="88">
        <v>0</v>
      </c>
      <c r="D167" s="88">
        <v>0</v>
      </c>
    </row>
    <row r="168" spans="1:4" ht="15" customHeight="1" x14ac:dyDescent="0.25">
      <c r="A168" s="87" t="s">
        <v>1773</v>
      </c>
      <c r="B168" s="87" t="s">
        <v>1773</v>
      </c>
      <c r="C168" s="88">
        <v>0</v>
      </c>
      <c r="D168" s="88">
        <v>0</v>
      </c>
    </row>
    <row r="169" spans="1:4" ht="15" customHeight="1" x14ac:dyDescent="0.25">
      <c r="A169" s="87" t="s">
        <v>1774</v>
      </c>
      <c r="B169" s="87" t="s">
        <v>1775</v>
      </c>
      <c r="C169" s="88">
        <v>0</v>
      </c>
      <c r="D169" s="88">
        <v>0</v>
      </c>
    </row>
    <row r="170" spans="1:4" ht="15" customHeight="1" x14ac:dyDescent="0.25">
      <c r="A170" s="87" t="s">
        <v>1774</v>
      </c>
      <c r="B170" s="87" t="s">
        <v>1776</v>
      </c>
      <c r="C170" s="88">
        <v>0</v>
      </c>
      <c r="D170" s="88">
        <v>0</v>
      </c>
    </row>
    <row r="171" spans="1:4" ht="15" customHeight="1" x14ac:dyDescent="0.25">
      <c r="A171" s="87" t="s">
        <v>1774</v>
      </c>
      <c r="B171" s="87" t="s">
        <v>1777</v>
      </c>
      <c r="C171" s="88">
        <v>0</v>
      </c>
      <c r="D171" s="88">
        <v>0</v>
      </c>
    </row>
    <row r="172" spans="1:4" ht="15" customHeight="1" x14ac:dyDescent="0.25">
      <c r="A172" s="87" t="s">
        <v>1774</v>
      </c>
      <c r="B172" s="87" t="s">
        <v>1778</v>
      </c>
      <c r="C172" s="88">
        <v>0</v>
      </c>
      <c r="D172" s="88">
        <v>0</v>
      </c>
    </row>
    <row r="173" spans="1:4" ht="15" customHeight="1" x14ac:dyDescent="0.25">
      <c r="A173" s="87" t="s">
        <v>1774</v>
      </c>
      <c r="B173" s="87" t="s">
        <v>1779</v>
      </c>
      <c r="C173" s="88">
        <v>0</v>
      </c>
      <c r="D173" s="88">
        <v>0</v>
      </c>
    </row>
    <row r="174" spans="1:4" ht="15" customHeight="1" x14ac:dyDescent="0.25">
      <c r="A174" s="87" t="s">
        <v>1774</v>
      </c>
      <c r="B174" s="87" t="s">
        <v>1780</v>
      </c>
      <c r="C174" s="88">
        <v>0</v>
      </c>
      <c r="D174" s="88">
        <v>0</v>
      </c>
    </row>
    <row r="175" spans="1:4" ht="15" customHeight="1" x14ac:dyDescent="0.25">
      <c r="A175" s="87" t="s">
        <v>1774</v>
      </c>
      <c r="B175" s="87" t="s">
        <v>1383</v>
      </c>
      <c r="C175" s="88">
        <v>0</v>
      </c>
      <c r="D175" s="88">
        <v>0</v>
      </c>
    </row>
    <row r="176" spans="1:4" ht="15" customHeight="1" x14ac:dyDescent="0.25">
      <c r="A176" s="87" t="s">
        <v>1774</v>
      </c>
      <c r="B176" s="87" t="s">
        <v>1781</v>
      </c>
      <c r="C176" s="88">
        <v>0</v>
      </c>
      <c r="D176" s="88">
        <v>0</v>
      </c>
    </row>
    <row r="177" spans="1:4" ht="15" customHeight="1" x14ac:dyDescent="0.25">
      <c r="A177" s="87" t="s">
        <v>1774</v>
      </c>
      <c r="B177" s="87" t="s">
        <v>1782</v>
      </c>
      <c r="C177" s="88">
        <v>0</v>
      </c>
      <c r="D177" s="88">
        <v>0</v>
      </c>
    </row>
    <row r="178" spans="1:4" ht="15" customHeight="1" x14ac:dyDescent="0.25">
      <c r="A178" s="87" t="s">
        <v>1774</v>
      </c>
      <c r="B178" s="87" t="s">
        <v>1783</v>
      </c>
      <c r="C178" s="88">
        <v>0</v>
      </c>
      <c r="D178" s="88">
        <v>0</v>
      </c>
    </row>
    <row r="179" spans="1:4" ht="15" customHeight="1" x14ac:dyDescent="0.25">
      <c r="A179" s="87" t="s">
        <v>1774</v>
      </c>
      <c r="B179" s="87" t="s">
        <v>1784</v>
      </c>
      <c r="C179" s="88">
        <v>0</v>
      </c>
      <c r="D179" s="88">
        <v>0</v>
      </c>
    </row>
    <row r="180" spans="1:4" ht="15" customHeight="1" x14ac:dyDescent="0.25">
      <c r="A180" s="87" t="s">
        <v>1774</v>
      </c>
      <c r="B180" s="87" t="s">
        <v>1319</v>
      </c>
      <c r="C180" s="88">
        <v>0</v>
      </c>
      <c r="D180" s="88">
        <v>0</v>
      </c>
    </row>
    <row r="181" spans="1:4" ht="15" customHeight="1" x14ac:dyDescent="0.25">
      <c r="A181" s="87" t="s">
        <v>1774</v>
      </c>
      <c r="B181" s="87" t="s">
        <v>1785</v>
      </c>
      <c r="C181" s="88">
        <v>0</v>
      </c>
      <c r="D181" s="88">
        <v>0</v>
      </c>
    </row>
    <row r="182" spans="1:4" ht="15" customHeight="1" x14ac:dyDescent="0.25">
      <c r="A182" s="87" t="s">
        <v>1774</v>
      </c>
      <c r="B182" s="87" t="s">
        <v>1786</v>
      </c>
      <c r="C182" s="88">
        <v>0</v>
      </c>
      <c r="D182" s="88">
        <v>0</v>
      </c>
    </row>
    <row r="183" spans="1:4" ht="15" customHeight="1" x14ac:dyDescent="0.25">
      <c r="A183" s="87" t="s">
        <v>1774</v>
      </c>
      <c r="B183" s="87" t="s">
        <v>1787</v>
      </c>
      <c r="C183" s="88">
        <v>0</v>
      </c>
      <c r="D183" s="88">
        <v>0</v>
      </c>
    </row>
    <row r="184" spans="1:4" ht="15" customHeight="1" x14ac:dyDescent="0.25">
      <c r="A184" s="87" t="s">
        <v>1774</v>
      </c>
      <c r="B184" s="87" t="s">
        <v>1788</v>
      </c>
      <c r="C184" s="88">
        <v>0</v>
      </c>
      <c r="D184" s="88">
        <v>0</v>
      </c>
    </row>
    <row r="185" spans="1:4" ht="15" customHeight="1" x14ac:dyDescent="0.25">
      <c r="A185" s="87" t="s">
        <v>1774</v>
      </c>
      <c r="B185" s="87" t="s">
        <v>1789</v>
      </c>
      <c r="C185" s="88">
        <v>0</v>
      </c>
      <c r="D185" s="88">
        <v>0</v>
      </c>
    </row>
    <row r="186" spans="1:4" ht="15" customHeight="1" x14ac:dyDescent="0.25">
      <c r="A186" s="87" t="s">
        <v>1774</v>
      </c>
      <c r="B186" s="87" t="s">
        <v>1790</v>
      </c>
      <c r="C186" s="88">
        <v>0</v>
      </c>
      <c r="D186" s="88">
        <v>0</v>
      </c>
    </row>
    <row r="187" spans="1:4" ht="15" customHeight="1" x14ac:dyDescent="0.25">
      <c r="A187" s="87" t="s">
        <v>1774</v>
      </c>
      <c r="B187" s="87" t="s">
        <v>1292</v>
      </c>
      <c r="C187" s="88">
        <v>0</v>
      </c>
      <c r="D187" s="88">
        <v>0</v>
      </c>
    </row>
    <row r="188" spans="1:4" ht="15" customHeight="1" x14ac:dyDescent="0.25">
      <c r="A188" s="87" t="s">
        <v>1774</v>
      </c>
      <c r="B188" s="87" t="s">
        <v>1791</v>
      </c>
      <c r="C188" s="88">
        <v>0</v>
      </c>
      <c r="D188" s="88">
        <v>0</v>
      </c>
    </row>
    <row r="189" spans="1:4" ht="15" customHeight="1" x14ac:dyDescent="0.25">
      <c r="A189" s="87" t="s">
        <v>1774</v>
      </c>
      <c r="B189" s="87" t="s">
        <v>1299</v>
      </c>
      <c r="C189" s="88">
        <v>0</v>
      </c>
      <c r="D189" s="88">
        <v>0</v>
      </c>
    </row>
    <row r="190" spans="1:4" ht="15" customHeight="1" x14ac:dyDescent="0.25">
      <c r="A190" s="87" t="s">
        <v>1774</v>
      </c>
      <c r="B190" s="87" t="s">
        <v>239</v>
      </c>
      <c r="C190" s="88">
        <v>0</v>
      </c>
      <c r="D190" s="88">
        <v>0</v>
      </c>
    </row>
    <row r="191" spans="1:4" ht="15" customHeight="1" x14ac:dyDescent="0.25">
      <c r="A191" s="87" t="s">
        <v>1774</v>
      </c>
      <c r="B191" s="87" t="s">
        <v>1792</v>
      </c>
      <c r="C191" s="88">
        <v>0</v>
      </c>
      <c r="D191" s="88">
        <v>0</v>
      </c>
    </row>
    <row r="192" spans="1:4" ht="15" customHeight="1" x14ac:dyDescent="0.25">
      <c r="A192" s="87" t="s">
        <v>1774</v>
      </c>
      <c r="B192" s="87" t="s">
        <v>1793</v>
      </c>
      <c r="C192" s="88">
        <v>0</v>
      </c>
      <c r="D192" s="88">
        <v>0</v>
      </c>
    </row>
    <row r="193" spans="1:4" ht="15" customHeight="1" x14ac:dyDescent="0.25">
      <c r="A193" s="87" t="s">
        <v>1774</v>
      </c>
      <c r="B193" s="87" t="s">
        <v>1794</v>
      </c>
      <c r="C193" s="88">
        <v>0</v>
      </c>
      <c r="D193" s="88">
        <v>0</v>
      </c>
    </row>
    <row r="194" spans="1:4" ht="15" customHeight="1" x14ac:dyDescent="0.25">
      <c r="A194" s="87" t="s">
        <v>1774</v>
      </c>
      <c r="B194" s="87" t="s">
        <v>1795</v>
      </c>
      <c r="C194" s="88">
        <v>0</v>
      </c>
      <c r="D194" s="88">
        <v>0</v>
      </c>
    </row>
    <row r="195" spans="1:4" ht="15" customHeight="1" x14ac:dyDescent="0.25">
      <c r="A195" s="87" t="s">
        <v>1774</v>
      </c>
      <c r="B195" s="87" t="s">
        <v>1796</v>
      </c>
      <c r="C195" s="88">
        <v>0</v>
      </c>
      <c r="D195" s="88">
        <v>0</v>
      </c>
    </row>
    <row r="196" spans="1:4" ht="15" customHeight="1" x14ac:dyDescent="0.25">
      <c r="A196" s="87" t="s">
        <v>1774</v>
      </c>
      <c r="B196" s="87" t="s">
        <v>1797</v>
      </c>
      <c r="C196" s="88">
        <v>0</v>
      </c>
      <c r="D196" s="88">
        <v>0</v>
      </c>
    </row>
    <row r="197" spans="1:4" ht="15" customHeight="1" x14ac:dyDescent="0.25">
      <c r="A197" s="87" t="s">
        <v>1774</v>
      </c>
      <c r="B197" s="87" t="s">
        <v>1798</v>
      </c>
      <c r="C197" s="88">
        <v>0</v>
      </c>
      <c r="D197" s="88">
        <v>0</v>
      </c>
    </row>
    <row r="198" spans="1:4" ht="15" customHeight="1" x14ac:dyDescent="0.25">
      <c r="A198" s="87" t="s">
        <v>1774</v>
      </c>
      <c r="B198" s="87" t="s">
        <v>1799</v>
      </c>
      <c r="C198" s="88">
        <v>0</v>
      </c>
      <c r="D198" s="88">
        <v>0</v>
      </c>
    </row>
    <row r="199" spans="1:4" ht="15" customHeight="1" x14ac:dyDescent="0.25">
      <c r="A199" s="87" t="s">
        <v>1774</v>
      </c>
      <c r="B199" s="87" t="s">
        <v>1800</v>
      </c>
      <c r="C199" s="88">
        <v>0</v>
      </c>
      <c r="D199" s="88">
        <v>0</v>
      </c>
    </row>
    <row r="200" spans="1:4" ht="15" customHeight="1" x14ac:dyDescent="0.25">
      <c r="A200" s="87" t="s">
        <v>1774</v>
      </c>
      <c r="B200" s="87" t="s">
        <v>1801</v>
      </c>
      <c r="C200" s="88">
        <v>0</v>
      </c>
      <c r="D200" s="88">
        <v>0</v>
      </c>
    </row>
    <row r="201" spans="1:4" ht="15" customHeight="1" x14ac:dyDescent="0.25">
      <c r="A201" s="87" t="s">
        <v>1774</v>
      </c>
      <c r="B201" s="87" t="s">
        <v>1802</v>
      </c>
      <c r="C201" s="88">
        <v>0</v>
      </c>
      <c r="D201" s="88">
        <v>0</v>
      </c>
    </row>
    <row r="202" spans="1:4" ht="15" customHeight="1" x14ac:dyDescent="0.25">
      <c r="A202" s="87" t="s">
        <v>1774</v>
      </c>
      <c r="B202" s="87" t="s">
        <v>1803</v>
      </c>
      <c r="C202" s="88">
        <v>0</v>
      </c>
      <c r="D202" s="88">
        <v>0</v>
      </c>
    </row>
    <row r="203" spans="1:4" ht="15" customHeight="1" x14ac:dyDescent="0.25">
      <c r="A203" s="87" t="s">
        <v>1774</v>
      </c>
      <c r="B203" s="87" t="s">
        <v>710</v>
      </c>
      <c r="C203" s="88">
        <v>0</v>
      </c>
      <c r="D203" s="88">
        <v>0</v>
      </c>
    </row>
    <row r="204" spans="1:4" ht="15" customHeight="1" x14ac:dyDescent="0.25">
      <c r="A204" s="87" t="s">
        <v>1774</v>
      </c>
      <c r="B204" s="87" t="s">
        <v>1804</v>
      </c>
      <c r="C204" s="88">
        <v>0</v>
      </c>
      <c r="D204" s="88">
        <v>0</v>
      </c>
    </row>
    <row r="205" spans="1:4" ht="15" customHeight="1" x14ac:dyDescent="0.25">
      <c r="A205" s="87" t="s">
        <v>1774</v>
      </c>
      <c r="B205" s="87" t="s">
        <v>716</v>
      </c>
      <c r="C205" s="88">
        <v>0</v>
      </c>
      <c r="D205" s="88">
        <v>0</v>
      </c>
    </row>
    <row r="206" spans="1:4" ht="15" customHeight="1" x14ac:dyDescent="0.25">
      <c r="A206" s="87" t="s">
        <v>1774</v>
      </c>
      <c r="B206" s="87" t="s">
        <v>1805</v>
      </c>
      <c r="C206" s="88">
        <v>0</v>
      </c>
      <c r="D206" s="88">
        <v>0</v>
      </c>
    </row>
    <row r="207" spans="1:4" ht="15" customHeight="1" x14ac:dyDescent="0.25">
      <c r="A207" s="87" t="s">
        <v>1774</v>
      </c>
      <c r="B207" s="87" t="s">
        <v>1806</v>
      </c>
      <c r="C207" s="88">
        <v>0</v>
      </c>
      <c r="D207" s="88">
        <v>0</v>
      </c>
    </row>
    <row r="208" spans="1:4" ht="15" customHeight="1" x14ac:dyDescent="0.25">
      <c r="A208" s="87" t="s">
        <v>1774</v>
      </c>
      <c r="B208" s="87" t="s">
        <v>1807</v>
      </c>
      <c r="C208" s="88">
        <v>0</v>
      </c>
      <c r="D208" s="88">
        <v>0</v>
      </c>
    </row>
    <row r="209" spans="1:6" ht="15" customHeight="1" x14ac:dyDescent="0.25">
      <c r="A209" s="87" t="s">
        <v>1774</v>
      </c>
      <c r="B209" s="87" t="s">
        <v>1808</v>
      </c>
      <c r="C209" s="88">
        <v>0</v>
      </c>
      <c r="D209" s="88">
        <v>0</v>
      </c>
    </row>
    <row r="210" spans="1:6" ht="15" customHeight="1" x14ac:dyDescent="0.25">
      <c r="A210" s="87" t="s">
        <v>1774</v>
      </c>
      <c r="B210" s="87" t="s">
        <v>1809</v>
      </c>
      <c r="C210" s="88">
        <v>0</v>
      </c>
      <c r="D210" s="88">
        <v>0</v>
      </c>
    </row>
    <row r="211" spans="1:6" ht="15" customHeight="1" x14ac:dyDescent="0.25">
      <c r="A211" s="87" t="s">
        <v>1774</v>
      </c>
      <c r="B211" s="87" t="s">
        <v>1161</v>
      </c>
      <c r="C211" s="88">
        <v>0</v>
      </c>
      <c r="D211" s="88">
        <v>0</v>
      </c>
    </row>
    <row r="212" spans="1:6" ht="15" customHeight="1" x14ac:dyDescent="0.25">
      <c r="A212" s="87" t="s">
        <v>1774</v>
      </c>
      <c r="B212" s="87" t="s">
        <v>1810</v>
      </c>
      <c r="C212" s="88">
        <v>0</v>
      </c>
      <c r="D212" s="88">
        <v>0</v>
      </c>
    </row>
    <row r="213" spans="1:6" ht="15" customHeight="1" x14ac:dyDescent="0.25">
      <c r="A213" s="87" t="s">
        <v>1774</v>
      </c>
      <c r="B213" s="87" t="s">
        <v>1811</v>
      </c>
      <c r="C213" s="88">
        <v>0</v>
      </c>
      <c r="D213" s="88">
        <v>0</v>
      </c>
      <c r="E213" s="89" t="s">
        <v>1707</v>
      </c>
    </row>
    <row r="214" spans="1:6" ht="15" customHeight="1" x14ac:dyDescent="0.25">
      <c r="A214" s="87" t="s">
        <v>1774</v>
      </c>
      <c r="B214" s="87" t="s">
        <v>1812</v>
      </c>
      <c r="C214" s="88">
        <v>0</v>
      </c>
      <c r="D214" s="88">
        <v>0</v>
      </c>
      <c r="E214" s="89">
        <v>0</v>
      </c>
      <c r="F214" s="89">
        <v>0</v>
      </c>
    </row>
    <row r="216" spans="1:6" ht="15" customHeight="1" x14ac:dyDescent="0.25">
      <c r="A216" s="87" t="s">
        <v>22</v>
      </c>
      <c r="B216" s="87" t="s">
        <v>1813</v>
      </c>
      <c r="C216" s="88">
        <v>0</v>
      </c>
      <c r="D216" s="88">
        <v>0</v>
      </c>
    </row>
    <row r="217" spans="1:6" ht="15" customHeight="1" x14ac:dyDescent="0.25">
      <c r="A217" s="87" t="s">
        <v>22</v>
      </c>
      <c r="B217" s="87" t="s">
        <v>1814</v>
      </c>
      <c r="C217" s="88">
        <v>0</v>
      </c>
      <c r="D217" s="88">
        <v>0</v>
      </c>
    </row>
    <row r="218" spans="1:6" ht="15" customHeight="1" x14ac:dyDescent="0.25">
      <c r="A218" s="87" t="s">
        <v>22</v>
      </c>
      <c r="B218" s="87" t="s">
        <v>1815</v>
      </c>
      <c r="C218" s="88">
        <v>0</v>
      </c>
      <c r="D218" s="88">
        <v>0</v>
      </c>
    </row>
    <row r="219" spans="1:6" ht="15" customHeight="1" x14ac:dyDescent="0.25">
      <c r="A219" s="87" t="s">
        <v>22</v>
      </c>
      <c r="B219" s="87" t="s">
        <v>1816</v>
      </c>
      <c r="C219" s="88">
        <v>0</v>
      </c>
      <c r="D219" s="88">
        <v>0</v>
      </c>
    </row>
    <row r="220" spans="1:6" ht="15" customHeight="1" x14ac:dyDescent="0.25">
      <c r="A220" s="87" t="s">
        <v>22</v>
      </c>
      <c r="B220" s="87" t="s">
        <v>1817</v>
      </c>
      <c r="C220" s="88">
        <v>0</v>
      </c>
      <c r="D220" s="88">
        <v>0</v>
      </c>
    </row>
    <row r="221" spans="1:6" ht="15" customHeight="1" x14ac:dyDescent="0.25">
      <c r="A221" s="87" t="s">
        <v>22</v>
      </c>
      <c r="B221" s="87" t="s">
        <v>1818</v>
      </c>
      <c r="C221" s="88">
        <v>0</v>
      </c>
      <c r="D221" s="88">
        <v>0</v>
      </c>
    </row>
    <row r="222" spans="1:6" ht="15" customHeight="1" x14ac:dyDescent="0.25">
      <c r="A222" s="87" t="s">
        <v>22</v>
      </c>
      <c r="B222" s="87" t="s">
        <v>1819</v>
      </c>
      <c r="C222" s="88">
        <v>0</v>
      </c>
      <c r="D222" s="88">
        <v>0</v>
      </c>
    </row>
    <row r="223" spans="1:6" ht="15" customHeight="1" x14ac:dyDescent="0.25">
      <c r="A223" s="87" t="s">
        <v>22</v>
      </c>
      <c r="B223" s="87" t="s">
        <v>22</v>
      </c>
      <c r="C223" s="88">
        <v>0</v>
      </c>
      <c r="D223" s="88">
        <v>0</v>
      </c>
    </row>
    <row r="224" spans="1:6" ht="15" customHeight="1" x14ac:dyDescent="0.25">
      <c r="A224" s="87" t="s">
        <v>22</v>
      </c>
      <c r="B224" s="87" t="s">
        <v>1726</v>
      </c>
      <c r="C224" s="88">
        <v>0</v>
      </c>
      <c r="D224" s="88">
        <v>0</v>
      </c>
    </row>
    <row r="225" spans="1:4" ht="15" customHeight="1" x14ac:dyDescent="0.25">
      <c r="A225" s="87" t="s">
        <v>22</v>
      </c>
      <c r="B225" s="87" t="s">
        <v>1110</v>
      </c>
      <c r="C225" s="88">
        <v>0</v>
      </c>
      <c r="D225" s="88">
        <v>0</v>
      </c>
    </row>
    <row r="226" spans="1:4" ht="15" customHeight="1" x14ac:dyDescent="0.25">
      <c r="A226" s="87" t="s">
        <v>22</v>
      </c>
      <c r="B226" s="87" t="s">
        <v>1820</v>
      </c>
      <c r="C226" s="88">
        <v>0</v>
      </c>
      <c r="D226" s="88">
        <v>0</v>
      </c>
    </row>
    <row r="227" spans="1:4" ht="15" customHeight="1" x14ac:dyDescent="0.25">
      <c r="A227" s="87" t="s">
        <v>22</v>
      </c>
      <c r="B227" s="87" t="s">
        <v>24</v>
      </c>
      <c r="C227" s="88">
        <v>0</v>
      </c>
      <c r="D227" s="88">
        <v>0</v>
      </c>
    </row>
    <row r="228" spans="1:4" ht="15" customHeight="1" x14ac:dyDescent="0.25">
      <c r="A228" s="87" t="s">
        <v>22</v>
      </c>
      <c r="B228" s="87" t="s">
        <v>1821</v>
      </c>
      <c r="C228" s="88">
        <v>0</v>
      </c>
      <c r="D228" s="88">
        <v>0</v>
      </c>
    </row>
    <row r="229" spans="1:4" ht="15" customHeight="1" x14ac:dyDescent="0.25">
      <c r="A229" s="87" t="s">
        <v>22</v>
      </c>
      <c r="B229" s="87" t="s">
        <v>1822</v>
      </c>
      <c r="C229" s="88">
        <v>0</v>
      </c>
      <c r="D229" s="88">
        <v>0</v>
      </c>
    </row>
    <row r="230" spans="1:4" ht="15" customHeight="1" x14ac:dyDescent="0.25">
      <c r="A230" s="87" t="s">
        <v>22</v>
      </c>
      <c r="B230" s="87" t="s">
        <v>1823</v>
      </c>
      <c r="C230" s="88">
        <v>0</v>
      </c>
      <c r="D230" s="88">
        <v>0</v>
      </c>
    </row>
    <row r="231" spans="1:4" ht="15" customHeight="1" x14ac:dyDescent="0.25">
      <c r="A231" s="87" t="s">
        <v>22</v>
      </c>
      <c r="B231" s="87" t="s">
        <v>583</v>
      </c>
      <c r="C231" s="88">
        <v>0</v>
      </c>
      <c r="D231" s="88">
        <v>0</v>
      </c>
    </row>
    <row r="232" spans="1:4" ht="15" customHeight="1" x14ac:dyDescent="0.25">
      <c r="A232" s="87" t="s">
        <v>22</v>
      </c>
      <c r="B232" s="87" t="s">
        <v>1824</v>
      </c>
      <c r="C232" s="88">
        <v>0</v>
      </c>
      <c r="D232" s="88">
        <v>0</v>
      </c>
    </row>
    <row r="233" spans="1:4" ht="15" customHeight="1" x14ac:dyDescent="0.25">
      <c r="A233" s="87" t="s">
        <v>22</v>
      </c>
      <c r="B233" s="87" t="s">
        <v>1825</v>
      </c>
      <c r="C233" s="88">
        <v>0</v>
      </c>
      <c r="D233" s="88">
        <v>0</v>
      </c>
    </row>
    <row r="234" spans="1:4" ht="15" customHeight="1" x14ac:dyDescent="0.25">
      <c r="A234" s="87" t="s">
        <v>22</v>
      </c>
      <c r="B234" s="87" t="s">
        <v>1826</v>
      </c>
      <c r="C234" s="88">
        <v>0</v>
      </c>
      <c r="D234" s="88">
        <v>0</v>
      </c>
    </row>
    <row r="235" spans="1:4" ht="15" customHeight="1" x14ac:dyDescent="0.25">
      <c r="A235" s="87" t="s">
        <v>22</v>
      </c>
      <c r="B235" s="87" t="s">
        <v>1827</v>
      </c>
      <c r="C235" s="88">
        <v>0</v>
      </c>
      <c r="D235" s="88">
        <v>0</v>
      </c>
    </row>
    <row r="236" spans="1:4" ht="15" customHeight="1" x14ac:dyDescent="0.25">
      <c r="A236" s="87" t="s">
        <v>22</v>
      </c>
      <c r="B236" s="87" t="s">
        <v>1828</v>
      </c>
      <c r="C236" s="88">
        <v>0</v>
      </c>
      <c r="D236" s="88">
        <v>0</v>
      </c>
    </row>
    <row r="237" spans="1:4" ht="15" customHeight="1" x14ac:dyDescent="0.25">
      <c r="A237" s="87" t="s">
        <v>22</v>
      </c>
      <c r="B237" s="87" t="s">
        <v>1829</v>
      </c>
      <c r="C237" s="88">
        <v>0</v>
      </c>
      <c r="D237" s="88">
        <v>0</v>
      </c>
    </row>
    <row r="238" spans="1:4" ht="15" customHeight="1" x14ac:dyDescent="0.25">
      <c r="A238" s="87" t="s">
        <v>22</v>
      </c>
      <c r="B238" s="87" t="s">
        <v>1830</v>
      </c>
      <c r="C238" s="88">
        <v>0</v>
      </c>
      <c r="D238" s="88">
        <v>0</v>
      </c>
    </row>
    <row r="239" spans="1:4" ht="15" customHeight="1" x14ac:dyDescent="0.25">
      <c r="A239" s="87" t="s">
        <v>22</v>
      </c>
      <c r="B239" s="87" t="s">
        <v>1831</v>
      </c>
      <c r="C239" s="88">
        <v>0</v>
      </c>
      <c r="D239" s="88">
        <v>0</v>
      </c>
    </row>
    <row r="240" spans="1:4" ht="15" customHeight="1" x14ac:dyDescent="0.25">
      <c r="A240" s="87" t="s">
        <v>22</v>
      </c>
      <c r="B240" s="87" t="s">
        <v>1832</v>
      </c>
      <c r="C240" s="88">
        <v>0</v>
      </c>
      <c r="D240" s="88">
        <v>0</v>
      </c>
    </row>
    <row r="241" spans="1:4" ht="15" customHeight="1" x14ac:dyDescent="0.25">
      <c r="A241" s="87" t="s">
        <v>22</v>
      </c>
      <c r="B241" s="87" t="s">
        <v>1833</v>
      </c>
      <c r="C241" s="88">
        <v>0</v>
      </c>
      <c r="D241" s="88">
        <v>0</v>
      </c>
    </row>
    <row r="242" spans="1:4" ht="15" customHeight="1" x14ac:dyDescent="0.25">
      <c r="A242" s="87" t="s">
        <v>22</v>
      </c>
      <c r="B242" s="87" t="s">
        <v>1834</v>
      </c>
      <c r="C242" s="88">
        <v>0</v>
      </c>
      <c r="D242" s="88">
        <v>0</v>
      </c>
    </row>
    <row r="243" spans="1:4" ht="15" customHeight="1" x14ac:dyDescent="0.25">
      <c r="A243" s="87" t="s">
        <v>22</v>
      </c>
      <c r="B243" s="87" t="s">
        <v>1835</v>
      </c>
      <c r="C243" s="88">
        <v>0</v>
      </c>
      <c r="D243" s="88">
        <v>0</v>
      </c>
    </row>
    <row r="244" spans="1:4" ht="15" customHeight="1" x14ac:dyDescent="0.25">
      <c r="A244" s="87" t="s">
        <v>22</v>
      </c>
      <c r="B244" s="87" t="s">
        <v>1836</v>
      </c>
      <c r="C244" s="88">
        <v>0</v>
      </c>
      <c r="D244" s="88">
        <v>0</v>
      </c>
    </row>
    <row r="245" spans="1:4" ht="15" customHeight="1" x14ac:dyDescent="0.25">
      <c r="A245" s="87" t="s">
        <v>22</v>
      </c>
      <c r="B245" s="87" t="s">
        <v>1287</v>
      </c>
      <c r="C245" s="88">
        <v>0</v>
      </c>
      <c r="D245" s="88">
        <v>0</v>
      </c>
    </row>
    <row r="246" spans="1:4" ht="15" customHeight="1" x14ac:dyDescent="0.25">
      <c r="A246" s="87" t="s">
        <v>22</v>
      </c>
      <c r="B246" s="87" t="s">
        <v>1837</v>
      </c>
      <c r="C246" s="88">
        <v>0</v>
      </c>
      <c r="D246" s="88">
        <v>0</v>
      </c>
    </row>
    <row r="247" spans="1:4" ht="15" customHeight="1" x14ac:dyDescent="0.25">
      <c r="A247" s="87" t="s">
        <v>22</v>
      </c>
      <c r="B247" s="87" t="s">
        <v>1838</v>
      </c>
      <c r="C247" s="88">
        <v>0</v>
      </c>
      <c r="D247" s="88">
        <v>0</v>
      </c>
    </row>
    <row r="248" spans="1:4" ht="15" customHeight="1" x14ac:dyDescent="0.25">
      <c r="A248" s="87" t="s">
        <v>22</v>
      </c>
      <c r="B248" s="87" t="s">
        <v>1839</v>
      </c>
      <c r="C248" s="88">
        <v>0</v>
      </c>
      <c r="D248" s="88">
        <v>0</v>
      </c>
    </row>
    <row r="249" spans="1:4" ht="15" customHeight="1" x14ac:dyDescent="0.25">
      <c r="A249" s="87" t="s">
        <v>22</v>
      </c>
      <c r="B249" s="87" t="s">
        <v>1840</v>
      </c>
      <c r="C249" s="88">
        <v>0</v>
      </c>
      <c r="D249" s="88">
        <v>0</v>
      </c>
    </row>
    <row r="250" spans="1:4" ht="15" customHeight="1" x14ac:dyDescent="0.25">
      <c r="A250" s="87" t="s">
        <v>22</v>
      </c>
      <c r="B250" s="87" t="s">
        <v>1841</v>
      </c>
      <c r="C250" s="88">
        <v>0</v>
      </c>
      <c r="D250" s="88">
        <v>0</v>
      </c>
    </row>
    <row r="251" spans="1:4" ht="15" customHeight="1" x14ac:dyDescent="0.25">
      <c r="A251" s="87" t="s">
        <v>22</v>
      </c>
      <c r="B251" s="87" t="s">
        <v>1842</v>
      </c>
      <c r="C251" s="88">
        <v>0</v>
      </c>
      <c r="D251" s="88">
        <v>0</v>
      </c>
    </row>
    <row r="252" spans="1:4" ht="15" customHeight="1" x14ac:dyDescent="0.25">
      <c r="A252" s="87" t="s">
        <v>22</v>
      </c>
      <c r="B252" s="87" t="s">
        <v>1843</v>
      </c>
      <c r="C252" s="88">
        <v>0</v>
      </c>
      <c r="D252" s="88">
        <v>0</v>
      </c>
    </row>
    <row r="253" spans="1:4" ht="15" customHeight="1" x14ac:dyDescent="0.25">
      <c r="A253" s="87" t="s">
        <v>22</v>
      </c>
      <c r="B253" s="87" t="s">
        <v>1844</v>
      </c>
      <c r="C253" s="88">
        <v>0</v>
      </c>
      <c r="D253" s="88">
        <v>0</v>
      </c>
    </row>
    <row r="254" spans="1:4" ht="15" customHeight="1" x14ac:dyDescent="0.25">
      <c r="A254" s="87" t="s">
        <v>22</v>
      </c>
      <c r="B254" s="87" t="s">
        <v>1845</v>
      </c>
      <c r="C254" s="88">
        <v>0</v>
      </c>
      <c r="D254" s="88">
        <v>0</v>
      </c>
    </row>
    <row r="255" spans="1:4" ht="15" customHeight="1" x14ac:dyDescent="0.25">
      <c r="A255" s="87" t="s">
        <v>22</v>
      </c>
      <c r="B255" s="87" t="s">
        <v>1456</v>
      </c>
      <c r="C255" s="88">
        <v>0</v>
      </c>
      <c r="D255" s="88">
        <v>0</v>
      </c>
    </row>
    <row r="256" spans="1:4" ht="15" customHeight="1" x14ac:dyDescent="0.25">
      <c r="A256" s="87" t="s">
        <v>22</v>
      </c>
      <c r="B256" s="87" t="s">
        <v>1846</v>
      </c>
      <c r="C256" s="88">
        <v>0</v>
      </c>
      <c r="D256" s="88">
        <v>0</v>
      </c>
    </row>
    <row r="257" spans="1:4" ht="15" customHeight="1" x14ac:dyDescent="0.25">
      <c r="A257" s="87" t="s">
        <v>22</v>
      </c>
      <c r="B257" s="87" t="s">
        <v>1847</v>
      </c>
      <c r="C257" s="88">
        <v>0</v>
      </c>
      <c r="D257" s="88">
        <v>0</v>
      </c>
    </row>
    <row r="258" spans="1:4" ht="15" customHeight="1" x14ac:dyDescent="0.25">
      <c r="A258" s="87" t="s">
        <v>22</v>
      </c>
      <c r="B258" s="87" t="s">
        <v>1848</v>
      </c>
      <c r="C258" s="88">
        <v>0</v>
      </c>
      <c r="D258" s="88">
        <v>0</v>
      </c>
    </row>
    <row r="259" spans="1:4" ht="15" customHeight="1" x14ac:dyDescent="0.25">
      <c r="A259" s="87" t="s">
        <v>22</v>
      </c>
      <c r="B259" s="87" t="s">
        <v>189</v>
      </c>
      <c r="C259" s="88">
        <v>0</v>
      </c>
      <c r="D259" s="88">
        <v>0</v>
      </c>
    </row>
    <row r="260" spans="1:4" ht="15" customHeight="1" x14ac:dyDescent="0.25">
      <c r="A260" s="87" t="s">
        <v>22</v>
      </c>
      <c r="B260" s="87" t="s">
        <v>1849</v>
      </c>
      <c r="C260" s="88">
        <v>0</v>
      </c>
      <c r="D260" s="88">
        <v>0</v>
      </c>
    </row>
    <row r="261" spans="1:4" ht="15" customHeight="1" x14ac:dyDescent="0.25">
      <c r="A261" s="87" t="s">
        <v>22</v>
      </c>
      <c r="B261" s="87" t="s">
        <v>1850</v>
      </c>
      <c r="C261" s="88">
        <v>0</v>
      </c>
      <c r="D261" s="88">
        <v>0</v>
      </c>
    </row>
    <row r="262" spans="1:4" ht="15" customHeight="1" x14ac:dyDescent="0.25">
      <c r="A262" s="87" t="s">
        <v>22</v>
      </c>
      <c r="B262" s="87" t="s">
        <v>1010</v>
      </c>
      <c r="C262" s="88">
        <v>0</v>
      </c>
      <c r="D262" s="88">
        <v>0</v>
      </c>
    </row>
    <row r="263" spans="1:4" ht="15" customHeight="1" x14ac:dyDescent="0.25">
      <c r="A263" s="87" t="s">
        <v>22</v>
      </c>
      <c r="B263" s="87" t="s">
        <v>1851</v>
      </c>
      <c r="C263" s="88">
        <v>0</v>
      </c>
      <c r="D263" s="88">
        <v>0</v>
      </c>
    </row>
    <row r="264" spans="1:4" ht="15" customHeight="1" x14ac:dyDescent="0.25">
      <c r="A264" s="87" t="s">
        <v>22</v>
      </c>
      <c r="B264" s="87" t="s">
        <v>1852</v>
      </c>
      <c r="C264" s="88">
        <v>0</v>
      </c>
      <c r="D264" s="88">
        <v>0</v>
      </c>
    </row>
    <row r="265" spans="1:4" ht="15" customHeight="1" x14ac:dyDescent="0.25">
      <c r="A265" s="87" t="s">
        <v>22</v>
      </c>
      <c r="B265" s="87" t="s">
        <v>1853</v>
      </c>
      <c r="C265" s="88">
        <v>0</v>
      </c>
      <c r="D265" s="88">
        <v>0</v>
      </c>
    </row>
    <row r="266" spans="1:4" ht="15" customHeight="1" x14ac:dyDescent="0.25">
      <c r="A266" s="87" t="s">
        <v>22</v>
      </c>
      <c r="B266" s="87" t="s">
        <v>1496</v>
      </c>
      <c r="C266" s="88">
        <v>0</v>
      </c>
      <c r="D266" s="88">
        <v>0</v>
      </c>
    </row>
    <row r="267" spans="1:4" ht="15" customHeight="1" x14ac:dyDescent="0.25">
      <c r="A267" s="87" t="s">
        <v>22</v>
      </c>
      <c r="B267" s="87" t="s">
        <v>1854</v>
      </c>
      <c r="C267" s="88">
        <v>0</v>
      </c>
      <c r="D267" s="88">
        <v>0</v>
      </c>
    </row>
    <row r="268" spans="1:4" ht="15" customHeight="1" x14ac:dyDescent="0.25">
      <c r="A268" s="87" t="s">
        <v>22</v>
      </c>
      <c r="B268" s="87" t="s">
        <v>1855</v>
      </c>
      <c r="C268" s="88">
        <v>0</v>
      </c>
      <c r="D268" s="88">
        <v>0</v>
      </c>
    </row>
    <row r="269" spans="1:4" ht="15" customHeight="1" x14ac:dyDescent="0.25">
      <c r="A269" s="87" t="s">
        <v>22</v>
      </c>
      <c r="B269" s="87" t="s">
        <v>1501</v>
      </c>
      <c r="C269" s="88">
        <v>0</v>
      </c>
      <c r="D269" s="88">
        <v>0</v>
      </c>
    </row>
    <row r="270" spans="1:4" ht="15" customHeight="1" x14ac:dyDescent="0.25">
      <c r="A270" s="87" t="s">
        <v>22</v>
      </c>
      <c r="B270" s="87" t="s">
        <v>1856</v>
      </c>
      <c r="C270" s="88">
        <v>0</v>
      </c>
      <c r="D270" s="88">
        <v>0</v>
      </c>
    </row>
    <row r="271" spans="1:4" ht="15" customHeight="1" x14ac:dyDescent="0.25">
      <c r="A271" s="87" t="s">
        <v>22</v>
      </c>
      <c r="B271" s="87" t="s">
        <v>1857</v>
      </c>
      <c r="C271" s="88">
        <v>0</v>
      </c>
      <c r="D271" s="88">
        <v>0</v>
      </c>
    </row>
    <row r="272" spans="1:4" ht="15" customHeight="1" x14ac:dyDescent="0.25">
      <c r="A272" s="87" t="s">
        <v>22</v>
      </c>
      <c r="B272" s="87" t="s">
        <v>1858</v>
      </c>
      <c r="C272" s="88">
        <v>0</v>
      </c>
      <c r="D272" s="88">
        <v>0</v>
      </c>
    </row>
    <row r="273" spans="1:4" ht="15" customHeight="1" x14ac:dyDescent="0.25">
      <c r="A273" s="87" t="s">
        <v>22</v>
      </c>
      <c r="B273" s="87" t="s">
        <v>1859</v>
      </c>
      <c r="C273" s="88">
        <v>0</v>
      </c>
      <c r="D273" s="88">
        <v>0</v>
      </c>
    </row>
    <row r="274" spans="1:4" ht="15" customHeight="1" x14ac:dyDescent="0.25">
      <c r="A274" s="87" t="s">
        <v>22</v>
      </c>
      <c r="B274" s="87" t="s">
        <v>1860</v>
      </c>
      <c r="C274" s="88">
        <v>0</v>
      </c>
      <c r="D274" s="88">
        <v>0</v>
      </c>
    </row>
    <row r="275" spans="1:4" ht="15" customHeight="1" x14ac:dyDescent="0.25">
      <c r="A275" s="87" t="s">
        <v>22</v>
      </c>
      <c r="B275" s="87" t="s">
        <v>1515</v>
      </c>
      <c r="C275" s="88">
        <v>0</v>
      </c>
      <c r="D275" s="88">
        <v>0</v>
      </c>
    </row>
    <row r="276" spans="1:4" ht="15" customHeight="1" x14ac:dyDescent="0.25">
      <c r="A276" s="87" t="s">
        <v>22</v>
      </c>
      <c r="B276" s="87" t="s">
        <v>1861</v>
      </c>
      <c r="C276" s="88">
        <v>0</v>
      </c>
      <c r="D276" s="88">
        <v>0</v>
      </c>
    </row>
    <row r="277" spans="1:4" ht="15" customHeight="1" x14ac:dyDescent="0.25">
      <c r="A277" s="87" t="s">
        <v>22</v>
      </c>
      <c r="B277" s="87" t="s">
        <v>1862</v>
      </c>
      <c r="C277" s="88">
        <v>0</v>
      </c>
      <c r="D277" s="88">
        <v>0</v>
      </c>
    </row>
    <row r="278" spans="1:4" ht="15" customHeight="1" x14ac:dyDescent="0.25">
      <c r="A278" s="87" t="s">
        <v>22</v>
      </c>
      <c r="B278" s="87" t="s">
        <v>1863</v>
      </c>
      <c r="C278" s="88">
        <v>0</v>
      </c>
      <c r="D278" s="88">
        <v>0</v>
      </c>
    </row>
    <row r="279" spans="1:4" ht="15" customHeight="1" x14ac:dyDescent="0.25">
      <c r="A279" s="87" t="s">
        <v>22</v>
      </c>
      <c r="B279" s="87" t="s">
        <v>1864</v>
      </c>
      <c r="C279" s="88">
        <v>0</v>
      </c>
      <c r="D279" s="88">
        <v>0</v>
      </c>
    </row>
    <row r="280" spans="1:4" ht="15" customHeight="1" x14ac:dyDescent="0.25">
      <c r="A280" s="87" t="s">
        <v>22</v>
      </c>
      <c r="B280" s="87" t="s">
        <v>1865</v>
      </c>
      <c r="C280" s="88">
        <v>0</v>
      </c>
      <c r="D280" s="88">
        <v>0</v>
      </c>
    </row>
    <row r="281" spans="1:4" ht="15" customHeight="1" x14ac:dyDescent="0.25">
      <c r="A281" s="87" t="s">
        <v>22</v>
      </c>
      <c r="B281" s="87" t="s">
        <v>1866</v>
      </c>
      <c r="C281" s="88">
        <v>0</v>
      </c>
      <c r="D281" s="88">
        <v>0</v>
      </c>
    </row>
    <row r="282" spans="1:4" ht="15" customHeight="1" x14ac:dyDescent="0.25">
      <c r="A282" s="87" t="s">
        <v>22</v>
      </c>
      <c r="B282" s="87" t="s">
        <v>1867</v>
      </c>
      <c r="C282" s="88">
        <v>0</v>
      </c>
      <c r="D282" s="88">
        <v>0</v>
      </c>
    </row>
    <row r="283" spans="1:4" ht="15" customHeight="1" x14ac:dyDescent="0.25">
      <c r="A283" s="87" t="s">
        <v>22</v>
      </c>
      <c r="B283" s="87" t="s">
        <v>1868</v>
      </c>
      <c r="C283" s="88">
        <v>0</v>
      </c>
      <c r="D283" s="88">
        <v>0</v>
      </c>
    </row>
    <row r="284" spans="1:4" ht="15" customHeight="1" x14ac:dyDescent="0.25">
      <c r="A284" s="87" t="s">
        <v>22</v>
      </c>
      <c r="B284" s="87" t="s">
        <v>1869</v>
      </c>
      <c r="C284" s="88">
        <v>0</v>
      </c>
      <c r="D284" s="88">
        <v>0</v>
      </c>
    </row>
    <row r="285" spans="1:4" ht="15" customHeight="1" x14ac:dyDescent="0.25">
      <c r="A285" s="87" t="s">
        <v>22</v>
      </c>
      <c r="B285" s="87" t="s">
        <v>1870</v>
      </c>
      <c r="C285" s="88">
        <v>0</v>
      </c>
      <c r="D285" s="88">
        <v>0</v>
      </c>
    </row>
    <row r="286" spans="1:4" ht="15" customHeight="1" x14ac:dyDescent="0.25">
      <c r="A286" s="87" t="s">
        <v>22</v>
      </c>
      <c r="B286" s="87" t="s">
        <v>1529</v>
      </c>
      <c r="C286" s="88">
        <v>0</v>
      </c>
      <c r="D286" s="88">
        <v>0</v>
      </c>
    </row>
    <row r="287" spans="1:4" ht="15" customHeight="1" x14ac:dyDescent="0.25">
      <c r="A287" s="87" t="s">
        <v>22</v>
      </c>
      <c r="B287" s="87" t="s">
        <v>1871</v>
      </c>
      <c r="C287" s="88">
        <v>0</v>
      </c>
      <c r="D287" s="88">
        <v>0</v>
      </c>
    </row>
    <row r="288" spans="1:4" ht="15" customHeight="1" x14ac:dyDescent="0.25">
      <c r="A288" s="87" t="s">
        <v>22</v>
      </c>
      <c r="B288" s="87" t="s">
        <v>1872</v>
      </c>
      <c r="C288" s="88">
        <v>0</v>
      </c>
      <c r="D288" s="88">
        <v>0</v>
      </c>
    </row>
    <row r="289" spans="1:4" ht="15" customHeight="1" x14ac:dyDescent="0.25">
      <c r="A289" s="87" t="s">
        <v>22</v>
      </c>
      <c r="B289" s="87" t="s">
        <v>1873</v>
      </c>
      <c r="C289" s="88">
        <v>0</v>
      </c>
      <c r="D289" s="88">
        <v>0</v>
      </c>
    </row>
    <row r="290" spans="1:4" ht="15" customHeight="1" x14ac:dyDescent="0.25">
      <c r="A290" s="87" t="s">
        <v>22</v>
      </c>
      <c r="B290" s="87" t="s">
        <v>1874</v>
      </c>
      <c r="C290" s="88">
        <v>0</v>
      </c>
      <c r="D290" s="88">
        <v>0</v>
      </c>
    </row>
    <row r="291" spans="1:4" ht="15" customHeight="1" x14ac:dyDescent="0.25">
      <c r="A291" s="87" t="s">
        <v>22</v>
      </c>
      <c r="B291" s="87" t="s">
        <v>1543</v>
      </c>
      <c r="C291" s="88">
        <v>0</v>
      </c>
      <c r="D291" s="88">
        <v>0</v>
      </c>
    </row>
    <row r="292" spans="1:4" ht="15" customHeight="1" x14ac:dyDescent="0.25">
      <c r="A292" s="87" t="s">
        <v>22</v>
      </c>
      <c r="B292" s="87" t="s">
        <v>1875</v>
      </c>
      <c r="C292" s="88">
        <v>0</v>
      </c>
      <c r="D292" s="88">
        <v>0</v>
      </c>
    </row>
    <row r="293" spans="1:4" ht="15" customHeight="1" x14ac:dyDescent="0.25">
      <c r="A293" s="87" t="s">
        <v>22</v>
      </c>
      <c r="B293" s="87" t="s">
        <v>1547</v>
      </c>
      <c r="C293" s="88">
        <v>0</v>
      </c>
      <c r="D293" s="88">
        <v>0</v>
      </c>
    </row>
    <row r="294" spans="1:4" ht="15" customHeight="1" x14ac:dyDescent="0.25">
      <c r="A294" s="87" t="s">
        <v>22</v>
      </c>
      <c r="B294" s="87" t="s">
        <v>1876</v>
      </c>
      <c r="C294" s="88">
        <v>0</v>
      </c>
      <c r="D294" s="88">
        <v>0</v>
      </c>
    </row>
    <row r="295" spans="1:4" ht="15" customHeight="1" x14ac:dyDescent="0.25">
      <c r="A295" s="87" t="s">
        <v>22</v>
      </c>
      <c r="B295" s="87" t="s">
        <v>1877</v>
      </c>
      <c r="C295" s="88">
        <v>0</v>
      </c>
      <c r="D295" s="88">
        <v>0</v>
      </c>
    </row>
    <row r="296" spans="1:4" ht="15" customHeight="1" x14ac:dyDescent="0.25">
      <c r="A296" s="87" t="s">
        <v>22</v>
      </c>
      <c r="B296" s="87" t="s">
        <v>1878</v>
      </c>
      <c r="C296" s="88">
        <v>0</v>
      </c>
      <c r="D296" s="88">
        <v>0</v>
      </c>
    </row>
    <row r="297" spans="1:4" ht="15" customHeight="1" x14ac:dyDescent="0.25">
      <c r="A297" s="87" t="s">
        <v>22</v>
      </c>
      <c r="B297" s="87" t="s">
        <v>1879</v>
      </c>
      <c r="C297" s="88">
        <v>0</v>
      </c>
      <c r="D297" s="88">
        <v>0</v>
      </c>
    </row>
    <row r="298" spans="1:4" ht="15" customHeight="1" x14ac:dyDescent="0.25">
      <c r="A298" s="87" t="s">
        <v>22</v>
      </c>
      <c r="B298" s="87" t="s">
        <v>1880</v>
      </c>
      <c r="C298" s="88">
        <v>0</v>
      </c>
      <c r="D298" s="88">
        <v>0</v>
      </c>
    </row>
    <row r="299" spans="1:4" ht="15" customHeight="1" x14ac:dyDescent="0.25">
      <c r="A299" s="87" t="s">
        <v>22</v>
      </c>
      <c r="B299" s="87" t="s">
        <v>1881</v>
      </c>
      <c r="C299" s="88">
        <v>0</v>
      </c>
      <c r="D299" s="88">
        <v>0</v>
      </c>
    </row>
    <row r="300" spans="1:4" ht="15" customHeight="1" x14ac:dyDescent="0.25">
      <c r="A300" s="87" t="s">
        <v>22</v>
      </c>
      <c r="B300" s="87" t="s">
        <v>298</v>
      </c>
      <c r="C300" s="88">
        <v>0</v>
      </c>
      <c r="D300" s="88">
        <v>0</v>
      </c>
    </row>
    <row r="301" spans="1:4" ht="15" customHeight="1" x14ac:dyDescent="0.25">
      <c r="A301" s="87" t="s">
        <v>22</v>
      </c>
      <c r="B301" s="87" t="s">
        <v>1882</v>
      </c>
      <c r="C301" s="88">
        <v>0</v>
      </c>
      <c r="D301" s="88">
        <v>0</v>
      </c>
    </row>
    <row r="302" spans="1:4" ht="15" customHeight="1" x14ac:dyDescent="0.25">
      <c r="A302" s="87" t="s">
        <v>22</v>
      </c>
      <c r="B302" s="87" t="s">
        <v>1883</v>
      </c>
      <c r="C302" s="88">
        <v>0</v>
      </c>
      <c r="D302" s="88">
        <v>0</v>
      </c>
    </row>
    <row r="303" spans="1:4" ht="15" customHeight="1" x14ac:dyDescent="0.25">
      <c r="A303" s="87" t="s">
        <v>22</v>
      </c>
      <c r="B303" s="87" t="s">
        <v>1884</v>
      </c>
      <c r="C303" s="88">
        <v>0</v>
      </c>
      <c r="D303" s="88">
        <v>0</v>
      </c>
    </row>
    <row r="304" spans="1:4" ht="15" customHeight="1" x14ac:dyDescent="0.25">
      <c r="A304" s="87" t="s">
        <v>22</v>
      </c>
      <c r="B304" s="87" t="s">
        <v>1885</v>
      </c>
      <c r="C304" s="88">
        <v>0</v>
      </c>
      <c r="D304" s="88">
        <v>0</v>
      </c>
    </row>
    <row r="305" spans="1:4" ht="15" customHeight="1" x14ac:dyDescent="0.25">
      <c r="A305" s="87" t="s">
        <v>22</v>
      </c>
      <c r="B305" s="87" t="s">
        <v>1886</v>
      </c>
      <c r="C305" s="88">
        <v>0</v>
      </c>
      <c r="D305" s="88">
        <v>0</v>
      </c>
    </row>
    <row r="306" spans="1:4" ht="15" customHeight="1" x14ac:dyDescent="0.25">
      <c r="A306" s="87" t="s">
        <v>22</v>
      </c>
      <c r="B306" s="87" t="s">
        <v>1887</v>
      </c>
      <c r="C306" s="88">
        <v>0</v>
      </c>
      <c r="D306" s="88">
        <v>0</v>
      </c>
    </row>
    <row r="307" spans="1:4" ht="15" customHeight="1" x14ac:dyDescent="0.25">
      <c r="A307" s="87" t="s">
        <v>22</v>
      </c>
      <c r="B307" s="87" t="s">
        <v>1567</v>
      </c>
      <c r="C307" s="88">
        <v>0</v>
      </c>
      <c r="D307" s="88">
        <v>0</v>
      </c>
    </row>
    <row r="308" spans="1:4" ht="15" customHeight="1" x14ac:dyDescent="0.25">
      <c r="A308" s="87" t="s">
        <v>22</v>
      </c>
      <c r="B308" s="87" t="s">
        <v>1888</v>
      </c>
      <c r="C308" s="88">
        <v>0</v>
      </c>
      <c r="D308" s="88">
        <v>0</v>
      </c>
    </row>
    <row r="309" spans="1:4" ht="15" customHeight="1" x14ac:dyDescent="0.25">
      <c r="A309" s="87" t="s">
        <v>22</v>
      </c>
      <c r="B309" s="87" t="s">
        <v>1889</v>
      </c>
      <c r="C309" s="88">
        <v>0</v>
      </c>
      <c r="D309" s="88">
        <v>0</v>
      </c>
    </row>
    <row r="310" spans="1:4" ht="15" customHeight="1" x14ac:dyDescent="0.25">
      <c r="A310" s="87" t="s">
        <v>22</v>
      </c>
      <c r="B310" s="87" t="s">
        <v>1316</v>
      </c>
      <c r="C310" s="88">
        <v>0</v>
      </c>
      <c r="D310" s="88">
        <v>0</v>
      </c>
    </row>
    <row r="311" spans="1:4" ht="15" customHeight="1" x14ac:dyDescent="0.25">
      <c r="A311" s="87" t="s">
        <v>22</v>
      </c>
      <c r="B311" s="87" t="s">
        <v>1890</v>
      </c>
      <c r="C311" s="88">
        <v>0</v>
      </c>
      <c r="D311" s="88">
        <v>0</v>
      </c>
    </row>
    <row r="312" spans="1:4" ht="15" customHeight="1" x14ac:dyDescent="0.25">
      <c r="A312" s="87" t="s">
        <v>22</v>
      </c>
      <c r="B312" s="87" t="s">
        <v>1891</v>
      </c>
      <c r="C312" s="88">
        <v>0</v>
      </c>
      <c r="D312" s="88">
        <v>0</v>
      </c>
    </row>
    <row r="313" spans="1:4" ht="15" customHeight="1" x14ac:dyDescent="0.25">
      <c r="A313" s="87" t="s">
        <v>22</v>
      </c>
      <c r="B313" s="87" t="s">
        <v>1573</v>
      </c>
      <c r="C313" s="88">
        <v>0</v>
      </c>
      <c r="D313" s="88">
        <v>0</v>
      </c>
    </row>
    <row r="314" spans="1:4" ht="15" customHeight="1" x14ac:dyDescent="0.25">
      <c r="A314" s="87" t="s">
        <v>22</v>
      </c>
      <c r="B314" s="87" t="s">
        <v>1892</v>
      </c>
      <c r="C314" s="88">
        <v>0</v>
      </c>
      <c r="D314" s="88">
        <v>0</v>
      </c>
    </row>
    <row r="315" spans="1:4" ht="15" customHeight="1" x14ac:dyDescent="0.25">
      <c r="A315" s="87" t="s">
        <v>22</v>
      </c>
      <c r="B315" s="87" t="s">
        <v>1893</v>
      </c>
      <c r="C315" s="88">
        <v>0</v>
      </c>
      <c r="D315" s="88">
        <v>0</v>
      </c>
    </row>
    <row r="316" spans="1:4" ht="15" customHeight="1" x14ac:dyDescent="0.25">
      <c r="A316" s="87" t="s">
        <v>22</v>
      </c>
      <c r="B316" s="87" t="s">
        <v>1579</v>
      </c>
      <c r="C316" s="88">
        <v>0</v>
      </c>
      <c r="D316" s="88">
        <v>0</v>
      </c>
    </row>
    <row r="317" spans="1:4" ht="15" customHeight="1" x14ac:dyDescent="0.25">
      <c r="A317" s="87" t="s">
        <v>22</v>
      </c>
      <c r="B317" s="87" t="s">
        <v>1894</v>
      </c>
      <c r="C317" s="88">
        <v>0</v>
      </c>
      <c r="D317" s="88">
        <v>0</v>
      </c>
    </row>
    <row r="318" spans="1:4" ht="15" customHeight="1" x14ac:dyDescent="0.25">
      <c r="A318" s="87" t="s">
        <v>22</v>
      </c>
      <c r="B318" s="87" t="s">
        <v>1895</v>
      </c>
      <c r="C318" s="88">
        <v>0</v>
      </c>
      <c r="D318" s="88">
        <v>0</v>
      </c>
    </row>
    <row r="319" spans="1:4" ht="15" customHeight="1" x14ac:dyDescent="0.25">
      <c r="A319" s="87" t="s">
        <v>22</v>
      </c>
      <c r="B319" s="87" t="s">
        <v>1896</v>
      </c>
      <c r="C319" s="88">
        <v>0</v>
      </c>
      <c r="D319" s="88">
        <v>0</v>
      </c>
    </row>
    <row r="320" spans="1:4" ht="15" customHeight="1" x14ac:dyDescent="0.25">
      <c r="A320" s="87" t="s">
        <v>22</v>
      </c>
      <c r="B320" s="87" t="s">
        <v>1897</v>
      </c>
      <c r="C320" s="88">
        <v>0</v>
      </c>
      <c r="D320" s="88">
        <v>0</v>
      </c>
    </row>
    <row r="321" spans="1:4" ht="15" customHeight="1" x14ac:dyDescent="0.25">
      <c r="A321" s="87" t="s">
        <v>22</v>
      </c>
      <c r="B321" s="87" t="s">
        <v>1898</v>
      </c>
      <c r="C321" s="88">
        <v>0</v>
      </c>
      <c r="D321" s="88">
        <v>0</v>
      </c>
    </row>
    <row r="322" spans="1:4" ht="15" customHeight="1" x14ac:dyDescent="0.25">
      <c r="A322" s="87" t="s">
        <v>22</v>
      </c>
      <c r="B322" s="87" t="s">
        <v>1899</v>
      </c>
      <c r="C322" s="88">
        <v>0</v>
      </c>
      <c r="D322" s="88">
        <v>0</v>
      </c>
    </row>
    <row r="323" spans="1:4" ht="15" customHeight="1" x14ac:dyDescent="0.25">
      <c r="A323" s="87" t="s">
        <v>22</v>
      </c>
      <c r="B323" s="87" t="s">
        <v>1900</v>
      </c>
      <c r="C323" s="88">
        <v>0</v>
      </c>
      <c r="D323" s="88">
        <v>0</v>
      </c>
    </row>
    <row r="324" spans="1:4" ht="15" customHeight="1" x14ac:dyDescent="0.25">
      <c r="A324" s="87" t="s">
        <v>22</v>
      </c>
      <c r="B324" s="87" t="s">
        <v>1901</v>
      </c>
      <c r="C324" s="88">
        <v>0</v>
      </c>
      <c r="D324" s="88">
        <v>0</v>
      </c>
    </row>
    <row r="325" spans="1:4" ht="15" customHeight="1" x14ac:dyDescent="0.25">
      <c r="A325" s="87" t="s">
        <v>22</v>
      </c>
      <c r="B325" s="87" t="s">
        <v>1902</v>
      </c>
      <c r="C325" s="88">
        <v>0</v>
      </c>
      <c r="D325" s="88">
        <v>0</v>
      </c>
    </row>
    <row r="326" spans="1:4" ht="15" customHeight="1" x14ac:dyDescent="0.25">
      <c r="A326" s="87" t="s">
        <v>22</v>
      </c>
      <c r="B326" s="87" t="s">
        <v>1903</v>
      </c>
      <c r="C326" s="88">
        <v>0</v>
      </c>
      <c r="D326" s="88">
        <v>0</v>
      </c>
    </row>
    <row r="327" spans="1:4" ht="15" customHeight="1" x14ac:dyDescent="0.25">
      <c r="A327" s="87" t="s">
        <v>22</v>
      </c>
      <c r="B327" s="87" t="s">
        <v>1186</v>
      </c>
      <c r="C327" s="88">
        <v>0</v>
      </c>
      <c r="D327" s="88">
        <v>0</v>
      </c>
    </row>
    <row r="328" spans="1:4" ht="15" customHeight="1" x14ac:dyDescent="0.25">
      <c r="A328" s="87" t="s">
        <v>22</v>
      </c>
      <c r="B328" s="87" t="s">
        <v>1904</v>
      </c>
      <c r="C328" s="88">
        <v>0</v>
      </c>
      <c r="D328" s="88">
        <v>0</v>
      </c>
    </row>
    <row r="329" spans="1:4" ht="15" customHeight="1" x14ac:dyDescent="0.25">
      <c r="A329" s="87" t="s">
        <v>22</v>
      </c>
      <c r="B329" s="87" t="s">
        <v>1905</v>
      </c>
      <c r="C329" s="88">
        <v>0</v>
      </c>
      <c r="D329" s="88">
        <v>0</v>
      </c>
    </row>
    <row r="330" spans="1:4" ht="15" customHeight="1" x14ac:dyDescent="0.25">
      <c r="A330" s="87" t="s">
        <v>22</v>
      </c>
      <c r="B330" s="87" t="s">
        <v>1906</v>
      </c>
      <c r="C330" s="88">
        <v>0</v>
      </c>
      <c r="D330" s="88">
        <v>0</v>
      </c>
    </row>
    <row r="331" spans="1:4" ht="15" customHeight="1" x14ac:dyDescent="0.25">
      <c r="A331" s="87" t="s">
        <v>22</v>
      </c>
      <c r="B331" s="87" t="s">
        <v>1907</v>
      </c>
      <c r="C331" s="88">
        <v>0</v>
      </c>
      <c r="D331" s="88">
        <v>0</v>
      </c>
    </row>
    <row r="332" spans="1:4" ht="15" customHeight="1" x14ac:dyDescent="0.25">
      <c r="A332" s="87" t="s">
        <v>22</v>
      </c>
      <c r="B332" s="87" t="s">
        <v>1908</v>
      </c>
      <c r="C332" s="88">
        <v>0</v>
      </c>
      <c r="D332" s="88">
        <v>0</v>
      </c>
    </row>
    <row r="333" spans="1:4" ht="15" customHeight="1" x14ac:dyDescent="0.25">
      <c r="A333" s="87" t="s">
        <v>22</v>
      </c>
      <c r="B333" s="87" t="s">
        <v>1909</v>
      </c>
      <c r="C333" s="88">
        <v>0</v>
      </c>
      <c r="D333" s="88">
        <v>0</v>
      </c>
    </row>
    <row r="334" spans="1:4" ht="15" customHeight="1" x14ac:dyDescent="0.25">
      <c r="A334" s="87" t="s">
        <v>22</v>
      </c>
      <c r="B334" s="87" t="s">
        <v>1910</v>
      </c>
      <c r="C334" s="88">
        <v>0</v>
      </c>
      <c r="D334" s="88">
        <v>0</v>
      </c>
    </row>
    <row r="335" spans="1:4" ht="15" customHeight="1" x14ac:dyDescent="0.25">
      <c r="A335" s="87" t="s">
        <v>22</v>
      </c>
      <c r="B335" s="87" t="s">
        <v>1911</v>
      </c>
      <c r="C335" s="88">
        <v>0</v>
      </c>
      <c r="D335" s="88">
        <v>0</v>
      </c>
    </row>
    <row r="336" spans="1:4" ht="15" customHeight="1" x14ac:dyDescent="0.25">
      <c r="A336" s="87" t="s">
        <v>22</v>
      </c>
      <c r="B336" s="87" t="s">
        <v>1912</v>
      </c>
      <c r="C336" s="88">
        <v>0</v>
      </c>
      <c r="D336" s="88">
        <v>0</v>
      </c>
    </row>
    <row r="338" spans="1:6" ht="15" customHeight="1" x14ac:dyDescent="0.25">
      <c r="A338" s="87" t="s">
        <v>24</v>
      </c>
      <c r="B338" s="87" t="s">
        <v>864</v>
      </c>
      <c r="C338" s="88">
        <v>0</v>
      </c>
      <c r="D338" s="88">
        <v>0</v>
      </c>
    </row>
    <row r="339" spans="1:6" ht="15" customHeight="1" x14ac:dyDescent="0.25">
      <c r="A339" s="87" t="s">
        <v>24</v>
      </c>
      <c r="B339" s="87" t="s">
        <v>173</v>
      </c>
      <c r="C339" s="88">
        <v>0</v>
      </c>
      <c r="D339" s="88">
        <v>0</v>
      </c>
    </row>
    <row r="340" spans="1:6" ht="15" customHeight="1" x14ac:dyDescent="0.25">
      <c r="A340" s="87" t="s">
        <v>24</v>
      </c>
      <c r="B340" s="87" t="s">
        <v>183</v>
      </c>
      <c r="C340" s="88">
        <v>0</v>
      </c>
      <c r="D340" s="88">
        <v>0</v>
      </c>
    </row>
    <row r="341" spans="1:6" ht="15" customHeight="1" x14ac:dyDescent="0.25">
      <c r="A341" s="87" t="s">
        <v>24</v>
      </c>
      <c r="B341" s="87" t="s">
        <v>878</v>
      </c>
      <c r="C341" s="88">
        <v>0</v>
      </c>
      <c r="D341" s="88">
        <v>2</v>
      </c>
    </row>
    <row r="342" spans="1:6" ht="15" customHeight="1" x14ac:dyDescent="0.25">
      <c r="A342" s="87" t="s">
        <v>24</v>
      </c>
      <c r="B342" s="87" t="s">
        <v>847</v>
      </c>
      <c r="C342" s="88">
        <v>0</v>
      </c>
      <c r="D342" s="88">
        <v>10</v>
      </c>
    </row>
    <row r="343" spans="1:6" ht="15" customHeight="1" x14ac:dyDescent="0.25">
      <c r="A343" s="87" t="s">
        <v>24</v>
      </c>
      <c r="B343" s="87" t="s">
        <v>367</v>
      </c>
      <c r="C343" s="88">
        <v>0</v>
      </c>
      <c r="D343" s="88">
        <v>0</v>
      </c>
    </row>
    <row r="344" spans="1:6" ht="15" customHeight="1" x14ac:dyDescent="0.25">
      <c r="A344" s="87" t="s">
        <v>24</v>
      </c>
      <c r="B344" s="87" t="s">
        <v>377</v>
      </c>
      <c r="C344" s="88">
        <v>0</v>
      </c>
      <c r="D344" s="88">
        <v>0</v>
      </c>
    </row>
    <row r="345" spans="1:6" ht="15" customHeight="1" x14ac:dyDescent="0.25">
      <c r="A345" s="87" t="s">
        <v>24</v>
      </c>
      <c r="B345" s="87" t="s">
        <v>637</v>
      </c>
      <c r="C345" s="88">
        <v>0</v>
      </c>
      <c r="D345" s="88">
        <v>0</v>
      </c>
    </row>
    <row r="346" spans="1:6" ht="76.5" customHeight="1" x14ac:dyDescent="0.25">
      <c r="A346" s="87" t="s">
        <v>24</v>
      </c>
      <c r="B346" s="87" t="s">
        <v>825</v>
      </c>
      <c r="C346" s="88">
        <v>5</v>
      </c>
      <c r="D346" s="88">
        <v>160</v>
      </c>
      <c r="E346" s="89" t="s">
        <v>1913</v>
      </c>
      <c r="F346" s="89" t="s">
        <v>1914</v>
      </c>
    </row>
    <row r="347" spans="1:6" ht="15" customHeight="1" x14ac:dyDescent="0.25">
      <c r="A347" s="87" t="s">
        <v>24</v>
      </c>
      <c r="B347" s="87" t="s">
        <v>1915</v>
      </c>
      <c r="C347" s="88">
        <v>0</v>
      </c>
      <c r="D347" s="88">
        <v>0</v>
      </c>
    </row>
    <row r="348" spans="1:6" ht="15" customHeight="1" x14ac:dyDescent="0.25">
      <c r="A348" s="87" t="s">
        <v>24</v>
      </c>
      <c r="B348" s="87" t="s">
        <v>613</v>
      </c>
      <c r="C348" s="88">
        <v>0</v>
      </c>
      <c r="D348" s="88">
        <v>0</v>
      </c>
    </row>
    <row r="349" spans="1:6" ht="15" customHeight="1" x14ac:dyDescent="0.25">
      <c r="A349" s="87" t="s">
        <v>24</v>
      </c>
      <c r="B349" s="87" t="s">
        <v>640</v>
      </c>
      <c r="C349" s="88">
        <v>0</v>
      </c>
      <c r="D349" s="88">
        <v>1</v>
      </c>
    </row>
    <row r="350" spans="1:6" ht="15" customHeight="1" x14ac:dyDescent="0.25">
      <c r="A350" s="87" t="s">
        <v>24</v>
      </c>
      <c r="B350" s="87" t="s">
        <v>381</v>
      </c>
      <c r="C350" s="88">
        <v>0</v>
      </c>
      <c r="D350" s="88">
        <v>1</v>
      </c>
    </row>
    <row r="351" spans="1:6" ht="15" customHeight="1" x14ac:dyDescent="0.25">
      <c r="A351" s="87" t="s">
        <v>24</v>
      </c>
      <c r="B351" s="87" t="s">
        <v>178</v>
      </c>
      <c r="C351" s="88">
        <v>0</v>
      </c>
      <c r="D351" s="88">
        <v>0</v>
      </c>
    </row>
    <row r="352" spans="1:6" ht="15" customHeight="1" x14ac:dyDescent="0.25">
      <c r="A352" s="87" t="s">
        <v>24</v>
      </c>
      <c r="B352" s="87" t="s">
        <v>386</v>
      </c>
      <c r="C352" s="88">
        <v>0</v>
      </c>
      <c r="D352" s="88">
        <v>0</v>
      </c>
    </row>
    <row r="353" spans="1:5" ht="15" customHeight="1" x14ac:dyDescent="0.25">
      <c r="A353" s="87" t="s">
        <v>24</v>
      </c>
      <c r="B353" s="87" t="s">
        <v>842</v>
      </c>
      <c r="C353" s="88">
        <v>0</v>
      </c>
      <c r="D353" s="88">
        <v>0</v>
      </c>
    </row>
    <row r="354" spans="1:5" ht="15" customHeight="1" x14ac:dyDescent="0.25">
      <c r="A354" s="87" t="s">
        <v>24</v>
      </c>
      <c r="B354" s="87" t="s">
        <v>852</v>
      </c>
      <c r="C354" s="88">
        <v>0</v>
      </c>
      <c r="D354" s="88">
        <v>0</v>
      </c>
    </row>
    <row r="355" spans="1:5" ht="15" customHeight="1" x14ac:dyDescent="0.25">
      <c r="A355" s="87" t="s">
        <v>24</v>
      </c>
      <c r="B355" s="87" t="s">
        <v>193</v>
      </c>
      <c r="C355" s="88">
        <v>0</v>
      </c>
      <c r="D355" s="88">
        <v>0</v>
      </c>
    </row>
    <row r="356" spans="1:5" ht="38.25" customHeight="1" x14ac:dyDescent="0.25">
      <c r="A356" s="87" t="s">
        <v>24</v>
      </c>
      <c r="B356" s="87" t="s">
        <v>706</v>
      </c>
      <c r="C356" s="88">
        <v>0</v>
      </c>
      <c r="D356" s="88">
        <v>3</v>
      </c>
      <c r="E356" s="89" t="s">
        <v>1916</v>
      </c>
    </row>
    <row r="357" spans="1:5" ht="15" customHeight="1" x14ac:dyDescent="0.25">
      <c r="A357" s="87" t="s">
        <v>24</v>
      </c>
      <c r="B357" s="87" t="s">
        <v>45</v>
      </c>
      <c r="C357" s="88">
        <v>0</v>
      </c>
      <c r="D357" s="88">
        <v>0</v>
      </c>
    </row>
    <row r="358" spans="1:5" ht="15" customHeight="1" x14ac:dyDescent="0.25">
      <c r="A358" s="87" t="s">
        <v>24</v>
      </c>
      <c r="B358" s="87" t="s">
        <v>199</v>
      </c>
      <c r="C358" s="88">
        <v>0</v>
      </c>
      <c r="D358" s="88">
        <v>0</v>
      </c>
    </row>
    <row r="359" spans="1:5" ht="15" customHeight="1" x14ac:dyDescent="0.25">
      <c r="A359" s="87" t="s">
        <v>24</v>
      </c>
      <c r="B359" s="87" t="s">
        <v>203</v>
      </c>
      <c r="C359" s="88">
        <v>0</v>
      </c>
      <c r="D359" s="88">
        <v>1</v>
      </c>
    </row>
    <row r="360" spans="1:5" ht="15" customHeight="1" x14ac:dyDescent="0.25">
      <c r="A360" s="87" t="s">
        <v>24</v>
      </c>
      <c r="B360" s="87" t="s">
        <v>205</v>
      </c>
      <c r="C360" s="88">
        <v>0</v>
      </c>
      <c r="D360" s="88">
        <v>1</v>
      </c>
    </row>
    <row r="361" spans="1:5" ht="15" customHeight="1" x14ac:dyDescent="0.25">
      <c r="A361" s="87" t="s">
        <v>24</v>
      </c>
      <c r="B361" s="87" t="s">
        <v>397</v>
      </c>
      <c r="C361" s="88">
        <v>0</v>
      </c>
      <c r="D361" s="88">
        <v>0</v>
      </c>
    </row>
    <row r="362" spans="1:5" ht="15" customHeight="1" x14ac:dyDescent="0.25">
      <c r="A362" s="87" t="s">
        <v>24</v>
      </c>
      <c r="B362" s="87" t="s">
        <v>405</v>
      </c>
      <c r="C362" s="88">
        <v>0</v>
      </c>
      <c r="D362" s="88">
        <v>0</v>
      </c>
    </row>
    <row r="363" spans="1:5" ht="15" customHeight="1" x14ac:dyDescent="0.25">
      <c r="A363" s="87" t="s">
        <v>24</v>
      </c>
      <c r="B363" s="87" t="s">
        <v>860</v>
      </c>
      <c r="C363" s="88">
        <v>1</v>
      </c>
      <c r="D363" s="88">
        <v>22</v>
      </c>
    </row>
    <row r="364" spans="1:5" ht="15" customHeight="1" x14ac:dyDescent="0.25">
      <c r="A364" s="87" t="s">
        <v>24</v>
      </c>
      <c r="B364" s="87" t="s">
        <v>212</v>
      </c>
      <c r="C364" s="88">
        <v>0</v>
      </c>
      <c r="D364" s="88">
        <v>20</v>
      </c>
      <c r="E364" s="89" t="s">
        <v>1707</v>
      </c>
    </row>
    <row r="366" spans="1:5" ht="15" customHeight="1" x14ac:dyDescent="0.25">
      <c r="A366" s="87" t="s">
        <v>26</v>
      </c>
      <c r="B366" s="87" t="s">
        <v>1917</v>
      </c>
      <c r="C366" s="88">
        <v>0</v>
      </c>
      <c r="D366" s="88">
        <v>0</v>
      </c>
    </row>
    <row r="367" spans="1:5" ht="15" customHeight="1" x14ac:dyDescent="0.25">
      <c r="A367" s="87" t="s">
        <v>26</v>
      </c>
      <c r="B367" s="87" t="s">
        <v>1918</v>
      </c>
      <c r="C367" s="88">
        <v>0</v>
      </c>
      <c r="D367" s="88">
        <v>0</v>
      </c>
    </row>
    <row r="368" spans="1:5" ht="15" customHeight="1" x14ac:dyDescent="0.25">
      <c r="A368" s="87" t="s">
        <v>26</v>
      </c>
      <c r="B368" s="87" t="s">
        <v>1919</v>
      </c>
      <c r="C368" s="88">
        <v>0</v>
      </c>
      <c r="D368" s="88">
        <v>0</v>
      </c>
    </row>
    <row r="369" spans="1:4" ht="15" customHeight="1" x14ac:dyDescent="0.25">
      <c r="A369" s="87" t="s">
        <v>26</v>
      </c>
      <c r="B369" s="87" t="s">
        <v>1920</v>
      </c>
      <c r="C369" s="88">
        <v>0</v>
      </c>
      <c r="D369" s="88">
        <v>0</v>
      </c>
    </row>
    <row r="370" spans="1:4" ht="15" customHeight="1" x14ac:dyDescent="0.25">
      <c r="A370" s="87" t="s">
        <v>26</v>
      </c>
      <c r="B370" s="87" t="s">
        <v>1921</v>
      </c>
      <c r="C370" s="88">
        <v>0</v>
      </c>
      <c r="D370" s="88">
        <v>0</v>
      </c>
    </row>
    <row r="371" spans="1:4" ht="15" customHeight="1" x14ac:dyDescent="0.25">
      <c r="A371" s="87" t="s">
        <v>26</v>
      </c>
      <c r="B371" s="87" t="s">
        <v>1922</v>
      </c>
      <c r="C371" s="88">
        <v>0</v>
      </c>
      <c r="D371" s="88">
        <v>0</v>
      </c>
    </row>
    <row r="372" spans="1:4" ht="15" customHeight="1" x14ac:dyDescent="0.25">
      <c r="A372" s="87" t="s">
        <v>26</v>
      </c>
      <c r="B372" s="87" t="s">
        <v>677</v>
      </c>
      <c r="C372" s="88">
        <v>0</v>
      </c>
      <c r="D372" s="88">
        <v>0</v>
      </c>
    </row>
    <row r="373" spans="1:4" ht="15" customHeight="1" x14ac:dyDescent="0.25">
      <c r="A373" s="87" t="s">
        <v>26</v>
      </c>
      <c r="B373" s="87" t="s">
        <v>1923</v>
      </c>
      <c r="C373" s="88">
        <v>0</v>
      </c>
      <c r="D373" s="88">
        <v>0</v>
      </c>
    </row>
    <row r="374" spans="1:4" ht="15" customHeight="1" x14ac:dyDescent="0.25">
      <c r="A374" s="87" t="s">
        <v>26</v>
      </c>
      <c r="B374" s="87" t="s">
        <v>1924</v>
      </c>
      <c r="C374" s="88">
        <v>0</v>
      </c>
      <c r="D374" s="88">
        <v>0</v>
      </c>
    </row>
    <row r="375" spans="1:4" ht="15" customHeight="1" x14ac:dyDescent="0.25">
      <c r="A375" s="87" t="s">
        <v>26</v>
      </c>
      <c r="B375" s="87" t="s">
        <v>1925</v>
      </c>
      <c r="C375" s="88">
        <v>0</v>
      </c>
      <c r="D375" s="88">
        <v>0</v>
      </c>
    </row>
    <row r="376" spans="1:4" ht="15" customHeight="1" x14ac:dyDescent="0.25">
      <c r="A376" s="87" t="s">
        <v>26</v>
      </c>
      <c r="B376" s="87" t="s">
        <v>1926</v>
      </c>
      <c r="C376" s="88">
        <v>0</v>
      </c>
      <c r="D376" s="88">
        <v>0</v>
      </c>
    </row>
    <row r="377" spans="1:4" ht="15" customHeight="1" x14ac:dyDescent="0.25">
      <c r="A377" s="87" t="s">
        <v>26</v>
      </c>
      <c r="B377" s="87" t="s">
        <v>1927</v>
      </c>
      <c r="C377" s="88">
        <v>0</v>
      </c>
      <c r="D377" s="88">
        <v>0</v>
      </c>
    </row>
    <row r="378" spans="1:4" ht="15" customHeight="1" x14ac:dyDescent="0.25">
      <c r="A378" s="87" t="s">
        <v>26</v>
      </c>
      <c r="B378" s="87" t="s">
        <v>1928</v>
      </c>
      <c r="C378" s="88">
        <v>0</v>
      </c>
      <c r="D378" s="88">
        <v>0</v>
      </c>
    </row>
    <row r="379" spans="1:4" ht="15" customHeight="1" x14ac:dyDescent="0.25">
      <c r="A379" s="87" t="s">
        <v>26</v>
      </c>
      <c r="B379" s="87" t="s">
        <v>1929</v>
      </c>
      <c r="C379" s="88">
        <v>0</v>
      </c>
      <c r="D379" s="88">
        <v>0</v>
      </c>
    </row>
    <row r="380" spans="1:4" ht="15" customHeight="1" x14ac:dyDescent="0.25">
      <c r="A380" s="87" t="s">
        <v>26</v>
      </c>
      <c r="B380" s="87" t="s">
        <v>1930</v>
      </c>
      <c r="C380" s="88">
        <v>0</v>
      </c>
      <c r="D380" s="88">
        <v>0</v>
      </c>
    </row>
    <row r="381" spans="1:4" ht="15" customHeight="1" x14ac:dyDescent="0.25">
      <c r="A381" s="87" t="s">
        <v>26</v>
      </c>
      <c r="B381" s="87" t="s">
        <v>966</v>
      </c>
      <c r="C381" s="88">
        <v>0</v>
      </c>
      <c r="D381" s="88">
        <v>0</v>
      </c>
    </row>
    <row r="383" spans="1:4" ht="15" customHeight="1" x14ac:dyDescent="0.25">
      <c r="A383" s="87" t="s">
        <v>28</v>
      </c>
      <c r="B383" s="87" t="s">
        <v>1146</v>
      </c>
      <c r="C383" s="88">
        <v>0</v>
      </c>
      <c r="D383" s="88">
        <v>0</v>
      </c>
    </row>
    <row r="384" spans="1:4" ht="15" customHeight="1" x14ac:dyDescent="0.25">
      <c r="A384" s="87" t="s">
        <v>28</v>
      </c>
      <c r="B384" s="87" t="s">
        <v>224</v>
      </c>
      <c r="C384" s="88">
        <v>0</v>
      </c>
      <c r="D384" s="88">
        <v>0</v>
      </c>
    </row>
    <row r="385" spans="1:6" ht="76.5" customHeight="1" x14ac:dyDescent="0.25">
      <c r="A385" s="87" t="s">
        <v>28</v>
      </c>
      <c r="B385" s="87" t="s">
        <v>113</v>
      </c>
      <c r="C385" s="88">
        <v>0</v>
      </c>
      <c r="D385" s="88">
        <v>0</v>
      </c>
      <c r="F385" s="89" t="s">
        <v>1931</v>
      </c>
    </row>
    <row r="386" spans="1:6" ht="15" customHeight="1" x14ac:dyDescent="0.25">
      <c r="A386" s="87" t="s">
        <v>28</v>
      </c>
      <c r="B386" s="87" t="s">
        <v>19</v>
      </c>
      <c r="C386" s="88">
        <v>0</v>
      </c>
      <c r="D386" s="88">
        <v>0</v>
      </c>
    </row>
    <row r="387" spans="1:6" ht="15" customHeight="1" x14ac:dyDescent="0.25">
      <c r="A387" s="87" t="s">
        <v>28</v>
      </c>
      <c r="B387" s="87" t="s">
        <v>673</v>
      </c>
      <c r="C387" s="88">
        <v>0</v>
      </c>
      <c r="D387" s="88">
        <v>0</v>
      </c>
    </row>
    <row r="388" spans="1:6" ht="15" customHeight="1" x14ac:dyDescent="0.25">
      <c r="A388" s="87" t="s">
        <v>28</v>
      </c>
      <c r="B388" s="87" t="s">
        <v>410</v>
      </c>
      <c r="C388" s="88">
        <v>0</v>
      </c>
      <c r="D388" s="88">
        <v>0</v>
      </c>
    </row>
    <row r="389" spans="1:6" ht="15" customHeight="1" x14ac:dyDescent="0.25">
      <c r="A389" s="87" t="s">
        <v>28</v>
      </c>
      <c r="B389" s="87" t="s">
        <v>412</v>
      </c>
      <c r="C389" s="88">
        <v>0</v>
      </c>
      <c r="D389" s="88">
        <v>0</v>
      </c>
    </row>
    <row r="390" spans="1:6" ht="15" customHeight="1" x14ac:dyDescent="0.25">
      <c r="A390" s="87" t="s">
        <v>28</v>
      </c>
      <c r="B390" s="87" t="s">
        <v>675</v>
      </c>
      <c r="C390" s="88">
        <v>0</v>
      </c>
      <c r="D390" s="88">
        <v>0</v>
      </c>
    </row>
    <row r="391" spans="1:6" ht="15" customHeight="1" x14ac:dyDescent="0.25">
      <c r="A391" s="87" t="s">
        <v>28</v>
      </c>
      <c r="B391" s="87" t="s">
        <v>1150</v>
      </c>
      <c r="C391" s="88">
        <v>0</v>
      </c>
      <c r="D391" s="88">
        <v>0</v>
      </c>
    </row>
    <row r="392" spans="1:6" ht="76.5" customHeight="1" x14ac:dyDescent="0.25">
      <c r="A392" s="87" t="s">
        <v>28</v>
      </c>
      <c r="B392" s="87" t="s">
        <v>237</v>
      </c>
      <c r="C392" s="88">
        <v>0</v>
      </c>
      <c r="D392" s="88">
        <v>0</v>
      </c>
      <c r="F392" s="89" t="s">
        <v>1931</v>
      </c>
    </row>
    <row r="393" spans="1:6" ht="15" customHeight="1" x14ac:dyDescent="0.25">
      <c r="A393" s="87" t="s">
        <v>28</v>
      </c>
      <c r="B393" s="87" t="s">
        <v>677</v>
      </c>
      <c r="C393" s="88">
        <v>0</v>
      </c>
      <c r="D393" s="88">
        <v>0</v>
      </c>
    </row>
    <row r="394" spans="1:6" ht="15" customHeight="1" x14ac:dyDescent="0.25">
      <c r="A394" s="87" t="s">
        <v>28</v>
      </c>
      <c r="B394" s="87" t="s">
        <v>1153</v>
      </c>
      <c r="C394" s="88">
        <v>0</v>
      </c>
      <c r="D394" s="88">
        <v>0</v>
      </c>
    </row>
    <row r="395" spans="1:6" ht="15" customHeight="1" x14ac:dyDescent="0.25">
      <c r="A395" s="87" t="s">
        <v>28</v>
      </c>
      <c r="B395" s="87" t="s">
        <v>130</v>
      </c>
      <c r="C395" s="88">
        <v>0</v>
      </c>
      <c r="D395" s="88">
        <v>0</v>
      </c>
    </row>
    <row r="396" spans="1:6" ht="15" customHeight="1" x14ac:dyDescent="0.25">
      <c r="A396" s="87" t="s">
        <v>28</v>
      </c>
      <c r="B396" s="87" t="s">
        <v>679</v>
      </c>
      <c r="C396" s="88">
        <v>0</v>
      </c>
      <c r="D396" s="88">
        <v>0</v>
      </c>
    </row>
    <row r="397" spans="1:6" ht="15" customHeight="1" x14ac:dyDescent="0.25">
      <c r="A397" s="87" t="s">
        <v>28</v>
      </c>
      <c r="B397" s="87" t="s">
        <v>681</v>
      </c>
      <c r="C397" s="88">
        <v>0</v>
      </c>
      <c r="D397" s="88">
        <v>0</v>
      </c>
    </row>
    <row r="398" spans="1:6" ht="15" customHeight="1" x14ac:dyDescent="0.25">
      <c r="A398" s="87" t="s">
        <v>28</v>
      </c>
      <c r="B398" s="87" t="s">
        <v>683</v>
      </c>
      <c r="C398" s="88">
        <v>0</v>
      </c>
      <c r="D398" s="88">
        <v>0</v>
      </c>
    </row>
    <row r="399" spans="1:6" ht="15" customHeight="1" x14ac:dyDescent="0.25">
      <c r="A399" s="87" t="s">
        <v>28</v>
      </c>
      <c r="B399" s="87" t="s">
        <v>685</v>
      </c>
      <c r="C399" s="88">
        <v>0</v>
      </c>
      <c r="D399" s="88">
        <v>0</v>
      </c>
    </row>
    <row r="400" spans="1:6" ht="15" customHeight="1" x14ac:dyDescent="0.25">
      <c r="A400" s="87" t="s">
        <v>28</v>
      </c>
      <c r="B400" s="87" t="s">
        <v>687</v>
      </c>
      <c r="C400" s="88">
        <v>0</v>
      </c>
      <c r="D400" s="88">
        <v>0</v>
      </c>
    </row>
    <row r="401" spans="1:4" ht="15" customHeight="1" x14ac:dyDescent="0.25">
      <c r="A401" s="87" t="s">
        <v>28</v>
      </c>
      <c r="B401" s="87" t="s">
        <v>691</v>
      </c>
      <c r="C401" s="88">
        <v>0</v>
      </c>
      <c r="D401" s="88">
        <v>0</v>
      </c>
    </row>
    <row r="402" spans="1:4" ht="15" customHeight="1" x14ac:dyDescent="0.25">
      <c r="A402" s="87" t="s">
        <v>28</v>
      </c>
      <c r="B402" s="87" t="s">
        <v>693</v>
      </c>
      <c r="C402" s="88">
        <v>0</v>
      </c>
      <c r="D402" s="88">
        <v>0</v>
      </c>
    </row>
    <row r="403" spans="1:4" ht="15" customHeight="1" x14ac:dyDescent="0.25">
      <c r="A403" s="87" t="s">
        <v>28</v>
      </c>
      <c r="B403" s="87" t="s">
        <v>239</v>
      </c>
      <c r="C403" s="88">
        <v>0</v>
      </c>
      <c r="D403" s="88">
        <v>0</v>
      </c>
    </row>
    <row r="404" spans="1:4" ht="15" customHeight="1" x14ac:dyDescent="0.25">
      <c r="A404" s="87" t="s">
        <v>28</v>
      </c>
      <c r="B404" s="87" t="s">
        <v>695</v>
      </c>
      <c r="C404" s="88">
        <v>0</v>
      </c>
      <c r="D404" s="88">
        <v>0</v>
      </c>
    </row>
    <row r="405" spans="1:4" ht="15" customHeight="1" x14ac:dyDescent="0.25">
      <c r="A405" s="87" t="s">
        <v>28</v>
      </c>
      <c r="B405" s="87" t="s">
        <v>1862</v>
      </c>
      <c r="C405" s="88">
        <v>0</v>
      </c>
      <c r="D405" s="88">
        <v>0</v>
      </c>
    </row>
    <row r="406" spans="1:4" ht="15" customHeight="1" x14ac:dyDescent="0.25">
      <c r="A406" s="87" t="s">
        <v>28</v>
      </c>
      <c r="B406" s="87" t="s">
        <v>699</v>
      </c>
      <c r="C406" s="88">
        <v>0</v>
      </c>
      <c r="D406" s="88">
        <v>0</v>
      </c>
    </row>
    <row r="407" spans="1:4" ht="15" customHeight="1" x14ac:dyDescent="0.25">
      <c r="A407" s="87" t="s">
        <v>28</v>
      </c>
      <c r="B407" s="87" t="s">
        <v>1932</v>
      </c>
      <c r="C407" s="88">
        <v>0</v>
      </c>
      <c r="D407" s="88">
        <v>0</v>
      </c>
    </row>
    <row r="408" spans="1:4" ht="15" customHeight="1" x14ac:dyDescent="0.25">
      <c r="A408" s="87" t="s">
        <v>28</v>
      </c>
      <c r="B408" s="87" t="s">
        <v>243</v>
      </c>
      <c r="C408" s="88">
        <v>0</v>
      </c>
      <c r="D408" s="88">
        <v>0</v>
      </c>
    </row>
    <row r="409" spans="1:4" ht="15" customHeight="1" x14ac:dyDescent="0.25">
      <c r="A409" s="87" t="s">
        <v>28</v>
      </c>
      <c r="B409" s="87" t="s">
        <v>608</v>
      </c>
      <c r="C409" s="88">
        <v>1</v>
      </c>
      <c r="D409" s="88">
        <v>0</v>
      </c>
    </row>
    <row r="410" spans="1:4" ht="15" customHeight="1" x14ac:dyDescent="0.25">
      <c r="A410" s="87" t="s">
        <v>28</v>
      </c>
      <c r="B410" s="87" t="s">
        <v>1933</v>
      </c>
      <c r="C410" s="88">
        <v>0</v>
      </c>
      <c r="D410" s="88">
        <v>0</v>
      </c>
    </row>
    <row r="411" spans="1:4" ht="15" customHeight="1" x14ac:dyDescent="0.25">
      <c r="A411" s="87" t="s">
        <v>28</v>
      </c>
      <c r="B411" s="87" t="s">
        <v>1934</v>
      </c>
      <c r="C411" s="88">
        <v>0</v>
      </c>
      <c r="D411" s="88">
        <v>0</v>
      </c>
    </row>
    <row r="412" spans="1:4" ht="15" customHeight="1" x14ac:dyDescent="0.25">
      <c r="A412" s="87" t="s">
        <v>28</v>
      </c>
      <c r="B412" s="87" t="s">
        <v>245</v>
      </c>
      <c r="C412" s="88">
        <v>0</v>
      </c>
      <c r="D412" s="88">
        <v>0</v>
      </c>
    </row>
    <row r="413" spans="1:4" ht="15" customHeight="1" x14ac:dyDescent="0.25">
      <c r="A413" s="87" t="s">
        <v>28</v>
      </c>
      <c r="B413" s="87" t="s">
        <v>712</v>
      </c>
      <c r="C413" s="88">
        <v>0</v>
      </c>
      <c r="D413" s="88">
        <v>0</v>
      </c>
    </row>
    <row r="414" spans="1:4" ht="15" customHeight="1" x14ac:dyDescent="0.25">
      <c r="A414" s="87" t="s">
        <v>28</v>
      </c>
      <c r="B414" s="87" t="s">
        <v>716</v>
      </c>
      <c r="C414" s="88">
        <v>0</v>
      </c>
      <c r="D414" s="88">
        <v>0</v>
      </c>
    </row>
    <row r="415" spans="1:4" ht="15" customHeight="1" x14ac:dyDescent="0.25">
      <c r="A415" s="87" t="s">
        <v>28</v>
      </c>
      <c r="B415" s="87" t="s">
        <v>718</v>
      </c>
      <c r="C415" s="88">
        <v>1</v>
      </c>
      <c r="D415" s="88">
        <v>0</v>
      </c>
    </row>
    <row r="416" spans="1:4" ht="15" customHeight="1" x14ac:dyDescent="0.25">
      <c r="A416" s="87" t="s">
        <v>28</v>
      </c>
      <c r="B416" s="87" t="s">
        <v>445</v>
      </c>
      <c r="C416" s="88">
        <v>0</v>
      </c>
      <c r="D416" s="88">
        <v>0</v>
      </c>
    </row>
    <row r="417" spans="1:9" ht="15" customHeight="1" x14ac:dyDescent="0.25">
      <c r="A417" s="87" t="s">
        <v>28</v>
      </c>
      <c r="B417" s="87" t="s">
        <v>720</v>
      </c>
      <c r="C417" s="88">
        <v>0</v>
      </c>
      <c r="D417" s="88">
        <v>0</v>
      </c>
    </row>
    <row r="418" spans="1:9" ht="15" customHeight="1" x14ac:dyDescent="0.25">
      <c r="A418" s="87" t="s">
        <v>28</v>
      </c>
      <c r="B418" s="87" t="s">
        <v>447</v>
      </c>
      <c r="C418" s="88">
        <v>0</v>
      </c>
      <c r="D418" s="88">
        <v>0</v>
      </c>
    </row>
    <row r="419" spans="1:9" ht="15" customHeight="1" x14ac:dyDescent="0.25">
      <c r="A419" s="87" t="s">
        <v>28</v>
      </c>
      <c r="B419" s="87" t="s">
        <v>47</v>
      </c>
      <c r="C419" s="88">
        <v>0</v>
      </c>
      <c r="D419" s="88">
        <v>0</v>
      </c>
    </row>
    <row r="420" spans="1:9" ht="15" customHeight="1" x14ac:dyDescent="0.25">
      <c r="A420" s="87" t="s">
        <v>28</v>
      </c>
      <c r="B420" s="87" t="s">
        <v>1935</v>
      </c>
      <c r="C420" s="88">
        <v>0</v>
      </c>
      <c r="D420" s="88">
        <v>0</v>
      </c>
    </row>
    <row r="421" spans="1:9" ht="15" customHeight="1" x14ac:dyDescent="0.25">
      <c r="A421" s="87" t="s">
        <v>28</v>
      </c>
      <c r="B421" s="87" t="s">
        <v>726</v>
      </c>
      <c r="C421" s="88">
        <v>0</v>
      </c>
      <c r="D421" s="88">
        <v>0</v>
      </c>
    </row>
    <row r="422" spans="1:9" ht="15" customHeight="1" x14ac:dyDescent="0.25">
      <c r="A422" s="87" t="s">
        <v>28</v>
      </c>
      <c r="B422" s="87" t="s">
        <v>728</v>
      </c>
      <c r="C422" s="88">
        <v>0</v>
      </c>
      <c r="D422" s="88">
        <v>0</v>
      </c>
    </row>
    <row r="423" spans="1:9" ht="15" customHeight="1" x14ac:dyDescent="0.25">
      <c r="A423" s="87" t="s">
        <v>28</v>
      </c>
      <c r="B423" s="87" t="s">
        <v>449</v>
      </c>
      <c r="C423" s="88">
        <v>0</v>
      </c>
      <c r="D423" s="88">
        <v>0</v>
      </c>
    </row>
    <row r="424" spans="1:9" ht="114.75" customHeight="1" x14ac:dyDescent="0.25">
      <c r="A424" s="87" t="s">
        <v>28</v>
      </c>
      <c r="B424" s="87" t="s">
        <v>250</v>
      </c>
      <c r="C424" s="88">
        <v>0</v>
      </c>
      <c r="D424" s="88">
        <v>0</v>
      </c>
      <c r="E424" s="89" t="s">
        <v>1931</v>
      </c>
    </row>
    <row r="425" spans="1:9" ht="15" customHeight="1" x14ac:dyDescent="0.25">
      <c r="A425" s="87" t="s">
        <v>28</v>
      </c>
      <c r="B425" s="87" t="s">
        <v>1936</v>
      </c>
      <c r="C425" s="88">
        <v>0</v>
      </c>
      <c r="D425" s="88">
        <v>0</v>
      </c>
      <c r="G425" t="s">
        <v>1707</v>
      </c>
      <c r="H425">
        <v>2</v>
      </c>
      <c r="I425">
        <v>0</v>
      </c>
    </row>
    <row r="427" spans="1:9" ht="15" customHeight="1" x14ac:dyDescent="0.25">
      <c r="A427" s="87" t="s">
        <v>29</v>
      </c>
      <c r="B427" s="87" t="s">
        <v>1937</v>
      </c>
      <c r="C427" s="88">
        <v>0</v>
      </c>
      <c r="D427" s="88">
        <v>0</v>
      </c>
    </row>
    <row r="428" spans="1:9" ht="15" customHeight="1" x14ac:dyDescent="0.25">
      <c r="A428" s="87" t="s">
        <v>29</v>
      </c>
      <c r="B428" s="87" t="s">
        <v>1938</v>
      </c>
      <c r="C428" s="88">
        <v>0</v>
      </c>
      <c r="D428" s="88">
        <v>0</v>
      </c>
    </row>
    <row r="429" spans="1:9" ht="15" customHeight="1" x14ac:dyDescent="0.25">
      <c r="A429" s="87" t="s">
        <v>29</v>
      </c>
      <c r="B429" s="87" t="s">
        <v>1939</v>
      </c>
      <c r="C429" s="88">
        <v>0</v>
      </c>
      <c r="D429" s="88">
        <v>0</v>
      </c>
    </row>
    <row r="430" spans="1:9" ht="15" customHeight="1" x14ac:dyDescent="0.25">
      <c r="A430" s="87" t="s">
        <v>29</v>
      </c>
      <c r="B430" s="87" t="s">
        <v>1940</v>
      </c>
      <c r="C430" s="88">
        <v>0</v>
      </c>
      <c r="D430" s="88">
        <v>0</v>
      </c>
    </row>
    <row r="431" spans="1:9" ht="15" customHeight="1" x14ac:dyDescent="0.25">
      <c r="A431" s="87" t="s">
        <v>29</v>
      </c>
      <c r="B431" s="87" t="s">
        <v>1148</v>
      </c>
      <c r="C431" s="88">
        <v>0</v>
      </c>
      <c r="D431" s="88">
        <v>0</v>
      </c>
    </row>
    <row r="432" spans="1:9" ht="15" customHeight="1" x14ac:dyDescent="0.25">
      <c r="A432" s="87" t="s">
        <v>29</v>
      </c>
      <c r="B432" s="87" t="s">
        <v>1941</v>
      </c>
      <c r="C432" s="88">
        <v>0</v>
      </c>
      <c r="D432" s="88">
        <v>0</v>
      </c>
    </row>
    <row r="433" spans="1:4" ht="15" customHeight="1" x14ac:dyDescent="0.25">
      <c r="A433" s="87" t="s">
        <v>29</v>
      </c>
      <c r="B433" s="87" t="s">
        <v>1942</v>
      </c>
      <c r="C433" s="88">
        <v>0</v>
      </c>
      <c r="D433" s="88">
        <v>0</v>
      </c>
    </row>
    <row r="434" spans="1:4" ht="15" customHeight="1" x14ac:dyDescent="0.25">
      <c r="A434" s="87" t="s">
        <v>29</v>
      </c>
      <c r="B434" s="87" t="s">
        <v>1943</v>
      </c>
      <c r="C434" s="88">
        <v>0</v>
      </c>
      <c r="D434" s="88">
        <v>0</v>
      </c>
    </row>
    <row r="435" spans="1:4" ht="15" customHeight="1" x14ac:dyDescent="0.25">
      <c r="A435" s="87" t="s">
        <v>29</v>
      </c>
      <c r="B435" s="87" t="s">
        <v>1944</v>
      </c>
      <c r="C435" s="88">
        <v>0</v>
      </c>
      <c r="D435" s="88">
        <v>0</v>
      </c>
    </row>
    <row r="436" spans="1:4" ht="15" customHeight="1" x14ac:dyDescent="0.25">
      <c r="A436" s="87" t="s">
        <v>29</v>
      </c>
      <c r="B436" s="87" t="s">
        <v>1945</v>
      </c>
      <c r="C436" s="88">
        <v>0</v>
      </c>
      <c r="D436" s="88">
        <v>0</v>
      </c>
    </row>
    <row r="437" spans="1:4" ht="15" customHeight="1" x14ac:dyDescent="0.25">
      <c r="A437" s="87" t="s">
        <v>29</v>
      </c>
      <c r="B437" s="87" t="s">
        <v>1946</v>
      </c>
      <c r="C437" s="88">
        <v>0</v>
      </c>
      <c r="D437" s="88">
        <v>0</v>
      </c>
    </row>
    <row r="438" spans="1:4" ht="15" customHeight="1" x14ac:dyDescent="0.25">
      <c r="A438" s="87" t="s">
        <v>29</v>
      </c>
      <c r="B438" s="87" t="s">
        <v>1947</v>
      </c>
      <c r="C438" s="88">
        <v>0</v>
      </c>
      <c r="D438" s="88">
        <v>0</v>
      </c>
    </row>
    <row r="439" spans="1:4" ht="15" customHeight="1" x14ac:dyDescent="0.25">
      <c r="A439" s="87" t="s">
        <v>29</v>
      </c>
      <c r="B439" s="87" t="s">
        <v>1948</v>
      </c>
      <c r="C439" s="88">
        <v>0</v>
      </c>
      <c r="D439" s="88">
        <v>0</v>
      </c>
    </row>
    <row r="440" spans="1:4" ht="15" customHeight="1" x14ac:dyDescent="0.25">
      <c r="A440" s="87" t="s">
        <v>29</v>
      </c>
      <c r="B440" s="87" t="s">
        <v>1949</v>
      </c>
      <c r="C440" s="88">
        <v>0</v>
      </c>
      <c r="D440" s="88">
        <v>0</v>
      </c>
    </row>
    <row r="441" spans="1:4" ht="15" customHeight="1" x14ac:dyDescent="0.25">
      <c r="A441" s="87" t="s">
        <v>29</v>
      </c>
      <c r="B441" s="87" t="s">
        <v>1950</v>
      </c>
      <c r="C441" s="88">
        <v>0</v>
      </c>
      <c r="D441" s="88">
        <v>0</v>
      </c>
    </row>
    <row r="442" spans="1:4" ht="15" customHeight="1" x14ac:dyDescent="0.25">
      <c r="A442" s="87" t="s">
        <v>29</v>
      </c>
      <c r="B442" s="87" t="s">
        <v>1951</v>
      </c>
      <c r="C442" s="88">
        <v>0</v>
      </c>
      <c r="D442" s="88">
        <v>0</v>
      </c>
    </row>
    <row r="443" spans="1:4" ht="15" customHeight="1" x14ac:dyDescent="0.25">
      <c r="A443" s="87" t="s">
        <v>29</v>
      </c>
      <c r="B443" s="87" t="s">
        <v>1155</v>
      </c>
      <c r="C443" s="88">
        <v>0</v>
      </c>
      <c r="D443" s="88">
        <v>0</v>
      </c>
    </row>
    <row r="444" spans="1:4" ht="15" customHeight="1" x14ac:dyDescent="0.25">
      <c r="A444" s="87" t="s">
        <v>29</v>
      </c>
      <c r="B444" s="87" t="s">
        <v>1952</v>
      </c>
      <c r="C444" s="88">
        <v>0</v>
      </c>
      <c r="D444" s="88">
        <v>0</v>
      </c>
    </row>
    <row r="445" spans="1:4" ht="15" customHeight="1" x14ac:dyDescent="0.25">
      <c r="A445" s="87" t="s">
        <v>29</v>
      </c>
      <c r="B445" s="87" t="s">
        <v>1953</v>
      </c>
      <c r="C445" s="88">
        <v>0</v>
      </c>
      <c r="D445" s="88">
        <v>0</v>
      </c>
    </row>
    <row r="446" spans="1:4" ht="15" customHeight="1" x14ac:dyDescent="0.25">
      <c r="A446" s="87" t="s">
        <v>29</v>
      </c>
      <c r="B446" s="87" t="s">
        <v>1954</v>
      </c>
      <c r="C446" s="88">
        <v>0</v>
      </c>
      <c r="D446" s="88">
        <v>0</v>
      </c>
    </row>
    <row r="447" spans="1:4" ht="15" customHeight="1" x14ac:dyDescent="0.25">
      <c r="A447" s="87" t="s">
        <v>29</v>
      </c>
      <c r="B447" s="87" t="s">
        <v>1955</v>
      </c>
      <c r="C447" s="88">
        <v>0</v>
      </c>
      <c r="D447" s="88">
        <v>0</v>
      </c>
    </row>
    <row r="448" spans="1:4" ht="15" customHeight="1" x14ac:dyDescent="0.25">
      <c r="A448" s="87" t="s">
        <v>29</v>
      </c>
      <c r="B448" s="87" t="s">
        <v>1157</v>
      </c>
      <c r="C448" s="88">
        <v>0</v>
      </c>
      <c r="D448" s="88">
        <v>0</v>
      </c>
    </row>
    <row r="449" spans="1:9" ht="15" customHeight="1" x14ac:dyDescent="0.25">
      <c r="A449" s="87" t="s">
        <v>29</v>
      </c>
      <c r="B449" s="87" t="s">
        <v>1956</v>
      </c>
      <c r="C449" s="88">
        <v>0</v>
      </c>
      <c r="D449" s="88">
        <v>0</v>
      </c>
    </row>
    <row r="450" spans="1:9" ht="15" customHeight="1" x14ac:dyDescent="0.25">
      <c r="A450" s="87" t="s">
        <v>29</v>
      </c>
      <c r="B450" s="87" t="s">
        <v>1957</v>
      </c>
      <c r="C450" s="88">
        <v>0</v>
      </c>
      <c r="D450" s="88">
        <v>0</v>
      </c>
    </row>
    <row r="451" spans="1:9" ht="15" customHeight="1" x14ac:dyDescent="0.25">
      <c r="A451" s="87" t="s">
        <v>29</v>
      </c>
      <c r="B451" s="87" t="s">
        <v>1138</v>
      </c>
      <c r="C451" s="88">
        <v>0</v>
      </c>
      <c r="D451" s="88">
        <v>0</v>
      </c>
      <c r="G451" t="s">
        <v>1707</v>
      </c>
      <c r="H451">
        <v>0</v>
      </c>
      <c r="I451">
        <v>0</v>
      </c>
    </row>
    <row r="453" spans="1:9" ht="15" customHeight="1" x14ac:dyDescent="0.25">
      <c r="A453" s="87" t="s">
        <v>31</v>
      </c>
      <c r="B453" s="87" t="s">
        <v>574</v>
      </c>
      <c r="C453" s="88">
        <v>0</v>
      </c>
      <c r="D453" s="88">
        <v>0</v>
      </c>
    </row>
    <row r="454" spans="1:9" ht="15" customHeight="1" x14ac:dyDescent="0.25">
      <c r="A454" s="87" t="s">
        <v>31</v>
      </c>
      <c r="B454" s="87" t="s">
        <v>220</v>
      </c>
      <c r="C454" s="88">
        <v>0</v>
      </c>
      <c r="D454" s="88">
        <v>0</v>
      </c>
    </row>
    <row r="455" spans="1:9" ht="63.75" customHeight="1" x14ac:dyDescent="0.25">
      <c r="A455" s="87" t="s">
        <v>31</v>
      </c>
      <c r="B455" s="87" t="s">
        <v>1132</v>
      </c>
      <c r="C455" s="88">
        <v>1</v>
      </c>
      <c r="D455" s="88">
        <v>0</v>
      </c>
      <c r="E455" s="89" t="s">
        <v>1958</v>
      </c>
    </row>
    <row r="456" spans="1:9" ht="15" customHeight="1" x14ac:dyDescent="0.25">
      <c r="A456" s="87" t="s">
        <v>31</v>
      </c>
      <c r="B456" s="87" t="s">
        <v>352</v>
      </c>
      <c r="C456" s="88">
        <v>0</v>
      </c>
      <c r="D456" s="88">
        <v>0</v>
      </c>
    </row>
    <row r="457" spans="1:9" ht="15" customHeight="1" x14ac:dyDescent="0.25">
      <c r="A457" s="87" t="s">
        <v>31</v>
      </c>
      <c r="B457" s="87" t="s">
        <v>407</v>
      </c>
      <c r="C457" s="88">
        <v>0</v>
      </c>
      <c r="D457" s="88">
        <v>0</v>
      </c>
    </row>
    <row r="458" spans="1:9" ht="15" customHeight="1" x14ac:dyDescent="0.25">
      <c r="A458" s="87" t="s">
        <v>31</v>
      </c>
      <c r="B458" s="87" t="s">
        <v>593</v>
      </c>
      <c r="C458" s="88">
        <v>0</v>
      </c>
      <c r="D458" s="88">
        <v>0</v>
      </c>
    </row>
    <row r="459" spans="1:9" ht="15" customHeight="1" x14ac:dyDescent="0.25">
      <c r="A459" s="87" t="s">
        <v>31</v>
      </c>
      <c r="B459" s="87" t="s">
        <v>1959</v>
      </c>
      <c r="C459" s="88">
        <v>0</v>
      </c>
      <c r="D459" s="88">
        <v>0</v>
      </c>
    </row>
    <row r="460" spans="1:9" ht="15" customHeight="1" x14ac:dyDescent="0.25">
      <c r="A460" s="87" t="s">
        <v>31</v>
      </c>
      <c r="B460" s="87" t="s">
        <v>670</v>
      </c>
      <c r="C460" s="88">
        <v>0</v>
      </c>
      <c r="D460" s="88">
        <v>0</v>
      </c>
    </row>
    <row r="461" spans="1:9" ht="15" customHeight="1" x14ac:dyDescent="0.25">
      <c r="A461" s="87" t="s">
        <v>31</v>
      </c>
      <c r="B461" s="87" t="s">
        <v>1960</v>
      </c>
      <c r="C461" s="88">
        <v>0</v>
      </c>
      <c r="D461" s="88">
        <v>0</v>
      </c>
    </row>
    <row r="462" spans="1:9" ht="15" customHeight="1" x14ac:dyDescent="0.25">
      <c r="A462" s="87" t="s">
        <v>31</v>
      </c>
      <c r="B462" s="87" t="s">
        <v>226</v>
      </c>
      <c r="C462" s="88">
        <v>0</v>
      </c>
      <c r="D462" s="88">
        <v>0</v>
      </c>
    </row>
    <row r="463" spans="1:9" ht="15" customHeight="1" x14ac:dyDescent="0.25">
      <c r="A463" s="87" t="s">
        <v>31</v>
      </c>
      <c r="B463" s="87" t="s">
        <v>117</v>
      </c>
      <c r="C463" s="88">
        <v>0</v>
      </c>
      <c r="D463" s="88">
        <v>1</v>
      </c>
    </row>
    <row r="464" spans="1:9" ht="15" customHeight="1" x14ac:dyDescent="0.25">
      <c r="A464" s="87" t="s">
        <v>31</v>
      </c>
      <c r="B464" s="87" t="s">
        <v>232</v>
      </c>
      <c r="C464" s="88">
        <v>0</v>
      </c>
      <c r="D464" s="88">
        <v>0</v>
      </c>
    </row>
    <row r="465" spans="1:4" ht="15" customHeight="1" x14ac:dyDescent="0.25">
      <c r="A465" s="87" t="s">
        <v>31</v>
      </c>
      <c r="B465" s="87" t="s">
        <v>121</v>
      </c>
      <c r="C465" s="88">
        <v>0</v>
      </c>
      <c r="D465" s="88">
        <v>0</v>
      </c>
    </row>
    <row r="466" spans="1:4" ht="15" customHeight="1" x14ac:dyDescent="0.25">
      <c r="A466" s="87" t="s">
        <v>31</v>
      </c>
      <c r="B466" s="87" t="s">
        <v>125</v>
      </c>
      <c r="C466" s="88">
        <v>0</v>
      </c>
      <c r="D466" s="88">
        <v>0</v>
      </c>
    </row>
    <row r="467" spans="1:4" ht="15" customHeight="1" x14ac:dyDescent="0.25">
      <c r="A467" s="87" t="s">
        <v>31</v>
      </c>
      <c r="B467" s="87" t="s">
        <v>600</v>
      </c>
      <c r="C467" s="88">
        <v>0</v>
      </c>
      <c r="D467" s="88">
        <v>12</v>
      </c>
    </row>
    <row r="468" spans="1:4" ht="15" customHeight="1" x14ac:dyDescent="0.25">
      <c r="A468" s="87" t="s">
        <v>31</v>
      </c>
      <c r="B468" s="87" t="s">
        <v>1961</v>
      </c>
      <c r="C468" s="88">
        <v>0</v>
      </c>
      <c r="D468" s="88">
        <v>0</v>
      </c>
    </row>
    <row r="469" spans="1:4" ht="15" customHeight="1" x14ac:dyDescent="0.25">
      <c r="A469" s="87" t="s">
        <v>31</v>
      </c>
      <c r="B469" s="87" t="s">
        <v>430</v>
      </c>
      <c r="C469" s="88">
        <v>0</v>
      </c>
      <c r="D469" s="88">
        <v>0</v>
      </c>
    </row>
    <row r="470" spans="1:4" ht="15" customHeight="1" x14ac:dyDescent="0.25">
      <c r="A470" s="87" t="s">
        <v>31</v>
      </c>
      <c r="B470" s="87" t="s">
        <v>437</v>
      </c>
      <c r="C470" s="88">
        <v>0</v>
      </c>
      <c r="D470" s="88">
        <v>0</v>
      </c>
    </row>
    <row r="471" spans="1:4" ht="15" customHeight="1" x14ac:dyDescent="0.25">
      <c r="A471" s="87" t="s">
        <v>31</v>
      </c>
      <c r="B471" s="87" t="s">
        <v>162</v>
      </c>
      <c r="C471" s="88">
        <v>0</v>
      </c>
      <c r="D471" s="88">
        <v>0</v>
      </c>
    </row>
    <row r="472" spans="1:4" ht="15" customHeight="1" x14ac:dyDescent="0.25">
      <c r="A472" s="87" t="s">
        <v>31</v>
      </c>
      <c r="B472" s="87" t="s">
        <v>604</v>
      </c>
      <c r="C472" s="88">
        <v>0</v>
      </c>
      <c r="D472" s="88">
        <v>0</v>
      </c>
    </row>
    <row r="473" spans="1:4" ht="15" customHeight="1" x14ac:dyDescent="0.25">
      <c r="A473" s="87" t="s">
        <v>31</v>
      </c>
      <c r="B473" s="87" t="s">
        <v>972</v>
      </c>
      <c r="C473" s="88">
        <v>0</v>
      </c>
      <c r="D473" s="88">
        <v>2</v>
      </c>
    </row>
    <row r="474" spans="1:4" ht="15" customHeight="1" x14ac:dyDescent="0.25">
      <c r="A474" s="87" t="s">
        <v>31</v>
      </c>
      <c r="B474" s="87" t="s">
        <v>166</v>
      </c>
      <c r="C474" s="88">
        <v>1</v>
      </c>
      <c r="D474" s="88">
        <v>0</v>
      </c>
    </row>
    <row r="475" spans="1:4" ht="15" customHeight="1" x14ac:dyDescent="0.25">
      <c r="A475" s="87" t="s">
        <v>31</v>
      </c>
      <c r="B475" s="87" t="s">
        <v>587</v>
      </c>
      <c r="C475" s="88">
        <v>12</v>
      </c>
      <c r="D475" s="88">
        <v>103</v>
      </c>
    </row>
    <row r="476" spans="1:4" ht="15" customHeight="1" x14ac:dyDescent="0.25">
      <c r="A476" s="87" t="s">
        <v>31</v>
      </c>
      <c r="B476" s="87" t="s">
        <v>1962</v>
      </c>
      <c r="C476" s="88">
        <v>0</v>
      </c>
      <c r="D476" s="88">
        <v>0</v>
      </c>
    </row>
    <row r="477" spans="1:4" ht="15" customHeight="1" x14ac:dyDescent="0.25">
      <c r="A477" s="87" t="s">
        <v>31</v>
      </c>
      <c r="B477" s="87" t="s">
        <v>703</v>
      </c>
      <c r="C477" s="88">
        <v>0</v>
      </c>
      <c r="D477" s="88">
        <v>0</v>
      </c>
    </row>
    <row r="478" spans="1:4" ht="15" customHeight="1" x14ac:dyDescent="0.25">
      <c r="A478" s="87" t="s">
        <v>31</v>
      </c>
      <c r="B478" s="87" t="s">
        <v>706</v>
      </c>
      <c r="C478" s="88">
        <v>0</v>
      </c>
      <c r="D478" s="88">
        <v>0</v>
      </c>
    </row>
    <row r="479" spans="1:4" ht="15" customHeight="1" x14ac:dyDescent="0.25">
      <c r="A479" s="87" t="s">
        <v>31</v>
      </c>
      <c r="B479" s="87" t="s">
        <v>665</v>
      </c>
      <c r="C479" s="88">
        <v>0</v>
      </c>
      <c r="D479" s="88">
        <v>0</v>
      </c>
    </row>
    <row r="480" spans="1:4" ht="15" customHeight="1" x14ac:dyDescent="0.25">
      <c r="A480" s="87" t="s">
        <v>31</v>
      </c>
      <c r="B480" s="87" t="s">
        <v>105</v>
      </c>
      <c r="C480" s="88">
        <v>0</v>
      </c>
      <c r="D480" s="88">
        <v>0</v>
      </c>
    </row>
    <row r="481" spans="1:5" ht="15" customHeight="1" x14ac:dyDescent="0.25">
      <c r="A481" s="87" t="s">
        <v>31</v>
      </c>
      <c r="B481" s="87" t="s">
        <v>723</v>
      </c>
      <c r="C481" s="88">
        <v>0</v>
      </c>
      <c r="D481" s="88">
        <v>0</v>
      </c>
    </row>
    <row r="482" spans="1:5" ht="15" customHeight="1" x14ac:dyDescent="0.25">
      <c r="A482" s="87" t="s">
        <v>31</v>
      </c>
      <c r="B482" s="87" t="s">
        <v>1241</v>
      </c>
      <c r="C482" s="88">
        <v>0</v>
      </c>
      <c r="D482" s="88">
        <v>0</v>
      </c>
    </row>
    <row r="483" spans="1:5" ht="25.5" customHeight="1" x14ac:dyDescent="0.25">
      <c r="A483" s="87" t="s">
        <v>31</v>
      </c>
      <c r="B483" s="87" t="s">
        <v>1963</v>
      </c>
      <c r="C483" s="88">
        <v>3</v>
      </c>
      <c r="D483" s="88">
        <v>1</v>
      </c>
      <c r="E483" s="89" t="s">
        <v>1964</v>
      </c>
    </row>
    <row r="485" spans="1:5" ht="15" customHeight="1" x14ac:dyDescent="0.25">
      <c r="A485" s="87" t="s">
        <v>33</v>
      </c>
      <c r="B485" s="87" t="s">
        <v>1965</v>
      </c>
      <c r="C485" s="88">
        <v>0</v>
      </c>
      <c r="D485" s="88">
        <v>0</v>
      </c>
    </row>
    <row r="486" spans="1:5" ht="15" customHeight="1" x14ac:dyDescent="0.25">
      <c r="A486" s="87" t="s">
        <v>33</v>
      </c>
      <c r="B486" s="87" t="s">
        <v>1110</v>
      </c>
      <c r="C486" s="88">
        <v>0</v>
      </c>
      <c r="D486" s="88">
        <v>0</v>
      </c>
    </row>
    <row r="487" spans="1:5" ht="15" customHeight="1" x14ac:dyDescent="0.25">
      <c r="A487" s="87" t="s">
        <v>33</v>
      </c>
      <c r="B487" s="87" t="s">
        <v>1966</v>
      </c>
      <c r="C487" s="88">
        <v>0</v>
      </c>
      <c r="D487" s="88">
        <v>0</v>
      </c>
    </row>
    <row r="488" spans="1:5" ht="15" customHeight="1" x14ac:dyDescent="0.25">
      <c r="A488" s="87" t="s">
        <v>33</v>
      </c>
      <c r="B488" s="87" t="s">
        <v>1967</v>
      </c>
      <c r="C488" s="88">
        <v>0</v>
      </c>
      <c r="D488" s="88">
        <v>0</v>
      </c>
    </row>
    <row r="489" spans="1:5" ht="15" customHeight="1" x14ac:dyDescent="0.25">
      <c r="A489" s="87" t="s">
        <v>33</v>
      </c>
      <c r="B489" s="87" t="s">
        <v>1968</v>
      </c>
      <c r="C489" s="88">
        <v>0</v>
      </c>
      <c r="D489" s="88">
        <v>0</v>
      </c>
    </row>
    <row r="490" spans="1:5" ht="15" customHeight="1" x14ac:dyDescent="0.25">
      <c r="A490" s="87" t="s">
        <v>33</v>
      </c>
      <c r="B490" s="87" t="s">
        <v>1969</v>
      </c>
      <c r="C490" s="88">
        <v>0</v>
      </c>
      <c r="D490" s="88">
        <v>0</v>
      </c>
    </row>
    <row r="491" spans="1:5" ht="15" customHeight="1" x14ac:dyDescent="0.25">
      <c r="A491" s="87" t="s">
        <v>33</v>
      </c>
      <c r="B491" s="87" t="s">
        <v>1970</v>
      </c>
      <c r="C491" s="88">
        <v>0</v>
      </c>
      <c r="D491" s="88">
        <v>0</v>
      </c>
    </row>
    <row r="492" spans="1:5" ht="15" customHeight="1" x14ac:dyDescent="0.25">
      <c r="A492" s="87" t="s">
        <v>33</v>
      </c>
      <c r="B492" s="87" t="s">
        <v>1971</v>
      </c>
      <c r="C492" s="88">
        <v>0</v>
      </c>
      <c r="D492" s="88">
        <v>0</v>
      </c>
    </row>
    <row r="493" spans="1:5" ht="15" customHeight="1" x14ac:dyDescent="0.25">
      <c r="A493" s="87" t="s">
        <v>33</v>
      </c>
      <c r="B493" s="87" t="s">
        <v>1972</v>
      </c>
      <c r="C493" s="88">
        <v>0</v>
      </c>
      <c r="D493" s="88">
        <v>0</v>
      </c>
    </row>
    <row r="494" spans="1:5" ht="15" customHeight="1" x14ac:dyDescent="0.25">
      <c r="A494" s="87" t="s">
        <v>33</v>
      </c>
      <c r="B494" s="87" t="s">
        <v>1973</v>
      </c>
      <c r="C494" s="88">
        <v>0</v>
      </c>
      <c r="D494" s="88">
        <v>0</v>
      </c>
    </row>
    <row r="495" spans="1:5" ht="15" customHeight="1" x14ac:dyDescent="0.25">
      <c r="A495" s="87" t="s">
        <v>33</v>
      </c>
      <c r="B495" s="87" t="s">
        <v>1283</v>
      </c>
      <c r="C495" s="88">
        <v>0</v>
      </c>
      <c r="D495" s="88">
        <v>0</v>
      </c>
    </row>
    <row r="496" spans="1:5" ht="15" customHeight="1" x14ac:dyDescent="0.25">
      <c r="A496" s="87" t="s">
        <v>33</v>
      </c>
      <c r="B496" s="87" t="s">
        <v>1974</v>
      </c>
      <c r="C496" s="88">
        <v>0</v>
      </c>
      <c r="D496" s="88">
        <v>0</v>
      </c>
    </row>
    <row r="497" spans="1:4" ht="15" customHeight="1" x14ac:dyDescent="0.25">
      <c r="A497" s="87" t="s">
        <v>33</v>
      </c>
      <c r="B497" s="87" t="s">
        <v>1308</v>
      </c>
      <c r="C497" s="88">
        <v>0</v>
      </c>
      <c r="D497" s="88">
        <v>0</v>
      </c>
    </row>
    <row r="498" spans="1:4" ht="15" customHeight="1" x14ac:dyDescent="0.25">
      <c r="A498" s="87" t="s">
        <v>33</v>
      </c>
      <c r="B498" s="87" t="s">
        <v>1136</v>
      </c>
      <c r="C498" s="88">
        <v>0</v>
      </c>
      <c r="D498" s="88">
        <v>0</v>
      </c>
    </row>
    <row r="499" spans="1:4" ht="15" customHeight="1" x14ac:dyDescent="0.25">
      <c r="A499" s="87" t="s">
        <v>33</v>
      </c>
      <c r="B499" s="87" t="s">
        <v>1975</v>
      </c>
      <c r="C499" s="88">
        <v>0</v>
      </c>
      <c r="D499" s="88">
        <v>0</v>
      </c>
    </row>
    <row r="500" spans="1:4" ht="15" customHeight="1" x14ac:dyDescent="0.25">
      <c r="A500" s="87" t="s">
        <v>33</v>
      </c>
      <c r="B500" s="87" t="s">
        <v>1976</v>
      </c>
      <c r="C500" s="88">
        <v>0</v>
      </c>
      <c r="D500" s="88">
        <v>0</v>
      </c>
    </row>
    <row r="501" spans="1:4" ht="15" customHeight="1" x14ac:dyDescent="0.25">
      <c r="A501" s="87" t="s">
        <v>33</v>
      </c>
      <c r="B501" s="87" t="s">
        <v>1977</v>
      </c>
      <c r="C501" s="88">
        <v>0</v>
      </c>
      <c r="D501" s="88">
        <v>0</v>
      </c>
    </row>
    <row r="502" spans="1:4" ht="15" customHeight="1" x14ac:dyDescent="0.25">
      <c r="A502" s="87" t="s">
        <v>33</v>
      </c>
      <c r="B502" s="87" t="s">
        <v>1978</v>
      </c>
      <c r="C502" s="88">
        <v>0</v>
      </c>
      <c r="D502" s="88">
        <v>0</v>
      </c>
    </row>
    <row r="503" spans="1:4" ht="15" customHeight="1" x14ac:dyDescent="0.25">
      <c r="A503" s="87" t="s">
        <v>33</v>
      </c>
      <c r="B503" s="87" t="s">
        <v>1979</v>
      </c>
      <c r="C503" s="88">
        <v>0</v>
      </c>
      <c r="D503" s="88">
        <v>0</v>
      </c>
    </row>
    <row r="504" spans="1:4" ht="15" customHeight="1" x14ac:dyDescent="0.25">
      <c r="A504" s="87" t="s">
        <v>33</v>
      </c>
      <c r="B504" s="87" t="s">
        <v>1980</v>
      </c>
      <c r="C504" s="88">
        <v>0</v>
      </c>
      <c r="D504" s="88">
        <v>0</v>
      </c>
    </row>
    <row r="505" spans="1:4" ht="15" customHeight="1" x14ac:dyDescent="0.25">
      <c r="A505" s="87" t="s">
        <v>33</v>
      </c>
      <c r="B505" s="87" t="s">
        <v>1981</v>
      </c>
      <c r="C505" s="88">
        <v>0</v>
      </c>
      <c r="D505" s="88">
        <v>0</v>
      </c>
    </row>
    <row r="506" spans="1:4" ht="15" customHeight="1" x14ac:dyDescent="0.25">
      <c r="A506" s="87" t="s">
        <v>33</v>
      </c>
      <c r="B506" s="87" t="s">
        <v>1982</v>
      </c>
      <c r="C506" s="88">
        <v>0</v>
      </c>
      <c r="D506" s="88">
        <v>0</v>
      </c>
    </row>
    <row r="507" spans="1:4" ht="15" customHeight="1" x14ac:dyDescent="0.25">
      <c r="A507" s="87" t="s">
        <v>33</v>
      </c>
      <c r="B507" s="87" t="s">
        <v>1983</v>
      </c>
      <c r="C507" s="88">
        <v>0</v>
      </c>
      <c r="D507" s="88">
        <v>0</v>
      </c>
    </row>
    <row r="508" spans="1:4" ht="15" customHeight="1" x14ac:dyDescent="0.25">
      <c r="A508" s="87" t="s">
        <v>33</v>
      </c>
      <c r="B508" s="87" t="s">
        <v>1984</v>
      </c>
      <c r="C508" s="88">
        <v>0</v>
      </c>
      <c r="D508" s="88">
        <v>0</v>
      </c>
    </row>
    <row r="509" spans="1:4" ht="15" customHeight="1" x14ac:dyDescent="0.25">
      <c r="A509" s="87" t="s">
        <v>33</v>
      </c>
      <c r="B509" s="87" t="s">
        <v>646</v>
      </c>
      <c r="C509" s="88">
        <v>0</v>
      </c>
      <c r="D509" s="88">
        <v>0</v>
      </c>
    </row>
    <row r="510" spans="1:4" ht="15" customHeight="1" x14ac:dyDescent="0.25">
      <c r="A510" s="87" t="s">
        <v>33</v>
      </c>
      <c r="B510" s="87" t="s">
        <v>1985</v>
      </c>
      <c r="C510" s="88">
        <v>0</v>
      </c>
      <c r="D510" s="88">
        <v>0</v>
      </c>
    </row>
    <row r="511" spans="1:4" ht="15" customHeight="1" x14ac:dyDescent="0.25">
      <c r="A511" s="87" t="s">
        <v>33</v>
      </c>
      <c r="B511" s="87" t="s">
        <v>1344</v>
      </c>
      <c r="C511" s="88">
        <v>0</v>
      </c>
      <c r="D511" s="88">
        <v>0</v>
      </c>
    </row>
    <row r="512" spans="1:4" ht="15" customHeight="1" x14ac:dyDescent="0.25">
      <c r="A512" s="87" t="s">
        <v>33</v>
      </c>
      <c r="B512" s="87" t="s">
        <v>1986</v>
      </c>
      <c r="C512" s="88">
        <v>0</v>
      </c>
      <c r="D512" s="88">
        <v>0</v>
      </c>
    </row>
    <row r="513" spans="1:9" ht="15" customHeight="1" x14ac:dyDescent="0.25">
      <c r="A513" s="87" t="s">
        <v>33</v>
      </c>
      <c r="B513" s="87" t="s">
        <v>1987</v>
      </c>
      <c r="C513" s="88">
        <v>0</v>
      </c>
      <c r="D513" s="88">
        <v>0</v>
      </c>
    </row>
    <row r="514" spans="1:9" ht="15" customHeight="1" x14ac:dyDescent="0.25">
      <c r="A514" s="87" t="s">
        <v>33</v>
      </c>
      <c r="B514" s="87" t="s">
        <v>1988</v>
      </c>
      <c r="C514" s="88">
        <v>0</v>
      </c>
      <c r="D514" s="88">
        <v>0</v>
      </c>
      <c r="G514" t="s">
        <v>1707</v>
      </c>
      <c r="H514">
        <v>0</v>
      </c>
      <c r="I514">
        <v>0</v>
      </c>
    </row>
    <row r="516" spans="1:9" ht="76.5" customHeight="1" x14ac:dyDescent="0.25">
      <c r="A516" s="87" t="s">
        <v>35</v>
      </c>
      <c r="B516" s="87" t="s">
        <v>1989</v>
      </c>
      <c r="C516" s="88">
        <v>0</v>
      </c>
      <c r="D516" s="88">
        <v>0</v>
      </c>
      <c r="E516" s="89" t="s">
        <v>1990</v>
      </c>
      <c r="F516" s="89" t="s">
        <v>1991</v>
      </c>
    </row>
    <row r="517" spans="1:9" ht="76.5" customHeight="1" x14ac:dyDescent="0.25">
      <c r="A517" s="87" t="s">
        <v>35</v>
      </c>
      <c r="B517" s="87" t="s">
        <v>1206</v>
      </c>
      <c r="C517" s="88">
        <v>0</v>
      </c>
      <c r="D517" s="88">
        <v>0</v>
      </c>
      <c r="E517" s="89" t="s">
        <v>1992</v>
      </c>
    </row>
    <row r="518" spans="1:9" ht="15" customHeight="1" x14ac:dyDescent="0.25">
      <c r="A518" s="87" t="s">
        <v>35</v>
      </c>
      <c r="B518" s="87" t="s">
        <v>768</v>
      </c>
      <c r="C518" s="88">
        <v>0</v>
      </c>
      <c r="D518" s="88">
        <v>0</v>
      </c>
    </row>
    <row r="519" spans="1:9" ht="15" customHeight="1" x14ac:dyDescent="0.25">
      <c r="A519" s="87" t="s">
        <v>35</v>
      </c>
      <c r="B519" s="87" t="s">
        <v>787</v>
      </c>
      <c r="C519" s="88">
        <v>0</v>
      </c>
      <c r="D519" s="88">
        <v>0</v>
      </c>
    </row>
    <row r="520" spans="1:9" ht="15" customHeight="1" x14ac:dyDescent="0.25">
      <c r="A520" s="87" t="s">
        <v>35</v>
      </c>
      <c r="B520" s="87" t="s">
        <v>514</v>
      </c>
      <c r="C520" s="88">
        <v>0</v>
      </c>
      <c r="D520" s="88">
        <v>0</v>
      </c>
    </row>
    <row r="521" spans="1:9" ht="15" customHeight="1" x14ac:dyDescent="0.25">
      <c r="A521" s="87" t="s">
        <v>35</v>
      </c>
      <c r="B521" s="87" t="s">
        <v>1993</v>
      </c>
      <c r="C521" s="88">
        <v>0</v>
      </c>
      <c r="D521" s="88">
        <v>0</v>
      </c>
    </row>
    <row r="522" spans="1:9" ht="15" customHeight="1" x14ac:dyDescent="0.25">
      <c r="A522" s="87" t="s">
        <v>35</v>
      </c>
      <c r="B522" s="87" t="s">
        <v>1994</v>
      </c>
      <c r="C522" s="88">
        <v>0</v>
      </c>
      <c r="D522" s="88">
        <v>0</v>
      </c>
    </row>
    <row r="523" spans="1:9" ht="15" customHeight="1" x14ac:dyDescent="0.25">
      <c r="A523" s="87" t="s">
        <v>35</v>
      </c>
      <c r="B523" s="87" t="s">
        <v>1039</v>
      </c>
      <c r="C523" s="88">
        <v>0</v>
      </c>
      <c r="D523" s="88">
        <v>0</v>
      </c>
    </row>
    <row r="524" spans="1:9" ht="15" customHeight="1" x14ac:dyDescent="0.25">
      <c r="A524" s="87" t="s">
        <v>35</v>
      </c>
      <c r="B524" s="87" t="s">
        <v>1041</v>
      </c>
      <c r="C524" s="88">
        <v>0</v>
      </c>
      <c r="D524" s="88">
        <v>0</v>
      </c>
    </row>
    <row r="525" spans="1:9" ht="15" customHeight="1" x14ac:dyDescent="0.25">
      <c r="A525" s="87" t="s">
        <v>35</v>
      </c>
      <c r="B525" s="87" t="s">
        <v>735</v>
      </c>
      <c r="C525" s="88">
        <v>0</v>
      </c>
      <c r="D525" s="88">
        <v>0</v>
      </c>
    </row>
    <row r="526" spans="1:9" ht="15" customHeight="1" x14ac:dyDescent="0.25">
      <c r="A526" s="87" t="s">
        <v>35</v>
      </c>
      <c r="B526" s="87" t="s">
        <v>1995</v>
      </c>
      <c r="C526" s="88">
        <v>0</v>
      </c>
      <c r="D526" s="88">
        <v>0</v>
      </c>
    </row>
    <row r="527" spans="1:9" ht="15" customHeight="1" x14ac:dyDescent="0.25">
      <c r="A527" s="87" t="s">
        <v>35</v>
      </c>
      <c r="B527" s="87" t="s">
        <v>1125</v>
      </c>
      <c r="C527" s="88">
        <v>0</v>
      </c>
      <c r="D527" s="88">
        <v>0</v>
      </c>
    </row>
    <row r="528" spans="1:9" ht="15" customHeight="1" x14ac:dyDescent="0.25">
      <c r="A528" s="87" t="s">
        <v>35</v>
      </c>
      <c r="B528" s="87" t="s">
        <v>1996</v>
      </c>
      <c r="C528" s="88">
        <v>0</v>
      </c>
      <c r="D528" s="88">
        <v>0</v>
      </c>
    </row>
    <row r="529" spans="1:5" ht="76.5" customHeight="1" x14ac:dyDescent="0.25">
      <c r="A529" s="87" t="s">
        <v>35</v>
      </c>
      <c r="B529" s="87" t="s">
        <v>1170</v>
      </c>
      <c r="C529" s="88">
        <v>0</v>
      </c>
      <c r="D529" s="88">
        <v>0</v>
      </c>
      <c r="E529" s="89" t="s">
        <v>1990</v>
      </c>
    </row>
    <row r="530" spans="1:5" ht="15" customHeight="1" x14ac:dyDescent="0.25">
      <c r="A530" s="87" t="s">
        <v>35</v>
      </c>
      <c r="B530" s="87" t="s">
        <v>1997</v>
      </c>
      <c r="C530" s="88">
        <v>0</v>
      </c>
      <c r="D530" s="88">
        <v>0</v>
      </c>
    </row>
    <row r="531" spans="1:5" ht="15" customHeight="1" x14ac:dyDescent="0.25">
      <c r="A531" s="87" t="s">
        <v>35</v>
      </c>
      <c r="B531" s="87" t="s">
        <v>1998</v>
      </c>
      <c r="C531" s="88">
        <v>0</v>
      </c>
      <c r="D531" s="88">
        <v>0</v>
      </c>
    </row>
    <row r="532" spans="1:5" ht="15" customHeight="1" x14ac:dyDescent="0.25">
      <c r="A532" s="87" t="s">
        <v>35</v>
      </c>
      <c r="B532" s="87" t="s">
        <v>1163</v>
      </c>
      <c r="C532" s="88">
        <v>0</v>
      </c>
      <c r="D532" s="88">
        <v>0</v>
      </c>
    </row>
    <row r="533" spans="1:5" ht="15" customHeight="1" x14ac:dyDescent="0.25">
      <c r="A533" s="87" t="s">
        <v>35</v>
      </c>
      <c r="B533" s="87" t="s">
        <v>1999</v>
      </c>
      <c r="C533" s="88">
        <v>0</v>
      </c>
      <c r="D533" s="88">
        <v>0</v>
      </c>
    </row>
    <row r="534" spans="1:5" ht="15" customHeight="1" x14ac:dyDescent="0.25">
      <c r="A534" s="87" t="s">
        <v>35</v>
      </c>
      <c r="B534" s="87" t="s">
        <v>1048</v>
      </c>
      <c r="C534" s="88">
        <v>0</v>
      </c>
      <c r="D534" s="88">
        <v>0</v>
      </c>
    </row>
    <row r="535" spans="1:5" ht="15" customHeight="1" x14ac:dyDescent="0.25">
      <c r="A535" s="87" t="s">
        <v>35</v>
      </c>
      <c r="B535" s="87" t="s">
        <v>2000</v>
      </c>
      <c r="C535" s="88">
        <v>0</v>
      </c>
      <c r="D535" s="88">
        <v>0</v>
      </c>
    </row>
    <row r="536" spans="1:5" ht="15" customHeight="1" x14ac:dyDescent="0.25">
      <c r="A536" s="87" t="s">
        <v>35</v>
      </c>
      <c r="B536" s="87" t="s">
        <v>1197</v>
      </c>
      <c r="C536" s="88">
        <v>0</v>
      </c>
      <c r="D536" s="88">
        <v>0</v>
      </c>
    </row>
    <row r="537" spans="1:5" ht="15" customHeight="1" x14ac:dyDescent="0.25">
      <c r="A537" s="87" t="s">
        <v>35</v>
      </c>
      <c r="B537" s="87" t="s">
        <v>1051</v>
      </c>
      <c r="C537" s="88">
        <v>0</v>
      </c>
      <c r="D537" s="88">
        <v>0</v>
      </c>
    </row>
    <row r="538" spans="1:5" ht="15" customHeight="1" x14ac:dyDescent="0.25">
      <c r="A538" s="87" t="s">
        <v>35</v>
      </c>
      <c r="B538" s="87" t="s">
        <v>1053</v>
      </c>
      <c r="C538" s="88">
        <v>0</v>
      </c>
      <c r="D538" s="88">
        <v>0</v>
      </c>
    </row>
    <row r="539" spans="1:5" ht="15" customHeight="1" x14ac:dyDescent="0.25">
      <c r="A539" s="87" t="s">
        <v>35</v>
      </c>
      <c r="B539" s="87" t="s">
        <v>2001</v>
      </c>
      <c r="C539" s="88">
        <v>0</v>
      </c>
      <c r="D539" s="88">
        <v>0</v>
      </c>
    </row>
    <row r="540" spans="1:5" ht="15" customHeight="1" x14ac:dyDescent="0.25">
      <c r="A540" s="87" t="s">
        <v>35</v>
      </c>
      <c r="B540" s="87" t="s">
        <v>1786</v>
      </c>
      <c r="C540" s="88">
        <v>0</v>
      </c>
      <c r="D540" s="88">
        <v>0</v>
      </c>
    </row>
    <row r="541" spans="1:5" ht="15" customHeight="1" x14ac:dyDescent="0.25">
      <c r="A541" s="87" t="s">
        <v>35</v>
      </c>
      <c r="B541" s="87" t="s">
        <v>2002</v>
      </c>
      <c r="C541" s="88">
        <v>0</v>
      </c>
      <c r="D541" s="88">
        <v>0</v>
      </c>
    </row>
    <row r="542" spans="1:5" ht="15" customHeight="1" x14ac:dyDescent="0.25">
      <c r="A542" s="87" t="s">
        <v>35</v>
      </c>
      <c r="B542" s="87" t="s">
        <v>2003</v>
      </c>
      <c r="C542" s="88">
        <v>0</v>
      </c>
      <c r="D542" s="88">
        <v>0</v>
      </c>
    </row>
    <row r="543" spans="1:5" ht="15" customHeight="1" x14ac:dyDescent="0.25">
      <c r="A543" s="87" t="s">
        <v>35</v>
      </c>
      <c r="B543" s="87" t="s">
        <v>2004</v>
      </c>
      <c r="C543" s="88">
        <v>0</v>
      </c>
      <c r="D543" s="88">
        <v>0</v>
      </c>
    </row>
    <row r="544" spans="1:5" ht="15" customHeight="1" x14ac:dyDescent="0.25">
      <c r="A544" s="87" t="s">
        <v>35</v>
      </c>
      <c r="B544" s="87" t="s">
        <v>2005</v>
      </c>
      <c r="C544" s="88">
        <v>0</v>
      </c>
      <c r="D544" s="88">
        <v>0</v>
      </c>
    </row>
    <row r="545" spans="1:4" ht="15" customHeight="1" x14ac:dyDescent="0.25">
      <c r="A545" s="87" t="s">
        <v>35</v>
      </c>
      <c r="B545" s="87" t="s">
        <v>310</v>
      </c>
      <c r="C545" s="88">
        <v>0</v>
      </c>
      <c r="D545" s="88">
        <v>0</v>
      </c>
    </row>
    <row r="546" spans="1:4" ht="15" customHeight="1" x14ac:dyDescent="0.25">
      <c r="A546" s="87" t="s">
        <v>35</v>
      </c>
      <c r="B546" s="87" t="s">
        <v>798</v>
      </c>
      <c r="C546" s="88">
        <v>0</v>
      </c>
      <c r="D546" s="88">
        <v>0</v>
      </c>
    </row>
    <row r="547" spans="1:4" ht="15" customHeight="1" x14ac:dyDescent="0.25">
      <c r="A547" s="87" t="s">
        <v>35</v>
      </c>
      <c r="B547" s="87" t="s">
        <v>1119</v>
      </c>
      <c r="C547" s="88">
        <v>0</v>
      </c>
      <c r="D547" s="88">
        <v>0</v>
      </c>
    </row>
    <row r="548" spans="1:4" ht="15" customHeight="1" x14ac:dyDescent="0.25">
      <c r="A548" s="87" t="s">
        <v>35</v>
      </c>
      <c r="B548" s="87" t="s">
        <v>2006</v>
      </c>
      <c r="C548" s="88">
        <v>0</v>
      </c>
      <c r="D548" s="88">
        <v>0</v>
      </c>
    </row>
    <row r="549" spans="1:4" ht="15" customHeight="1" x14ac:dyDescent="0.25">
      <c r="A549" s="87" t="s">
        <v>35</v>
      </c>
      <c r="B549" s="87" t="s">
        <v>2007</v>
      </c>
      <c r="C549" s="88">
        <v>0</v>
      </c>
      <c r="D549" s="88">
        <v>0</v>
      </c>
    </row>
    <row r="550" spans="1:4" ht="15" customHeight="1" x14ac:dyDescent="0.25">
      <c r="A550" s="87" t="s">
        <v>35</v>
      </c>
      <c r="B550" s="87" t="s">
        <v>1439</v>
      </c>
      <c r="C550" s="88">
        <v>0</v>
      </c>
      <c r="D550" s="88">
        <v>0</v>
      </c>
    </row>
    <row r="551" spans="1:4" ht="15" customHeight="1" x14ac:dyDescent="0.25">
      <c r="A551" s="87" t="s">
        <v>35</v>
      </c>
      <c r="B551" s="87" t="s">
        <v>2008</v>
      </c>
      <c r="C551" s="88">
        <v>0</v>
      </c>
      <c r="D551" s="88">
        <v>0</v>
      </c>
    </row>
    <row r="552" spans="1:4" ht="15" customHeight="1" x14ac:dyDescent="0.25">
      <c r="A552" s="87" t="s">
        <v>35</v>
      </c>
      <c r="B552" s="87" t="s">
        <v>1166</v>
      </c>
      <c r="C552" s="88">
        <v>0</v>
      </c>
      <c r="D552" s="88">
        <v>0</v>
      </c>
    </row>
    <row r="553" spans="1:4" ht="15" customHeight="1" x14ac:dyDescent="0.25">
      <c r="A553" s="87" t="s">
        <v>35</v>
      </c>
      <c r="B553" s="87" t="s">
        <v>428</v>
      </c>
      <c r="C553" s="88">
        <v>0</v>
      </c>
      <c r="D553" s="88">
        <v>0</v>
      </c>
    </row>
    <row r="554" spans="1:4" ht="15" customHeight="1" x14ac:dyDescent="0.25">
      <c r="A554" s="87" t="s">
        <v>35</v>
      </c>
      <c r="B554" s="87" t="s">
        <v>800</v>
      </c>
      <c r="C554" s="88">
        <v>0</v>
      </c>
      <c r="D554" s="88">
        <v>0</v>
      </c>
    </row>
    <row r="555" spans="1:4" ht="15" customHeight="1" x14ac:dyDescent="0.25">
      <c r="A555" s="87" t="s">
        <v>35</v>
      </c>
      <c r="B555" s="87" t="s">
        <v>1056</v>
      </c>
      <c r="C555" s="88">
        <v>0</v>
      </c>
      <c r="D555" s="88">
        <v>0</v>
      </c>
    </row>
    <row r="556" spans="1:4" ht="15" customHeight="1" x14ac:dyDescent="0.25">
      <c r="A556" s="87" t="s">
        <v>35</v>
      </c>
      <c r="B556" s="87" t="s">
        <v>2009</v>
      </c>
      <c r="C556" s="88">
        <v>0</v>
      </c>
      <c r="D556" s="88">
        <v>0</v>
      </c>
    </row>
    <row r="557" spans="1:4" ht="15" customHeight="1" x14ac:dyDescent="0.25">
      <c r="A557" s="87" t="s">
        <v>35</v>
      </c>
      <c r="B557" s="87" t="s">
        <v>802</v>
      </c>
      <c r="C557" s="88">
        <v>0</v>
      </c>
      <c r="D557" s="88">
        <v>0</v>
      </c>
    </row>
    <row r="558" spans="1:4" ht="15" customHeight="1" x14ac:dyDescent="0.25">
      <c r="A558" s="87" t="s">
        <v>35</v>
      </c>
      <c r="B558" s="87" t="s">
        <v>1058</v>
      </c>
      <c r="C558" s="88">
        <v>0</v>
      </c>
      <c r="D558" s="88">
        <v>0</v>
      </c>
    </row>
    <row r="559" spans="1:4" ht="15" customHeight="1" x14ac:dyDescent="0.25">
      <c r="A559" s="87" t="s">
        <v>35</v>
      </c>
      <c r="B559" s="87" t="s">
        <v>1454</v>
      </c>
      <c r="C559" s="88">
        <v>0</v>
      </c>
      <c r="D559" s="88">
        <v>0</v>
      </c>
    </row>
    <row r="560" spans="1:4" ht="15" customHeight="1" x14ac:dyDescent="0.25">
      <c r="A560" s="87" t="s">
        <v>35</v>
      </c>
      <c r="B560" s="87" t="s">
        <v>2010</v>
      </c>
      <c r="C560" s="88">
        <v>0</v>
      </c>
      <c r="D560" s="88">
        <v>0</v>
      </c>
    </row>
    <row r="561" spans="1:4" ht="15" customHeight="1" x14ac:dyDescent="0.25">
      <c r="A561" s="87" t="s">
        <v>35</v>
      </c>
      <c r="B561" s="87" t="s">
        <v>2011</v>
      </c>
      <c r="C561" s="88">
        <v>0</v>
      </c>
      <c r="D561" s="88">
        <v>0</v>
      </c>
    </row>
    <row r="562" spans="1:4" ht="15" customHeight="1" x14ac:dyDescent="0.25">
      <c r="A562" s="87" t="s">
        <v>35</v>
      </c>
      <c r="B562" s="87" t="s">
        <v>2012</v>
      </c>
      <c r="C562" s="88">
        <v>0</v>
      </c>
      <c r="D562" s="88">
        <v>0</v>
      </c>
    </row>
    <row r="563" spans="1:4" ht="15" customHeight="1" x14ac:dyDescent="0.25">
      <c r="A563" s="87" t="s">
        <v>35</v>
      </c>
      <c r="B563" s="87" t="s">
        <v>2013</v>
      </c>
      <c r="C563" s="88">
        <v>0</v>
      </c>
      <c r="D563" s="88">
        <v>0</v>
      </c>
    </row>
    <row r="564" spans="1:4" ht="15" customHeight="1" x14ac:dyDescent="0.25">
      <c r="A564" s="87" t="s">
        <v>35</v>
      </c>
      <c r="B564" s="87" t="s">
        <v>1301</v>
      </c>
      <c r="C564" s="88">
        <v>0</v>
      </c>
      <c r="D564" s="88">
        <v>0</v>
      </c>
    </row>
    <row r="565" spans="1:4" ht="15" customHeight="1" x14ac:dyDescent="0.25">
      <c r="A565" s="87" t="s">
        <v>35</v>
      </c>
      <c r="B565" s="87" t="s">
        <v>1208</v>
      </c>
      <c r="C565" s="88">
        <v>0</v>
      </c>
      <c r="D565" s="88">
        <v>0</v>
      </c>
    </row>
    <row r="566" spans="1:4" ht="15" customHeight="1" x14ac:dyDescent="0.25">
      <c r="A566" s="87" t="s">
        <v>35</v>
      </c>
      <c r="B566" s="87" t="s">
        <v>1199</v>
      </c>
      <c r="C566" s="88">
        <v>0</v>
      </c>
      <c r="D566" s="88">
        <v>0</v>
      </c>
    </row>
    <row r="567" spans="1:4" ht="15" customHeight="1" x14ac:dyDescent="0.25">
      <c r="A567" s="87" t="s">
        <v>35</v>
      </c>
      <c r="B567" s="87" t="s">
        <v>1064</v>
      </c>
      <c r="C567" s="88">
        <v>0</v>
      </c>
      <c r="D567" s="88">
        <v>0</v>
      </c>
    </row>
    <row r="568" spans="1:4" ht="15" customHeight="1" x14ac:dyDescent="0.25">
      <c r="A568" s="87" t="s">
        <v>35</v>
      </c>
      <c r="B568" s="87" t="s">
        <v>685</v>
      </c>
      <c r="C568" s="88">
        <v>0</v>
      </c>
      <c r="D568" s="88">
        <v>0</v>
      </c>
    </row>
    <row r="569" spans="1:4" ht="15" customHeight="1" x14ac:dyDescent="0.25">
      <c r="A569" s="87" t="s">
        <v>35</v>
      </c>
      <c r="B569" s="87" t="s">
        <v>2014</v>
      </c>
      <c r="C569" s="88">
        <v>0</v>
      </c>
      <c r="D569" s="88">
        <v>0</v>
      </c>
    </row>
    <row r="570" spans="1:4" ht="15" customHeight="1" x14ac:dyDescent="0.25">
      <c r="A570" s="87" t="s">
        <v>35</v>
      </c>
      <c r="B570" s="87" t="s">
        <v>2015</v>
      </c>
      <c r="C570" s="88">
        <v>0</v>
      </c>
      <c r="D570" s="88">
        <v>0</v>
      </c>
    </row>
    <row r="571" spans="1:4" ht="15" customHeight="1" x14ac:dyDescent="0.25">
      <c r="A571" s="87" t="s">
        <v>35</v>
      </c>
      <c r="B571" s="87" t="s">
        <v>526</v>
      </c>
      <c r="C571" s="88">
        <v>0</v>
      </c>
      <c r="D571" s="88">
        <v>0</v>
      </c>
    </row>
    <row r="572" spans="1:4" ht="15" customHeight="1" x14ac:dyDescent="0.25">
      <c r="A572" s="87" t="s">
        <v>35</v>
      </c>
      <c r="B572" s="87" t="s">
        <v>2016</v>
      </c>
      <c r="C572" s="88">
        <v>0</v>
      </c>
      <c r="D572" s="88">
        <v>0</v>
      </c>
    </row>
    <row r="573" spans="1:4" ht="15" customHeight="1" x14ac:dyDescent="0.25">
      <c r="A573" s="87" t="s">
        <v>35</v>
      </c>
      <c r="B573" s="87" t="s">
        <v>804</v>
      </c>
      <c r="C573" s="88">
        <v>0</v>
      </c>
      <c r="D573" s="88">
        <v>0</v>
      </c>
    </row>
    <row r="574" spans="1:4" ht="15" customHeight="1" x14ac:dyDescent="0.25">
      <c r="A574" s="87" t="s">
        <v>35</v>
      </c>
      <c r="B574" s="87" t="s">
        <v>241</v>
      </c>
      <c r="C574" s="88">
        <v>0</v>
      </c>
      <c r="D574" s="88">
        <v>0</v>
      </c>
    </row>
    <row r="575" spans="1:4" ht="15" customHeight="1" x14ac:dyDescent="0.25">
      <c r="A575" s="87" t="s">
        <v>35</v>
      </c>
      <c r="B575" s="87" t="s">
        <v>41</v>
      </c>
      <c r="C575" s="88">
        <v>0</v>
      </c>
      <c r="D575" s="88">
        <v>0</v>
      </c>
    </row>
    <row r="576" spans="1:4" ht="15" customHeight="1" x14ac:dyDescent="0.25">
      <c r="A576" s="87" t="s">
        <v>35</v>
      </c>
      <c r="B576" s="87" t="s">
        <v>2017</v>
      </c>
      <c r="C576" s="88">
        <v>0</v>
      </c>
      <c r="D576" s="88">
        <v>0</v>
      </c>
    </row>
    <row r="577" spans="1:4" ht="15" customHeight="1" x14ac:dyDescent="0.25">
      <c r="A577" s="87" t="s">
        <v>35</v>
      </c>
      <c r="B577" s="87" t="s">
        <v>460</v>
      </c>
      <c r="C577" s="88">
        <v>0</v>
      </c>
      <c r="D577" s="88">
        <v>0</v>
      </c>
    </row>
    <row r="578" spans="1:4" ht="15" customHeight="1" x14ac:dyDescent="0.25">
      <c r="A578" s="87" t="s">
        <v>35</v>
      </c>
      <c r="B578" s="87" t="s">
        <v>1074</v>
      </c>
      <c r="C578" s="88">
        <v>0</v>
      </c>
      <c r="D578" s="88">
        <v>0</v>
      </c>
    </row>
    <row r="579" spans="1:4" ht="15" customHeight="1" x14ac:dyDescent="0.25">
      <c r="A579" s="87" t="s">
        <v>35</v>
      </c>
      <c r="B579" s="87" t="s">
        <v>1076</v>
      </c>
      <c r="C579" s="88">
        <v>0</v>
      </c>
      <c r="D579" s="88">
        <v>0</v>
      </c>
    </row>
    <row r="580" spans="1:4" ht="15" customHeight="1" x14ac:dyDescent="0.25">
      <c r="A580" s="87" t="s">
        <v>35</v>
      </c>
      <c r="B580" s="87" t="s">
        <v>1201</v>
      </c>
      <c r="C580" s="88">
        <v>0</v>
      </c>
      <c r="D580" s="88">
        <v>0</v>
      </c>
    </row>
    <row r="581" spans="1:4" ht="15" customHeight="1" x14ac:dyDescent="0.25">
      <c r="A581" s="87" t="s">
        <v>35</v>
      </c>
      <c r="B581" s="87" t="s">
        <v>2018</v>
      </c>
      <c r="C581" s="88">
        <v>0</v>
      </c>
      <c r="D581" s="88">
        <v>0</v>
      </c>
    </row>
    <row r="582" spans="1:4" ht="15" customHeight="1" x14ac:dyDescent="0.25">
      <c r="A582" s="87" t="s">
        <v>35</v>
      </c>
      <c r="B582" s="87" t="s">
        <v>2019</v>
      </c>
      <c r="C582" s="88">
        <v>0</v>
      </c>
      <c r="D582" s="88">
        <v>0</v>
      </c>
    </row>
    <row r="583" spans="1:4" ht="15" customHeight="1" x14ac:dyDescent="0.25">
      <c r="A583" s="87" t="s">
        <v>35</v>
      </c>
      <c r="B583" s="87" t="s">
        <v>1080</v>
      </c>
      <c r="C583" s="88">
        <v>0</v>
      </c>
      <c r="D583" s="88">
        <v>0</v>
      </c>
    </row>
    <row r="584" spans="1:4" ht="15" customHeight="1" x14ac:dyDescent="0.25">
      <c r="A584" s="87" t="s">
        <v>35</v>
      </c>
      <c r="B584" s="87" t="s">
        <v>1082</v>
      </c>
      <c r="C584" s="88">
        <v>0</v>
      </c>
      <c r="D584" s="88">
        <v>0</v>
      </c>
    </row>
    <row r="585" spans="1:4" ht="15" customHeight="1" x14ac:dyDescent="0.25">
      <c r="A585" s="87" t="s">
        <v>35</v>
      </c>
      <c r="B585" s="87" t="s">
        <v>529</v>
      </c>
      <c r="C585" s="88">
        <v>0</v>
      </c>
      <c r="D585" s="88">
        <v>0</v>
      </c>
    </row>
    <row r="586" spans="1:4" ht="15" customHeight="1" x14ac:dyDescent="0.25">
      <c r="A586" s="87" t="s">
        <v>35</v>
      </c>
      <c r="B586" s="87" t="s">
        <v>1084</v>
      </c>
      <c r="C586" s="88">
        <v>0</v>
      </c>
      <c r="D586" s="88">
        <v>0</v>
      </c>
    </row>
    <row r="587" spans="1:4" ht="15" customHeight="1" x14ac:dyDescent="0.25">
      <c r="A587" s="87" t="s">
        <v>35</v>
      </c>
      <c r="B587" s="87" t="s">
        <v>2020</v>
      </c>
      <c r="C587" s="88">
        <v>0</v>
      </c>
      <c r="D587" s="88">
        <v>0</v>
      </c>
    </row>
    <row r="588" spans="1:4" ht="15" customHeight="1" x14ac:dyDescent="0.25">
      <c r="A588" s="87" t="s">
        <v>35</v>
      </c>
      <c r="B588" s="87" t="s">
        <v>2021</v>
      </c>
      <c r="C588" s="88">
        <v>0</v>
      </c>
      <c r="D588" s="88">
        <v>0</v>
      </c>
    </row>
    <row r="589" spans="1:4" ht="15" customHeight="1" x14ac:dyDescent="0.25">
      <c r="A589" s="87" t="s">
        <v>35</v>
      </c>
      <c r="B589" s="87" t="s">
        <v>2022</v>
      </c>
      <c r="C589" s="88">
        <v>0</v>
      </c>
      <c r="D589" s="88">
        <v>0</v>
      </c>
    </row>
    <row r="590" spans="1:4" ht="15" customHeight="1" x14ac:dyDescent="0.25">
      <c r="A590" s="87" t="s">
        <v>35</v>
      </c>
      <c r="B590" s="87" t="s">
        <v>170</v>
      </c>
      <c r="C590" s="88">
        <v>0</v>
      </c>
      <c r="D590" s="88">
        <v>0</v>
      </c>
    </row>
    <row r="591" spans="1:4" ht="15" customHeight="1" x14ac:dyDescent="0.25">
      <c r="A591" s="87" t="s">
        <v>35</v>
      </c>
      <c r="B591" s="87" t="s">
        <v>1203</v>
      </c>
      <c r="C591" s="88">
        <v>0</v>
      </c>
      <c r="D591" s="88">
        <v>0</v>
      </c>
    </row>
    <row r="592" spans="1:4" ht="15" customHeight="1" x14ac:dyDescent="0.25">
      <c r="A592" s="87" t="s">
        <v>35</v>
      </c>
      <c r="B592" s="87" t="s">
        <v>1551</v>
      </c>
      <c r="C592" s="88">
        <v>0</v>
      </c>
      <c r="D592" s="88">
        <v>0</v>
      </c>
    </row>
    <row r="593" spans="1:5" ht="15" customHeight="1" x14ac:dyDescent="0.25">
      <c r="A593" s="87" t="s">
        <v>35</v>
      </c>
      <c r="B593" s="87" t="s">
        <v>2023</v>
      </c>
      <c r="C593" s="88">
        <v>0</v>
      </c>
      <c r="D593" s="88">
        <v>0</v>
      </c>
    </row>
    <row r="594" spans="1:5" ht="114.75" customHeight="1" x14ac:dyDescent="0.25">
      <c r="A594" s="87" t="s">
        <v>35</v>
      </c>
      <c r="B594" s="87" t="s">
        <v>544</v>
      </c>
      <c r="C594" s="88">
        <v>0</v>
      </c>
      <c r="D594" s="88">
        <v>0</v>
      </c>
      <c r="E594" s="89" t="s">
        <v>2024</v>
      </c>
    </row>
    <row r="596" spans="1:5" ht="15" customHeight="1" x14ac:dyDescent="0.25">
      <c r="A596" s="87" t="s">
        <v>35</v>
      </c>
      <c r="B596" s="87" t="s">
        <v>738</v>
      </c>
      <c r="C596" s="88">
        <v>0</v>
      </c>
      <c r="D596" s="88">
        <v>0</v>
      </c>
    </row>
    <row r="597" spans="1:5" ht="15" customHeight="1" x14ac:dyDescent="0.25">
      <c r="A597" s="87" t="s">
        <v>35</v>
      </c>
      <c r="B597" s="87" t="s">
        <v>520</v>
      </c>
      <c r="C597" s="88">
        <v>0</v>
      </c>
      <c r="D597" s="88">
        <v>0</v>
      </c>
    </row>
    <row r="598" spans="1:5" ht="15" customHeight="1" x14ac:dyDescent="0.25">
      <c r="A598" s="87" t="s">
        <v>35</v>
      </c>
      <c r="B598" s="87" t="s">
        <v>2025</v>
      </c>
      <c r="C598" s="88">
        <v>0</v>
      </c>
      <c r="D598" s="88">
        <v>0</v>
      </c>
    </row>
    <row r="599" spans="1:5" ht="15" customHeight="1" x14ac:dyDescent="0.25">
      <c r="A599" s="87" t="s">
        <v>35</v>
      </c>
      <c r="B599" s="87" t="s">
        <v>2026</v>
      </c>
      <c r="C599" s="88">
        <v>0</v>
      </c>
      <c r="D599" s="88">
        <v>0</v>
      </c>
    </row>
    <row r="600" spans="1:5" ht="15" customHeight="1" x14ac:dyDescent="0.25">
      <c r="A600" s="87" t="s">
        <v>35</v>
      </c>
      <c r="B600" s="87" t="s">
        <v>2027</v>
      </c>
      <c r="C600" s="88">
        <v>0</v>
      </c>
      <c r="D600" s="88">
        <v>0</v>
      </c>
    </row>
    <row r="601" spans="1:5" ht="15" customHeight="1" x14ac:dyDescent="0.25">
      <c r="A601" s="87" t="s">
        <v>35</v>
      </c>
      <c r="B601" s="87" t="s">
        <v>2028</v>
      </c>
      <c r="C601" s="88">
        <v>0</v>
      </c>
      <c r="D601" s="88">
        <v>0</v>
      </c>
    </row>
    <row r="602" spans="1:5" ht="15" customHeight="1" x14ac:dyDescent="0.25">
      <c r="A602" s="87" t="s">
        <v>35</v>
      </c>
      <c r="B602" s="87" t="s">
        <v>1115</v>
      </c>
      <c r="C602" s="88">
        <v>0</v>
      </c>
      <c r="D602" s="88">
        <v>0</v>
      </c>
    </row>
    <row r="603" spans="1:5" ht="15" customHeight="1" x14ac:dyDescent="0.25">
      <c r="A603" s="87" t="s">
        <v>35</v>
      </c>
      <c r="B603" s="87" t="s">
        <v>775</v>
      </c>
      <c r="C603" s="88">
        <v>0</v>
      </c>
      <c r="D603" s="88">
        <v>0</v>
      </c>
    </row>
    <row r="604" spans="1:5" ht="102" customHeight="1" x14ac:dyDescent="0.25">
      <c r="A604" s="87" t="s">
        <v>35</v>
      </c>
      <c r="B604" s="87" t="s">
        <v>809</v>
      </c>
      <c r="C604" s="88">
        <v>0</v>
      </c>
      <c r="D604" s="88">
        <v>0</v>
      </c>
      <c r="E604" s="89" t="s">
        <v>2029</v>
      </c>
    </row>
    <row r="605" spans="1:5" ht="15" customHeight="1" x14ac:dyDescent="0.25">
      <c r="A605" s="87" t="s">
        <v>35</v>
      </c>
      <c r="B605" s="87" t="s">
        <v>778</v>
      </c>
      <c r="C605" s="88">
        <v>0</v>
      </c>
      <c r="D605" s="88">
        <v>0</v>
      </c>
    </row>
    <row r="606" spans="1:5" ht="15" customHeight="1" x14ac:dyDescent="0.25">
      <c r="A606" s="87" t="s">
        <v>35</v>
      </c>
      <c r="B606" s="87" t="s">
        <v>2030</v>
      </c>
      <c r="C606" s="88">
        <v>0</v>
      </c>
      <c r="D606" s="88">
        <v>0</v>
      </c>
    </row>
    <row r="607" spans="1:5" ht="15" customHeight="1" x14ac:dyDescent="0.25">
      <c r="A607" s="87" t="s">
        <v>35</v>
      </c>
      <c r="B607" s="87" t="s">
        <v>2031</v>
      </c>
      <c r="C607" s="88">
        <v>0</v>
      </c>
      <c r="D607" s="88">
        <v>0</v>
      </c>
    </row>
    <row r="608" spans="1:5" ht="15" customHeight="1" x14ac:dyDescent="0.25">
      <c r="A608" s="87" t="s">
        <v>35</v>
      </c>
      <c r="B608" s="87" t="s">
        <v>2032</v>
      </c>
      <c r="C608" s="88">
        <v>0</v>
      </c>
      <c r="D608" s="88">
        <v>0</v>
      </c>
    </row>
    <row r="609" spans="1:5" ht="15" customHeight="1" x14ac:dyDescent="0.25">
      <c r="A609" s="87" t="s">
        <v>35</v>
      </c>
      <c r="B609" s="87" t="s">
        <v>781</v>
      </c>
      <c r="C609" s="88">
        <v>0</v>
      </c>
      <c r="D609" s="88">
        <v>0</v>
      </c>
    </row>
    <row r="610" spans="1:5" ht="15" customHeight="1" x14ac:dyDescent="0.25">
      <c r="A610" s="87" t="s">
        <v>35</v>
      </c>
      <c r="B610" s="87" t="s">
        <v>1586</v>
      </c>
      <c r="C610" s="88">
        <v>0</v>
      </c>
      <c r="D610" s="88">
        <v>0</v>
      </c>
    </row>
    <row r="611" spans="1:5" ht="15" customHeight="1" x14ac:dyDescent="0.25">
      <c r="A611" s="87" t="s">
        <v>35</v>
      </c>
      <c r="B611" s="87" t="s">
        <v>752</v>
      </c>
      <c r="C611" s="88">
        <v>0</v>
      </c>
      <c r="D611" s="88">
        <v>0</v>
      </c>
    </row>
    <row r="612" spans="1:5" ht="15" customHeight="1" x14ac:dyDescent="0.25">
      <c r="A612" s="87" t="s">
        <v>35</v>
      </c>
      <c r="B612" s="87" t="s">
        <v>523</v>
      </c>
      <c r="C612" s="88">
        <v>0</v>
      </c>
      <c r="D612" s="88">
        <v>0</v>
      </c>
    </row>
    <row r="613" spans="1:5" ht="15" customHeight="1" x14ac:dyDescent="0.25">
      <c r="A613" s="87" t="s">
        <v>35</v>
      </c>
      <c r="B613" s="87" t="s">
        <v>1210</v>
      </c>
      <c r="C613" s="88">
        <v>0</v>
      </c>
      <c r="D613" s="88">
        <v>0</v>
      </c>
    </row>
    <row r="614" spans="1:5" ht="15" customHeight="1" x14ac:dyDescent="0.25">
      <c r="A614" s="87" t="s">
        <v>35</v>
      </c>
      <c r="B614" s="87" t="s">
        <v>2033</v>
      </c>
      <c r="C614" s="88">
        <v>0</v>
      </c>
      <c r="D614" s="88">
        <v>0</v>
      </c>
    </row>
    <row r="615" spans="1:5" ht="15" customHeight="1" x14ac:dyDescent="0.25">
      <c r="A615" s="87" t="s">
        <v>35</v>
      </c>
      <c r="B615" s="87" t="s">
        <v>784</v>
      </c>
      <c r="C615" s="88">
        <v>0</v>
      </c>
      <c r="D615" s="88">
        <v>0</v>
      </c>
    </row>
    <row r="616" spans="1:5" ht="15" customHeight="1" x14ac:dyDescent="0.25">
      <c r="A616" s="87" t="s">
        <v>35</v>
      </c>
      <c r="B616" s="87" t="s">
        <v>2034</v>
      </c>
      <c r="C616" s="88">
        <v>0</v>
      </c>
      <c r="D616" s="88">
        <v>0</v>
      </c>
    </row>
    <row r="617" spans="1:5" ht="15" customHeight="1" x14ac:dyDescent="0.25">
      <c r="A617" s="87" t="s">
        <v>35</v>
      </c>
      <c r="B617" s="87" t="s">
        <v>2035</v>
      </c>
      <c r="C617" s="88">
        <v>0</v>
      </c>
      <c r="D617" s="88">
        <v>0</v>
      </c>
    </row>
    <row r="618" spans="1:5" ht="15" customHeight="1" x14ac:dyDescent="0.25">
      <c r="A618" s="87" t="s">
        <v>35</v>
      </c>
      <c r="B618" s="87" t="s">
        <v>269</v>
      </c>
      <c r="C618" s="88">
        <v>0</v>
      </c>
      <c r="D618" s="88">
        <v>0</v>
      </c>
    </row>
    <row r="619" spans="1:5" ht="89.25" customHeight="1" x14ac:dyDescent="0.25">
      <c r="A619" s="87" t="s">
        <v>35</v>
      </c>
      <c r="B619" s="87" t="s">
        <v>765</v>
      </c>
      <c r="C619" s="88">
        <v>0</v>
      </c>
      <c r="D619" s="88">
        <v>0</v>
      </c>
      <c r="E619" s="89" t="s">
        <v>2036</v>
      </c>
    </row>
    <row r="620" spans="1:5" ht="15" customHeight="1" x14ac:dyDescent="0.25">
      <c r="A620" s="87" t="s">
        <v>35</v>
      </c>
      <c r="B620" s="87" t="s">
        <v>2037</v>
      </c>
      <c r="C620" s="88">
        <v>0</v>
      </c>
      <c r="D620" s="88">
        <v>0</v>
      </c>
    </row>
    <row r="621" spans="1:5" ht="15" customHeight="1" x14ac:dyDescent="0.25">
      <c r="A621" s="87" t="s">
        <v>35</v>
      </c>
      <c r="B621" s="87" t="s">
        <v>2038</v>
      </c>
      <c r="C621" s="88">
        <v>0</v>
      </c>
      <c r="D621" s="88">
        <v>0</v>
      </c>
    </row>
    <row r="622" spans="1:5" ht="15" customHeight="1" x14ac:dyDescent="0.25">
      <c r="A622" s="87" t="s">
        <v>35</v>
      </c>
      <c r="B622" s="87" t="s">
        <v>2039</v>
      </c>
      <c r="C622" s="88">
        <v>0</v>
      </c>
      <c r="D622" s="88">
        <v>0</v>
      </c>
    </row>
    <row r="623" spans="1:5" ht="15" customHeight="1" x14ac:dyDescent="0.25">
      <c r="A623" s="87" t="s">
        <v>35</v>
      </c>
      <c r="B623" s="87" t="s">
        <v>403</v>
      </c>
      <c r="C623" s="88">
        <v>0</v>
      </c>
      <c r="D623" s="88">
        <v>0</v>
      </c>
    </row>
    <row r="624" spans="1:5" ht="15" customHeight="1" x14ac:dyDescent="0.25">
      <c r="A624" s="87" t="s">
        <v>35</v>
      </c>
      <c r="B624" s="87" t="s">
        <v>1098</v>
      </c>
      <c r="C624" s="88">
        <v>0</v>
      </c>
      <c r="D624" s="88">
        <v>0</v>
      </c>
    </row>
    <row r="625" spans="1:9" ht="15" customHeight="1" x14ac:dyDescent="0.25">
      <c r="A625" s="87" t="s">
        <v>35</v>
      </c>
      <c r="B625" s="87" t="s">
        <v>2040</v>
      </c>
      <c r="C625" s="88">
        <v>0</v>
      </c>
      <c r="D625" s="88">
        <v>0</v>
      </c>
    </row>
    <row r="626" spans="1:9" ht="15" customHeight="1" x14ac:dyDescent="0.25">
      <c r="A626" s="87" t="s">
        <v>35</v>
      </c>
      <c r="B626" s="87" t="s">
        <v>2041</v>
      </c>
      <c r="C626" s="88">
        <v>0</v>
      </c>
      <c r="D626" s="88">
        <v>0</v>
      </c>
    </row>
    <row r="627" spans="1:9" ht="15" customHeight="1" x14ac:dyDescent="0.25">
      <c r="A627" s="87" t="s">
        <v>35</v>
      </c>
      <c r="B627" s="87" t="s">
        <v>2042</v>
      </c>
      <c r="C627" s="88">
        <v>0</v>
      </c>
      <c r="D627" s="88">
        <v>0</v>
      </c>
    </row>
    <row r="628" spans="1:9" ht="15" customHeight="1" x14ac:dyDescent="0.25">
      <c r="A628" s="87" t="s">
        <v>35</v>
      </c>
      <c r="B628" s="87" t="s">
        <v>1100</v>
      </c>
      <c r="C628" s="88">
        <v>0</v>
      </c>
      <c r="D628" s="88">
        <v>0</v>
      </c>
    </row>
    <row r="629" spans="1:9" ht="15" customHeight="1" x14ac:dyDescent="0.25">
      <c r="A629" s="87" t="s">
        <v>35</v>
      </c>
      <c r="B629" s="87" t="s">
        <v>2043</v>
      </c>
      <c r="C629" s="88">
        <v>0</v>
      </c>
      <c r="D629" s="88">
        <v>0</v>
      </c>
    </row>
    <row r="630" spans="1:9" ht="15" customHeight="1" x14ac:dyDescent="0.25">
      <c r="A630" s="87" t="s">
        <v>35</v>
      </c>
      <c r="B630" s="87" t="s">
        <v>1212</v>
      </c>
      <c r="C630" s="88">
        <v>0</v>
      </c>
      <c r="D630" s="88">
        <v>0</v>
      </c>
    </row>
    <row r="631" spans="1:9" ht="15" customHeight="1" x14ac:dyDescent="0.25">
      <c r="A631" s="87" t="s">
        <v>35</v>
      </c>
      <c r="B631" s="87" t="s">
        <v>1102</v>
      </c>
      <c r="C631" s="88">
        <v>0</v>
      </c>
      <c r="D631" s="88">
        <v>0</v>
      </c>
    </row>
    <row r="632" spans="1:9" ht="15" customHeight="1" x14ac:dyDescent="0.25">
      <c r="A632" s="87" t="s">
        <v>35</v>
      </c>
      <c r="B632" s="87" t="s">
        <v>1180</v>
      </c>
      <c r="C632" s="88">
        <v>0</v>
      </c>
      <c r="D632" s="88">
        <v>0</v>
      </c>
      <c r="G632" t="s">
        <v>1707</v>
      </c>
      <c r="H632">
        <v>0</v>
      </c>
      <c r="I632">
        <v>0</v>
      </c>
    </row>
    <row r="634" spans="1:9" ht="15" customHeight="1" x14ac:dyDescent="0.25">
      <c r="A634" s="87" t="s">
        <v>2044</v>
      </c>
      <c r="B634" s="87" t="s">
        <v>2045</v>
      </c>
      <c r="C634" s="88">
        <v>0</v>
      </c>
      <c r="D634" s="88">
        <v>0</v>
      </c>
    </row>
    <row r="635" spans="1:9" ht="15" customHeight="1" x14ac:dyDescent="0.25">
      <c r="A635" s="87" t="s">
        <v>2044</v>
      </c>
      <c r="B635" s="87" t="s">
        <v>2046</v>
      </c>
      <c r="C635" s="88">
        <v>0</v>
      </c>
      <c r="D635" s="88">
        <v>0</v>
      </c>
    </row>
    <row r="636" spans="1:9" ht="15" customHeight="1" x14ac:dyDescent="0.25">
      <c r="A636" s="87" t="s">
        <v>2044</v>
      </c>
      <c r="B636" s="87" t="s">
        <v>2047</v>
      </c>
      <c r="C636" s="88">
        <v>0</v>
      </c>
      <c r="D636" s="88">
        <v>0</v>
      </c>
    </row>
    <row r="637" spans="1:9" ht="15" customHeight="1" x14ac:dyDescent="0.25">
      <c r="A637" s="87" t="s">
        <v>2044</v>
      </c>
      <c r="B637" s="87" t="s">
        <v>2048</v>
      </c>
      <c r="C637" s="88">
        <v>0</v>
      </c>
      <c r="D637" s="88">
        <v>0</v>
      </c>
    </row>
    <row r="638" spans="1:9" ht="15" customHeight="1" x14ac:dyDescent="0.25">
      <c r="A638" s="87" t="s">
        <v>2044</v>
      </c>
      <c r="B638" s="87" t="s">
        <v>1766</v>
      </c>
      <c r="C638" s="88">
        <v>0</v>
      </c>
      <c r="D638" s="88">
        <v>0</v>
      </c>
    </row>
    <row r="639" spans="1:9" ht="15" customHeight="1" x14ac:dyDescent="0.25">
      <c r="A639" s="87" t="s">
        <v>2044</v>
      </c>
      <c r="B639" s="87" t="s">
        <v>2049</v>
      </c>
      <c r="C639" s="88">
        <v>0</v>
      </c>
      <c r="D639" s="88">
        <v>0</v>
      </c>
    </row>
    <row r="640" spans="1:9" ht="15" customHeight="1" x14ac:dyDescent="0.25">
      <c r="A640" s="87" t="s">
        <v>2044</v>
      </c>
      <c r="B640" s="87" t="s">
        <v>2050</v>
      </c>
      <c r="C640" s="88">
        <v>0</v>
      </c>
      <c r="D640" s="88">
        <v>0</v>
      </c>
    </row>
    <row r="641" spans="1:9" ht="15" customHeight="1" x14ac:dyDescent="0.25">
      <c r="A641" s="87" t="s">
        <v>2044</v>
      </c>
      <c r="B641" s="87" t="s">
        <v>2051</v>
      </c>
      <c r="C641" s="88">
        <v>0</v>
      </c>
      <c r="D641" s="88">
        <v>0</v>
      </c>
    </row>
    <row r="642" spans="1:9" ht="15" customHeight="1" x14ac:dyDescent="0.25">
      <c r="A642" s="87" t="s">
        <v>1403</v>
      </c>
      <c r="B642" s="87" t="s">
        <v>1554</v>
      </c>
      <c r="C642" s="88">
        <v>0</v>
      </c>
      <c r="D642" s="88">
        <v>0</v>
      </c>
    </row>
    <row r="643" spans="1:9" ht="15" customHeight="1" x14ac:dyDescent="0.25">
      <c r="A643" s="87" t="s">
        <v>1403</v>
      </c>
      <c r="B643" s="87" t="s">
        <v>1383</v>
      </c>
      <c r="C643" s="88">
        <v>0</v>
      </c>
      <c r="D643" s="88">
        <v>0</v>
      </c>
    </row>
    <row r="644" spans="1:9" ht="15" customHeight="1" x14ac:dyDescent="0.25">
      <c r="A644" s="87" t="s">
        <v>1403</v>
      </c>
      <c r="B644" s="87" t="s">
        <v>1425</v>
      </c>
      <c r="C644" s="88">
        <v>0</v>
      </c>
      <c r="D644" s="88">
        <v>0</v>
      </c>
    </row>
    <row r="645" spans="1:9" ht="15" customHeight="1" x14ac:dyDescent="0.25">
      <c r="A645" s="87" t="s">
        <v>1403</v>
      </c>
      <c r="B645" s="87" t="s">
        <v>1496</v>
      </c>
      <c r="C645" s="88">
        <v>0</v>
      </c>
      <c r="D645" s="88">
        <v>0</v>
      </c>
      <c r="G645" t="s">
        <v>1707</v>
      </c>
      <c r="H645">
        <v>0</v>
      </c>
      <c r="I645">
        <v>0</v>
      </c>
    </row>
    <row r="647" spans="1:9" ht="15" customHeight="1" x14ac:dyDescent="0.25">
      <c r="A647" s="87" t="s">
        <v>37</v>
      </c>
      <c r="B647" s="87" t="s">
        <v>275</v>
      </c>
      <c r="C647" s="88">
        <v>0</v>
      </c>
      <c r="D647" s="88">
        <v>0</v>
      </c>
    </row>
    <row r="648" spans="1:9" ht="15" customHeight="1" x14ac:dyDescent="0.25">
      <c r="A648" s="87" t="s">
        <v>37</v>
      </c>
      <c r="B648" s="87" t="s">
        <v>546</v>
      </c>
      <c r="C648" s="88">
        <v>0</v>
      </c>
      <c r="D648" s="88">
        <v>0</v>
      </c>
    </row>
    <row r="649" spans="1:9" ht="15" customHeight="1" x14ac:dyDescent="0.25">
      <c r="A649" s="87" t="s">
        <v>37</v>
      </c>
      <c r="B649" s="87" t="s">
        <v>277</v>
      </c>
      <c r="C649" s="88">
        <v>0</v>
      </c>
      <c r="D649" s="88">
        <v>0</v>
      </c>
    </row>
    <row r="650" spans="1:9" ht="15" customHeight="1" x14ac:dyDescent="0.25">
      <c r="A650" s="87" t="s">
        <v>37</v>
      </c>
      <c r="B650" s="87" t="s">
        <v>2052</v>
      </c>
      <c r="C650" s="88">
        <v>0</v>
      </c>
      <c r="D650" s="88">
        <v>0</v>
      </c>
    </row>
    <row r="651" spans="1:9" ht="15" customHeight="1" x14ac:dyDescent="0.25">
      <c r="A651" s="87" t="s">
        <v>37</v>
      </c>
      <c r="B651" s="87" t="s">
        <v>2053</v>
      </c>
      <c r="C651" s="88">
        <v>0</v>
      </c>
      <c r="D651" s="88">
        <v>0</v>
      </c>
    </row>
    <row r="652" spans="1:9" ht="15" customHeight="1" x14ac:dyDescent="0.25">
      <c r="A652" s="87" t="s">
        <v>37</v>
      </c>
      <c r="B652" s="87" t="s">
        <v>143</v>
      </c>
      <c r="C652" s="88">
        <v>0</v>
      </c>
      <c r="D652" s="88">
        <v>0</v>
      </c>
    </row>
    <row r="653" spans="1:9" ht="15" customHeight="1" x14ac:dyDescent="0.25">
      <c r="A653" s="87" t="s">
        <v>37</v>
      </c>
      <c r="B653" s="87" t="s">
        <v>331</v>
      </c>
      <c r="C653" s="88">
        <v>0</v>
      </c>
      <c r="D653" s="88">
        <v>0</v>
      </c>
    </row>
    <row r="654" spans="1:9" ht="15" customHeight="1" x14ac:dyDescent="0.25">
      <c r="A654" s="87" t="s">
        <v>37</v>
      </c>
      <c r="B654" s="87" t="s">
        <v>491</v>
      </c>
      <c r="C654" s="88">
        <v>0</v>
      </c>
      <c r="D654" s="88">
        <v>0</v>
      </c>
    </row>
    <row r="655" spans="1:9" ht="15" customHeight="1" x14ac:dyDescent="0.25">
      <c r="A655" s="87" t="s">
        <v>37</v>
      </c>
      <c r="B655" s="87" t="s">
        <v>337</v>
      </c>
      <c r="C655" s="88">
        <v>0</v>
      </c>
      <c r="D655" s="88">
        <v>0</v>
      </c>
    </row>
    <row r="656" spans="1:9" ht="15" customHeight="1" x14ac:dyDescent="0.25">
      <c r="A656" s="87" t="s">
        <v>37</v>
      </c>
      <c r="B656" s="87" t="s">
        <v>132</v>
      </c>
      <c r="C656" s="88">
        <v>0</v>
      </c>
      <c r="D656" s="88">
        <v>0</v>
      </c>
    </row>
    <row r="657" spans="1:4" ht="15" customHeight="1" x14ac:dyDescent="0.25">
      <c r="A657" s="87" t="s">
        <v>37</v>
      </c>
      <c r="B657" s="87" t="s">
        <v>1448</v>
      </c>
      <c r="C657" s="88">
        <v>0</v>
      </c>
      <c r="D657" s="88">
        <v>0</v>
      </c>
    </row>
    <row r="658" spans="1:4" ht="15" customHeight="1" x14ac:dyDescent="0.25">
      <c r="A658" s="87" t="s">
        <v>37</v>
      </c>
      <c r="B658" s="87" t="s">
        <v>557</v>
      </c>
      <c r="C658" s="88">
        <v>0</v>
      </c>
      <c r="D658" s="88">
        <v>0</v>
      </c>
    </row>
    <row r="659" spans="1:4" ht="15" customHeight="1" x14ac:dyDescent="0.25">
      <c r="A659" s="87" t="s">
        <v>37</v>
      </c>
      <c r="B659" s="87" t="s">
        <v>342</v>
      </c>
      <c r="C659" s="88">
        <v>0</v>
      </c>
      <c r="D659" s="88">
        <v>0</v>
      </c>
    </row>
    <row r="660" spans="1:4" ht="15" customHeight="1" x14ac:dyDescent="0.25">
      <c r="A660" s="87" t="s">
        <v>37</v>
      </c>
      <c r="B660" s="87" t="s">
        <v>2054</v>
      </c>
      <c r="C660" s="88">
        <v>0</v>
      </c>
      <c r="D660" s="88">
        <v>0</v>
      </c>
    </row>
    <row r="661" spans="1:4" ht="15" customHeight="1" x14ac:dyDescent="0.25">
      <c r="A661" s="87" t="s">
        <v>37</v>
      </c>
      <c r="B661" s="87" t="s">
        <v>1468</v>
      </c>
      <c r="C661" s="88">
        <v>0</v>
      </c>
      <c r="D661" s="88">
        <v>0</v>
      </c>
    </row>
    <row r="662" spans="1:4" ht="15" customHeight="1" x14ac:dyDescent="0.25">
      <c r="A662" s="87" t="s">
        <v>37</v>
      </c>
      <c r="B662" s="87" t="s">
        <v>134</v>
      </c>
      <c r="C662" s="88">
        <v>0</v>
      </c>
      <c r="D662" s="88">
        <v>0</v>
      </c>
    </row>
    <row r="663" spans="1:4" ht="15" customHeight="1" x14ac:dyDescent="0.25">
      <c r="A663" s="87" t="s">
        <v>37</v>
      </c>
      <c r="B663" s="87" t="s">
        <v>1505</v>
      </c>
      <c r="C663" s="88">
        <v>0</v>
      </c>
      <c r="D663" s="88">
        <v>0</v>
      </c>
    </row>
    <row r="664" spans="1:4" ht="15" customHeight="1" x14ac:dyDescent="0.25">
      <c r="A664" s="87" t="s">
        <v>37</v>
      </c>
      <c r="B664" s="87" t="s">
        <v>730</v>
      </c>
      <c r="C664" s="88">
        <v>0</v>
      </c>
      <c r="D664" s="88">
        <v>0</v>
      </c>
    </row>
    <row r="665" spans="1:4" ht="15" customHeight="1" x14ac:dyDescent="0.25">
      <c r="A665" s="87" t="s">
        <v>37</v>
      </c>
      <c r="B665" s="87" t="s">
        <v>2055</v>
      </c>
      <c r="C665" s="88">
        <v>0</v>
      </c>
      <c r="D665" s="88">
        <v>0</v>
      </c>
    </row>
    <row r="666" spans="1:4" ht="15" customHeight="1" x14ac:dyDescent="0.25">
      <c r="A666" s="87" t="s">
        <v>37</v>
      </c>
      <c r="B666" s="87" t="s">
        <v>567</v>
      </c>
      <c r="C666" s="88">
        <v>0</v>
      </c>
      <c r="D666" s="88">
        <v>0</v>
      </c>
    </row>
    <row r="667" spans="1:4" ht="15" customHeight="1" x14ac:dyDescent="0.25">
      <c r="A667" s="87" t="s">
        <v>37</v>
      </c>
      <c r="B667" s="87" t="s">
        <v>344</v>
      </c>
      <c r="C667" s="88">
        <v>0</v>
      </c>
      <c r="D667" s="88">
        <v>0</v>
      </c>
    </row>
    <row r="668" spans="1:4" ht="15" customHeight="1" x14ac:dyDescent="0.25">
      <c r="A668" s="87" t="s">
        <v>37</v>
      </c>
      <c r="B668" s="87" t="s">
        <v>852</v>
      </c>
      <c r="C668" s="88">
        <v>0</v>
      </c>
      <c r="D668" s="88">
        <v>0</v>
      </c>
    </row>
    <row r="669" spans="1:4" ht="15" customHeight="1" x14ac:dyDescent="0.25">
      <c r="A669" s="87" t="s">
        <v>37</v>
      </c>
      <c r="B669" s="87" t="s">
        <v>2056</v>
      </c>
      <c r="C669" s="88">
        <v>0</v>
      </c>
      <c r="D669" s="88">
        <v>0</v>
      </c>
    </row>
    <row r="670" spans="1:4" ht="15" customHeight="1" x14ac:dyDescent="0.25">
      <c r="A670" s="87" t="s">
        <v>37</v>
      </c>
      <c r="B670" s="87" t="s">
        <v>732</v>
      </c>
      <c r="C670" s="88">
        <v>0</v>
      </c>
      <c r="D670" s="88">
        <v>0</v>
      </c>
    </row>
    <row r="671" spans="1:4" ht="15" customHeight="1" x14ac:dyDescent="0.25">
      <c r="A671" s="87" t="s">
        <v>37</v>
      </c>
      <c r="B671" s="87" t="s">
        <v>295</v>
      </c>
      <c r="C671" s="88">
        <v>0</v>
      </c>
      <c r="D671" s="88">
        <v>0</v>
      </c>
    </row>
    <row r="672" spans="1:4" ht="15" customHeight="1" x14ac:dyDescent="0.25">
      <c r="A672" s="87" t="s">
        <v>37</v>
      </c>
      <c r="B672" s="87" t="s">
        <v>2057</v>
      </c>
      <c r="C672" s="88">
        <v>0</v>
      </c>
      <c r="D672" s="88">
        <v>0</v>
      </c>
    </row>
    <row r="673" spans="1:9" ht="15" customHeight="1" x14ac:dyDescent="0.25">
      <c r="A673" s="87" t="s">
        <v>37</v>
      </c>
      <c r="B673" s="87" t="s">
        <v>1545</v>
      </c>
      <c r="C673" s="88">
        <v>0</v>
      </c>
      <c r="D673" s="88">
        <v>0</v>
      </c>
    </row>
    <row r="674" spans="1:9" ht="15" customHeight="1" x14ac:dyDescent="0.25">
      <c r="A674" s="87" t="s">
        <v>37</v>
      </c>
      <c r="B674" s="87" t="s">
        <v>2058</v>
      </c>
      <c r="C674" s="88">
        <v>0</v>
      </c>
      <c r="D674" s="88">
        <v>0</v>
      </c>
    </row>
    <row r="675" spans="1:9" ht="15" customHeight="1" x14ac:dyDescent="0.25">
      <c r="A675" s="87" t="s">
        <v>37</v>
      </c>
      <c r="B675" s="87" t="s">
        <v>298</v>
      </c>
      <c r="C675" s="88">
        <v>0</v>
      </c>
      <c r="D675" s="88">
        <v>0</v>
      </c>
    </row>
    <row r="676" spans="1:9" ht="15" customHeight="1" x14ac:dyDescent="0.25">
      <c r="A676" s="87" t="s">
        <v>37</v>
      </c>
      <c r="B676" s="87" t="s">
        <v>1577</v>
      </c>
      <c r="C676" s="88">
        <v>0</v>
      </c>
      <c r="D676" s="88">
        <v>0</v>
      </c>
    </row>
    <row r="677" spans="1:9" ht="15" customHeight="1" x14ac:dyDescent="0.25">
      <c r="A677" s="87" t="s">
        <v>37</v>
      </c>
      <c r="B677" s="87" t="s">
        <v>1584</v>
      </c>
      <c r="C677" s="88">
        <v>0</v>
      </c>
      <c r="D677" s="88">
        <v>0</v>
      </c>
    </row>
    <row r="678" spans="1:9" ht="15" customHeight="1" x14ac:dyDescent="0.25">
      <c r="A678" s="87" t="s">
        <v>37</v>
      </c>
      <c r="B678" s="87" t="s">
        <v>145</v>
      </c>
      <c r="C678" s="88">
        <v>0</v>
      </c>
      <c r="D678" s="88">
        <v>0</v>
      </c>
    </row>
    <row r="679" spans="1:9" ht="15" customHeight="1" x14ac:dyDescent="0.25">
      <c r="A679" s="87" t="s">
        <v>37</v>
      </c>
      <c r="B679" s="87" t="s">
        <v>749</v>
      </c>
      <c r="C679" s="88">
        <v>0</v>
      </c>
      <c r="D679" s="88">
        <v>0</v>
      </c>
    </row>
    <row r="680" spans="1:9" ht="15" customHeight="1" x14ac:dyDescent="0.25">
      <c r="A680" s="87" t="s">
        <v>37</v>
      </c>
      <c r="B680" s="87" t="s">
        <v>302</v>
      </c>
      <c r="C680" s="88">
        <v>0</v>
      </c>
      <c r="D680" s="88">
        <v>0</v>
      </c>
    </row>
    <row r="681" spans="1:9" ht="15" customHeight="1" x14ac:dyDescent="0.25">
      <c r="A681" s="87" t="s">
        <v>37</v>
      </c>
      <c r="B681" s="87" t="s">
        <v>348</v>
      </c>
      <c r="C681" s="88">
        <v>0</v>
      </c>
      <c r="D681" s="88">
        <v>0</v>
      </c>
    </row>
    <row r="682" spans="1:9" ht="15" customHeight="1" x14ac:dyDescent="0.25">
      <c r="A682" s="87" t="s">
        <v>37</v>
      </c>
      <c r="B682" s="87" t="s">
        <v>1603</v>
      </c>
      <c r="C682" s="88">
        <v>0</v>
      </c>
      <c r="D682" s="88">
        <v>0</v>
      </c>
      <c r="G682" t="s">
        <v>1707</v>
      </c>
      <c r="H682">
        <v>0</v>
      </c>
      <c r="I682">
        <v>0</v>
      </c>
    </row>
    <row r="684" spans="1:9" ht="15" customHeight="1" x14ac:dyDescent="0.25">
      <c r="A684" s="87" t="s">
        <v>38</v>
      </c>
      <c r="B684" s="87" t="s">
        <v>1917</v>
      </c>
      <c r="C684" s="88">
        <v>0</v>
      </c>
      <c r="D684" s="88">
        <v>0</v>
      </c>
    </row>
    <row r="685" spans="1:9" ht="15" customHeight="1" x14ac:dyDescent="0.25">
      <c r="A685" s="87" t="s">
        <v>38</v>
      </c>
      <c r="B685" s="87" t="s">
        <v>1368</v>
      </c>
      <c r="C685" s="88">
        <v>0</v>
      </c>
      <c r="D685" s="88">
        <v>0</v>
      </c>
    </row>
    <row r="686" spans="1:9" ht="15" customHeight="1" x14ac:dyDescent="0.25">
      <c r="A686" s="87" t="s">
        <v>38</v>
      </c>
      <c r="B686" s="87" t="s">
        <v>1410</v>
      </c>
      <c r="C686" s="88">
        <v>0</v>
      </c>
      <c r="D686" s="88">
        <v>0</v>
      </c>
    </row>
    <row r="687" spans="1:9" ht="15" customHeight="1" x14ac:dyDescent="0.25">
      <c r="A687" s="87" t="s">
        <v>38</v>
      </c>
      <c r="B687" s="87" t="s">
        <v>2059</v>
      </c>
      <c r="C687" s="88">
        <v>0</v>
      </c>
      <c r="D687" s="88">
        <v>0</v>
      </c>
    </row>
    <row r="688" spans="1:9" ht="15" customHeight="1" x14ac:dyDescent="0.25">
      <c r="A688" s="87" t="s">
        <v>38</v>
      </c>
      <c r="B688" s="87" t="s">
        <v>2060</v>
      </c>
      <c r="C688" s="88">
        <v>0</v>
      </c>
      <c r="D688" s="88">
        <v>0</v>
      </c>
    </row>
    <row r="689" spans="1:9" ht="15" customHeight="1" x14ac:dyDescent="0.25">
      <c r="A689" s="87" t="s">
        <v>38</v>
      </c>
      <c r="B689" s="87" t="s">
        <v>1433</v>
      </c>
      <c r="C689" s="88">
        <v>0</v>
      </c>
      <c r="D689" s="88">
        <v>0</v>
      </c>
    </row>
    <row r="690" spans="1:9" ht="15" customHeight="1" x14ac:dyDescent="0.25">
      <c r="A690" s="87" t="s">
        <v>38</v>
      </c>
      <c r="B690" s="87" t="s">
        <v>2061</v>
      </c>
      <c r="C690" s="88">
        <v>0</v>
      </c>
      <c r="D690" s="88">
        <v>0</v>
      </c>
    </row>
    <row r="691" spans="1:9" ht="15" customHeight="1" x14ac:dyDescent="0.25">
      <c r="A691" s="87" t="s">
        <v>38</v>
      </c>
      <c r="B691" s="87" t="s">
        <v>2062</v>
      </c>
      <c r="C691" s="88">
        <v>0</v>
      </c>
      <c r="D691" s="88">
        <v>0</v>
      </c>
    </row>
    <row r="692" spans="1:9" ht="15" customHeight="1" x14ac:dyDescent="0.25">
      <c r="A692" s="87" t="s">
        <v>38</v>
      </c>
      <c r="B692" s="87" t="s">
        <v>1485</v>
      </c>
      <c r="C692" s="88">
        <v>0</v>
      </c>
      <c r="D692" s="88">
        <v>0</v>
      </c>
    </row>
    <row r="693" spans="1:9" ht="15" customHeight="1" x14ac:dyDescent="0.25">
      <c r="A693" s="87" t="s">
        <v>38</v>
      </c>
      <c r="B693" s="87" t="s">
        <v>1489</v>
      </c>
      <c r="C693" s="88">
        <v>0</v>
      </c>
      <c r="D693" s="88">
        <v>0</v>
      </c>
    </row>
    <row r="694" spans="1:9" ht="15" customHeight="1" x14ac:dyDescent="0.25">
      <c r="A694" s="87" t="s">
        <v>38</v>
      </c>
      <c r="B694" s="87" t="s">
        <v>1127</v>
      </c>
      <c r="C694" s="88">
        <v>0</v>
      </c>
      <c r="D694" s="88">
        <v>0</v>
      </c>
    </row>
    <row r="695" spans="1:9" ht="15" customHeight="1" x14ac:dyDescent="0.25">
      <c r="A695" s="87" t="s">
        <v>38</v>
      </c>
      <c r="B695" s="87" t="s">
        <v>2063</v>
      </c>
      <c r="C695" s="88">
        <v>0</v>
      </c>
      <c r="D695" s="88">
        <v>0</v>
      </c>
    </row>
    <row r="696" spans="1:9" ht="15" customHeight="1" x14ac:dyDescent="0.25">
      <c r="A696" s="87" t="s">
        <v>38</v>
      </c>
      <c r="B696" s="87" t="s">
        <v>1595</v>
      </c>
      <c r="C696" s="88">
        <v>0</v>
      </c>
      <c r="D696" s="88">
        <v>0</v>
      </c>
    </row>
    <row r="697" spans="1:9" ht="15" customHeight="1" x14ac:dyDescent="0.25">
      <c r="A697" s="87" t="s">
        <v>38</v>
      </c>
      <c r="B697" s="87" t="s">
        <v>2064</v>
      </c>
      <c r="C697" s="88">
        <v>0</v>
      </c>
      <c r="D697" s="88">
        <v>0</v>
      </c>
    </row>
    <row r="698" spans="1:9" ht="15" customHeight="1" x14ac:dyDescent="0.25">
      <c r="A698" s="87" t="s">
        <v>38</v>
      </c>
      <c r="B698" s="87" t="s">
        <v>1811</v>
      </c>
      <c r="C698" s="88">
        <v>0</v>
      </c>
      <c r="D698" s="88">
        <v>0</v>
      </c>
      <c r="G698" t="s">
        <v>1707</v>
      </c>
      <c r="H698">
        <v>0</v>
      </c>
      <c r="I698">
        <v>0</v>
      </c>
    </row>
    <row r="700" spans="1:9" ht="15" customHeight="1" x14ac:dyDescent="0.25">
      <c r="A700" s="87" t="s">
        <v>39</v>
      </c>
      <c r="B700" s="87" t="s">
        <v>2065</v>
      </c>
      <c r="C700" s="88">
        <v>0</v>
      </c>
      <c r="D700" s="88">
        <v>0</v>
      </c>
    </row>
    <row r="701" spans="1:9" ht="15" customHeight="1" x14ac:dyDescent="0.25">
      <c r="A701" s="87" t="s">
        <v>39</v>
      </c>
      <c r="B701" s="87" t="s">
        <v>2066</v>
      </c>
      <c r="C701" s="88">
        <v>0</v>
      </c>
      <c r="D701" s="88">
        <v>0</v>
      </c>
    </row>
    <row r="702" spans="1:9" ht="15" customHeight="1" x14ac:dyDescent="0.25">
      <c r="A702" s="87" t="s">
        <v>39</v>
      </c>
      <c r="B702" s="87" t="s">
        <v>2067</v>
      </c>
      <c r="C702" s="88">
        <v>0</v>
      </c>
      <c r="D702" s="88">
        <v>0</v>
      </c>
    </row>
    <row r="703" spans="1:9" ht="15" customHeight="1" x14ac:dyDescent="0.25">
      <c r="A703" s="87" t="s">
        <v>39</v>
      </c>
      <c r="B703" s="87" t="s">
        <v>2068</v>
      </c>
      <c r="C703" s="88">
        <v>0</v>
      </c>
      <c r="D703" s="88">
        <v>0</v>
      </c>
    </row>
    <row r="704" spans="1:9" ht="15" customHeight="1" x14ac:dyDescent="0.25">
      <c r="A704" s="87" t="s">
        <v>39</v>
      </c>
      <c r="B704" s="87" t="s">
        <v>2069</v>
      </c>
      <c r="C704" s="88">
        <v>0</v>
      </c>
      <c r="D704" s="88">
        <v>0</v>
      </c>
    </row>
    <row r="705" spans="1:6" ht="15" customHeight="1" x14ac:dyDescent="0.25">
      <c r="A705" s="87" t="s">
        <v>39</v>
      </c>
      <c r="B705" s="87" t="s">
        <v>2070</v>
      </c>
      <c r="C705" s="88">
        <v>0</v>
      </c>
      <c r="D705" s="88">
        <v>0</v>
      </c>
    </row>
    <row r="706" spans="1:6" ht="15" customHeight="1" x14ac:dyDescent="0.25">
      <c r="A706" s="87" t="s">
        <v>39</v>
      </c>
      <c r="B706" s="87" t="s">
        <v>362</v>
      </c>
      <c r="C706" s="88">
        <v>0</v>
      </c>
      <c r="D706" s="88">
        <v>0</v>
      </c>
    </row>
    <row r="707" spans="1:6" ht="15" customHeight="1" x14ac:dyDescent="0.25">
      <c r="A707" s="87" t="s">
        <v>39</v>
      </c>
      <c r="B707" s="87" t="s">
        <v>2071</v>
      </c>
      <c r="C707" s="88">
        <v>0</v>
      </c>
      <c r="D707" s="88">
        <v>0</v>
      </c>
    </row>
    <row r="708" spans="1:6" ht="15" customHeight="1" x14ac:dyDescent="0.25">
      <c r="A708" s="87" t="s">
        <v>39</v>
      </c>
      <c r="B708" s="87" t="s">
        <v>2072</v>
      </c>
      <c r="C708" s="88">
        <v>0</v>
      </c>
      <c r="D708" s="88">
        <v>0</v>
      </c>
    </row>
    <row r="709" spans="1:6" ht="15" customHeight="1" x14ac:dyDescent="0.25">
      <c r="A709" s="87" t="s">
        <v>39</v>
      </c>
      <c r="B709" s="87" t="s">
        <v>2073</v>
      </c>
      <c r="C709" s="88">
        <v>0</v>
      </c>
      <c r="D709" s="88">
        <v>0</v>
      </c>
    </row>
    <row r="710" spans="1:6" ht="15" customHeight="1" x14ac:dyDescent="0.25">
      <c r="A710" s="87" t="s">
        <v>39</v>
      </c>
      <c r="B710" s="87" t="s">
        <v>2074</v>
      </c>
      <c r="C710" s="88">
        <v>0</v>
      </c>
      <c r="D710" s="88">
        <v>0</v>
      </c>
    </row>
    <row r="711" spans="1:6" ht="15" customHeight="1" x14ac:dyDescent="0.25">
      <c r="A711" s="87" t="s">
        <v>39</v>
      </c>
      <c r="B711" s="87" t="s">
        <v>2075</v>
      </c>
      <c r="C711" s="88">
        <v>0</v>
      </c>
      <c r="D711" s="88">
        <v>0</v>
      </c>
    </row>
    <row r="712" spans="1:6" ht="15" customHeight="1" x14ac:dyDescent="0.25">
      <c r="A712" s="87" t="s">
        <v>39</v>
      </c>
      <c r="B712" s="87" t="s">
        <v>2076</v>
      </c>
      <c r="C712" s="88">
        <v>0</v>
      </c>
      <c r="D712" s="88">
        <v>0</v>
      </c>
    </row>
    <row r="713" spans="1:6" ht="38.25" customHeight="1" x14ac:dyDescent="0.25">
      <c r="A713" s="87" t="s">
        <v>39</v>
      </c>
      <c r="B713" s="87" t="s">
        <v>2077</v>
      </c>
      <c r="C713" s="88">
        <v>26</v>
      </c>
      <c r="D713" s="88">
        <v>356</v>
      </c>
      <c r="F713" s="89" t="s">
        <v>2078</v>
      </c>
    </row>
    <row r="714" spans="1:6" ht="15" customHeight="1" x14ac:dyDescent="0.25">
      <c r="A714" s="87" t="s">
        <v>39</v>
      </c>
      <c r="B714" s="87" t="s">
        <v>2079</v>
      </c>
      <c r="C714" s="88">
        <v>0</v>
      </c>
      <c r="D714" s="88">
        <v>0</v>
      </c>
    </row>
    <row r="715" spans="1:6" ht="15" customHeight="1" x14ac:dyDescent="0.25">
      <c r="A715" s="87" t="s">
        <v>39</v>
      </c>
      <c r="B715" s="87" t="s">
        <v>2080</v>
      </c>
      <c r="C715" s="88">
        <v>0</v>
      </c>
      <c r="D715" s="88">
        <v>0</v>
      </c>
    </row>
    <row r="716" spans="1:6" ht="15" customHeight="1" x14ac:dyDescent="0.25">
      <c r="A716" s="87" t="s">
        <v>39</v>
      </c>
      <c r="B716" s="87" t="s">
        <v>2081</v>
      </c>
      <c r="C716" s="88">
        <v>0</v>
      </c>
      <c r="D716" s="88">
        <v>0</v>
      </c>
    </row>
    <row r="717" spans="1:6" ht="15" customHeight="1" x14ac:dyDescent="0.25">
      <c r="A717" s="87" t="s">
        <v>39</v>
      </c>
      <c r="B717" s="87" t="s">
        <v>2082</v>
      </c>
      <c r="C717" s="88">
        <v>0</v>
      </c>
      <c r="D717" s="88">
        <v>0</v>
      </c>
    </row>
    <row r="718" spans="1:6" ht="15" customHeight="1" x14ac:dyDescent="0.25">
      <c r="A718" s="87" t="s">
        <v>39</v>
      </c>
      <c r="B718" s="87" t="s">
        <v>2083</v>
      </c>
      <c r="C718" s="88">
        <v>0</v>
      </c>
      <c r="D718" s="88">
        <v>0</v>
      </c>
    </row>
    <row r="719" spans="1:6" ht="15" customHeight="1" x14ac:dyDescent="0.25">
      <c r="A719" s="87" t="s">
        <v>39</v>
      </c>
      <c r="B719" s="87" t="s">
        <v>2084</v>
      </c>
      <c r="C719" s="88">
        <v>0</v>
      </c>
      <c r="D719" s="88">
        <v>0</v>
      </c>
    </row>
    <row r="720" spans="1:6" ht="15" customHeight="1" x14ac:dyDescent="0.25">
      <c r="A720" s="87" t="s">
        <v>39</v>
      </c>
      <c r="B720" s="87" t="s">
        <v>199</v>
      </c>
      <c r="C720" s="88">
        <v>0</v>
      </c>
      <c r="D720" s="88">
        <v>0</v>
      </c>
    </row>
    <row r="721" spans="1:9" ht="15" customHeight="1" x14ac:dyDescent="0.25">
      <c r="A721" s="87" t="s">
        <v>39</v>
      </c>
      <c r="B721" s="87" t="s">
        <v>2085</v>
      </c>
      <c r="C721" s="88">
        <v>0</v>
      </c>
      <c r="D721" s="88">
        <v>0</v>
      </c>
    </row>
    <row r="722" spans="1:9" ht="15" customHeight="1" x14ac:dyDescent="0.25">
      <c r="A722" s="87" t="s">
        <v>39</v>
      </c>
      <c r="B722" s="87" t="s">
        <v>2086</v>
      </c>
      <c r="C722" s="88">
        <v>0</v>
      </c>
      <c r="D722" s="88">
        <v>0</v>
      </c>
    </row>
    <row r="723" spans="1:9" ht="15" customHeight="1" x14ac:dyDescent="0.25">
      <c r="A723" s="87" t="s">
        <v>39</v>
      </c>
      <c r="B723" s="87" t="s">
        <v>2087</v>
      </c>
      <c r="C723" s="88">
        <v>0</v>
      </c>
      <c r="D723" s="88">
        <v>0</v>
      </c>
    </row>
    <row r="724" spans="1:9" ht="15" customHeight="1" x14ac:dyDescent="0.25">
      <c r="A724" s="87" t="s">
        <v>39</v>
      </c>
      <c r="B724" s="87" t="s">
        <v>2088</v>
      </c>
      <c r="C724" s="88">
        <v>0</v>
      </c>
      <c r="D724" s="88">
        <v>0</v>
      </c>
    </row>
    <row r="725" spans="1:9" ht="15" customHeight="1" x14ac:dyDescent="0.25">
      <c r="A725" s="87" t="s">
        <v>39</v>
      </c>
      <c r="B725" s="87" t="s">
        <v>1159</v>
      </c>
      <c r="C725" s="88">
        <v>0</v>
      </c>
      <c r="D725" s="88">
        <v>0</v>
      </c>
    </row>
    <row r="726" spans="1:9" ht="15" customHeight="1" x14ac:dyDescent="0.25">
      <c r="A726" s="87" t="s">
        <v>39</v>
      </c>
      <c r="B726" s="87" t="s">
        <v>2089</v>
      </c>
      <c r="C726" s="88">
        <v>0</v>
      </c>
      <c r="D726" s="88">
        <v>0</v>
      </c>
    </row>
    <row r="727" spans="1:9" ht="15" customHeight="1" x14ac:dyDescent="0.25">
      <c r="A727" s="87" t="s">
        <v>39</v>
      </c>
      <c r="B727" s="87" t="s">
        <v>2090</v>
      </c>
      <c r="C727" s="88">
        <v>0</v>
      </c>
      <c r="D727" s="88">
        <v>0</v>
      </c>
      <c r="G727" t="s">
        <v>1707</v>
      </c>
      <c r="H727">
        <v>26</v>
      </c>
      <c r="I727">
        <v>356</v>
      </c>
    </row>
    <row r="728" spans="1:9" ht="63.75" customHeight="1" x14ac:dyDescent="0.25">
      <c r="A728" s="87" t="s">
        <v>39</v>
      </c>
      <c r="B728" s="87" t="s">
        <v>2091</v>
      </c>
      <c r="C728" s="88">
        <v>0</v>
      </c>
      <c r="D728" s="88">
        <v>0</v>
      </c>
      <c r="E728" s="89" t="s">
        <v>2078</v>
      </c>
    </row>
    <row r="729" spans="1:9" ht="15" customHeight="1" x14ac:dyDescent="0.25">
      <c r="A729" s="87" t="s">
        <v>39</v>
      </c>
      <c r="B729" s="87" t="s">
        <v>2092</v>
      </c>
      <c r="C729" s="88">
        <v>0</v>
      </c>
      <c r="D729" s="88">
        <v>0</v>
      </c>
    </row>
    <row r="731" spans="1:9" ht="15" customHeight="1" x14ac:dyDescent="0.25">
      <c r="A731" s="87" t="s">
        <v>40</v>
      </c>
      <c r="B731" s="87" t="s">
        <v>1130</v>
      </c>
      <c r="C731" s="88">
        <v>0</v>
      </c>
      <c r="D731" s="88">
        <v>0</v>
      </c>
    </row>
    <row r="732" spans="1:9" ht="15" customHeight="1" x14ac:dyDescent="0.25">
      <c r="A732" s="87" t="s">
        <v>40</v>
      </c>
      <c r="B732" s="87" t="s">
        <v>2093</v>
      </c>
      <c r="C732" s="88">
        <v>0</v>
      </c>
      <c r="D732" s="88">
        <v>0</v>
      </c>
    </row>
    <row r="733" spans="1:9" ht="15" customHeight="1" x14ac:dyDescent="0.25">
      <c r="A733" s="87" t="s">
        <v>40</v>
      </c>
      <c r="B733" s="87" t="s">
        <v>2094</v>
      </c>
      <c r="C733" s="88">
        <v>0</v>
      </c>
      <c r="D733" s="88">
        <v>0</v>
      </c>
    </row>
    <row r="734" spans="1:9" ht="15" customHeight="1" x14ac:dyDescent="0.25">
      <c r="A734" s="87" t="s">
        <v>40</v>
      </c>
      <c r="B734" s="87" t="s">
        <v>1393</v>
      </c>
      <c r="C734" s="88">
        <v>0</v>
      </c>
      <c r="D734" s="88">
        <v>0</v>
      </c>
    </row>
    <row r="735" spans="1:9" ht="15" customHeight="1" x14ac:dyDescent="0.25">
      <c r="A735" s="87" t="s">
        <v>40</v>
      </c>
      <c r="B735" s="87" t="s">
        <v>2095</v>
      </c>
      <c r="C735" s="88">
        <v>0</v>
      </c>
      <c r="D735" s="88">
        <v>0</v>
      </c>
    </row>
    <row r="736" spans="1:9" ht="15" customHeight="1" x14ac:dyDescent="0.25">
      <c r="A736" s="87" t="s">
        <v>40</v>
      </c>
      <c r="B736" s="87" t="s">
        <v>2096</v>
      </c>
      <c r="C736" s="88">
        <v>0</v>
      </c>
      <c r="D736" s="88">
        <v>0</v>
      </c>
    </row>
    <row r="737" spans="1:4" ht="15" customHeight="1" x14ac:dyDescent="0.25">
      <c r="A737" s="87" t="s">
        <v>40</v>
      </c>
      <c r="B737" s="87" t="s">
        <v>2097</v>
      </c>
      <c r="C737" s="88">
        <v>0</v>
      </c>
      <c r="D737" s="88">
        <v>0</v>
      </c>
    </row>
    <row r="738" spans="1:4" ht="15" customHeight="1" x14ac:dyDescent="0.25">
      <c r="A738" s="87" t="s">
        <v>40</v>
      </c>
      <c r="B738" s="87" t="s">
        <v>2098</v>
      </c>
      <c r="C738" s="88">
        <v>0</v>
      </c>
      <c r="D738" s="88">
        <v>4</v>
      </c>
    </row>
    <row r="739" spans="1:4" ht="15" customHeight="1" x14ac:dyDescent="0.25">
      <c r="A739" s="87" t="s">
        <v>40</v>
      </c>
      <c r="B739" s="87" t="s">
        <v>2099</v>
      </c>
      <c r="C739" s="88">
        <v>0</v>
      </c>
      <c r="D739" s="88">
        <v>0</v>
      </c>
    </row>
    <row r="740" spans="1:4" ht="15" customHeight="1" x14ac:dyDescent="0.25">
      <c r="A740" s="87" t="s">
        <v>40</v>
      </c>
      <c r="B740" s="87" t="s">
        <v>2100</v>
      </c>
      <c r="C740" s="88">
        <v>0</v>
      </c>
      <c r="D740" s="88">
        <v>0</v>
      </c>
    </row>
    <row r="741" spans="1:4" ht="15" customHeight="1" x14ac:dyDescent="0.25">
      <c r="A741" s="87" t="s">
        <v>40</v>
      </c>
      <c r="B741" s="87" t="s">
        <v>1436</v>
      </c>
      <c r="C741" s="88">
        <v>0</v>
      </c>
      <c r="D741" s="88">
        <v>0</v>
      </c>
    </row>
    <row r="742" spans="1:4" ht="15" customHeight="1" x14ac:dyDescent="0.25">
      <c r="A742" s="87" t="s">
        <v>40</v>
      </c>
      <c r="B742" s="87" t="s">
        <v>2075</v>
      </c>
      <c r="C742" s="88">
        <v>0</v>
      </c>
      <c r="D742" s="88">
        <v>0</v>
      </c>
    </row>
    <row r="743" spans="1:4" ht="15" customHeight="1" x14ac:dyDescent="0.25">
      <c r="A743" s="87" t="s">
        <v>40</v>
      </c>
      <c r="B743" s="87" t="s">
        <v>1474</v>
      </c>
      <c r="C743" s="88">
        <v>0</v>
      </c>
      <c r="D743" s="88">
        <v>0</v>
      </c>
    </row>
    <row r="744" spans="1:4" ht="15" customHeight="1" x14ac:dyDescent="0.25">
      <c r="A744" s="87" t="s">
        <v>40</v>
      </c>
      <c r="B744" s="87" t="s">
        <v>2101</v>
      </c>
      <c r="C744" s="88">
        <v>0</v>
      </c>
      <c r="D744" s="88">
        <v>0</v>
      </c>
    </row>
    <row r="745" spans="1:4" ht="15" customHeight="1" x14ac:dyDescent="0.25">
      <c r="A745" s="87" t="s">
        <v>40</v>
      </c>
      <c r="B745" s="87" t="s">
        <v>1491</v>
      </c>
      <c r="C745" s="88">
        <v>0</v>
      </c>
      <c r="D745" s="88">
        <v>0</v>
      </c>
    </row>
    <row r="746" spans="1:4" ht="15" customHeight="1" x14ac:dyDescent="0.25">
      <c r="A746" s="87" t="s">
        <v>40</v>
      </c>
      <c r="B746" s="87" t="s">
        <v>2102</v>
      </c>
      <c r="C746" s="88">
        <v>0</v>
      </c>
      <c r="D746" s="88">
        <v>0</v>
      </c>
    </row>
    <row r="747" spans="1:4" ht="15" customHeight="1" x14ac:dyDescent="0.25">
      <c r="A747" s="87" t="s">
        <v>40</v>
      </c>
      <c r="B747" s="87" t="s">
        <v>1532</v>
      </c>
      <c r="C747" s="88">
        <v>0</v>
      </c>
      <c r="D747" s="88">
        <v>0</v>
      </c>
    </row>
    <row r="748" spans="1:4" ht="15" customHeight="1" x14ac:dyDescent="0.25">
      <c r="A748" s="87" t="s">
        <v>40</v>
      </c>
      <c r="B748" s="87" t="s">
        <v>1534</v>
      </c>
      <c r="C748" s="88">
        <v>0</v>
      </c>
      <c r="D748" s="88">
        <v>0</v>
      </c>
    </row>
    <row r="749" spans="1:4" ht="15" customHeight="1" x14ac:dyDescent="0.25">
      <c r="A749" s="87" t="s">
        <v>40</v>
      </c>
      <c r="B749" s="87" t="s">
        <v>1536</v>
      </c>
      <c r="C749" s="88">
        <v>0</v>
      </c>
      <c r="D749" s="88">
        <v>0</v>
      </c>
    </row>
    <row r="750" spans="1:4" ht="15" customHeight="1" x14ac:dyDescent="0.25">
      <c r="A750" s="87" t="s">
        <v>40</v>
      </c>
      <c r="B750" s="87" t="s">
        <v>1537</v>
      </c>
      <c r="C750" s="88">
        <v>0</v>
      </c>
      <c r="D750" s="88">
        <v>0</v>
      </c>
    </row>
    <row r="751" spans="1:4" ht="15" customHeight="1" x14ac:dyDescent="0.25">
      <c r="A751" s="87" t="s">
        <v>40</v>
      </c>
      <c r="B751" s="87" t="s">
        <v>1926</v>
      </c>
      <c r="C751" s="88">
        <v>0</v>
      </c>
      <c r="D751" s="88">
        <v>0</v>
      </c>
    </row>
    <row r="752" spans="1:4" ht="15" customHeight="1" x14ac:dyDescent="0.25">
      <c r="A752" s="87" t="s">
        <v>40</v>
      </c>
      <c r="B752" s="87" t="s">
        <v>474</v>
      </c>
      <c r="C752" s="88">
        <v>0</v>
      </c>
      <c r="D752" s="88">
        <v>0</v>
      </c>
    </row>
    <row r="753" spans="1:9" ht="15" customHeight="1" x14ac:dyDescent="0.25">
      <c r="A753" s="87" t="s">
        <v>40</v>
      </c>
      <c r="B753" s="87" t="s">
        <v>2103</v>
      </c>
      <c r="C753" s="88">
        <v>0</v>
      </c>
      <c r="D753" s="88">
        <v>0</v>
      </c>
    </row>
    <row r="754" spans="1:9" ht="15" customHeight="1" x14ac:dyDescent="0.25">
      <c r="A754" s="87" t="s">
        <v>40</v>
      </c>
      <c r="B754" s="87" t="s">
        <v>2104</v>
      </c>
      <c r="C754" s="88">
        <v>0</v>
      </c>
      <c r="D754" s="88">
        <v>0</v>
      </c>
    </row>
    <row r="755" spans="1:9" ht="15" customHeight="1" x14ac:dyDescent="0.25">
      <c r="A755" s="87" t="s">
        <v>40</v>
      </c>
      <c r="B755" s="87" t="s">
        <v>2105</v>
      </c>
      <c r="C755" s="88">
        <v>0</v>
      </c>
      <c r="D755" s="88">
        <v>1</v>
      </c>
    </row>
    <row r="756" spans="1:9" ht="15" customHeight="1" x14ac:dyDescent="0.25">
      <c r="A756" s="87" t="s">
        <v>40</v>
      </c>
      <c r="B756" s="87" t="s">
        <v>2106</v>
      </c>
      <c r="C756" s="88">
        <v>0</v>
      </c>
      <c r="D756" s="88">
        <v>0</v>
      </c>
    </row>
    <row r="757" spans="1:9" ht="15" customHeight="1" x14ac:dyDescent="0.25">
      <c r="A757" s="87" t="s">
        <v>40</v>
      </c>
      <c r="B757" s="87" t="s">
        <v>2107</v>
      </c>
      <c r="C757" s="88">
        <v>0</v>
      </c>
      <c r="D757" s="88">
        <v>0</v>
      </c>
    </row>
    <row r="758" spans="1:9" ht="15" customHeight="1" x14ac:dyDescent="0.25">
      <c r="A758" s="87" t="s">
        <v>40</v>
      </c>
      <c r="B758" s="87" t="s">
        <v>1140</v>
      </c>
      <c r="C758" s="88">
        <v>0</v>
      </c>
      <c r="D758" s="88">
        <v>2</v>
      </c>
    </row>
    <row r="759" spans="1:9" ht="15" customHeight="1" x14ac:dyDescent="0.25">
      <c r="A759" s="87" t="s">
        <v>40</v>
      </c>
      <c r="B759" s="87" t="s">
        <v>1601</v>
      </c>
      <c r="C759" s="88">
        <v>0</v>
      </c>
      <c r="D759" s="88">
        <v>0</v>
      </c>
      <c r="G759" t="s">
        <v>1707</v>
      </c>
      <c r="H759">
        <v>0</v>
      </c>
      <c r="I759">
        <v>7</v>
      </c>
    </row>
    <row r="761" spans="1:9" ht="38.25" customHeight="1" x14ac:dyDescent="0.25">
      <c r="A761" s="87" t="s">
        <v>41</v>
      </c>
      <c r="B761" s="87" t="s">
        <v>2108</v>
      </c>
      <c r="C761" s="88">
        <v>0</v>
      </c>
      <c r="D761" s="88">
        <v>0</v>
      </c>
      <c r="F761" s="89" t="s">
        <v>2109</v>
      </c>
    </row>
    <row r="762" spans="1:9" ht="15" customHeight="1" x14ac:dyDescent="0.25">
      <c r="A762" s="87" t="s">
        <v>41</v>
      </c>
      <c r="B762" s="87" t="s">
        <v>2110</v>
      </c>
      <c r="C762" s="88">
        <v>0</v>
      </c>
      <c r="D762" s="88">
        <v>0</v>
      </c>
    </row>
    <row r="763" spans="1:9" ht="15" customHeight="1" x14ac:dyDescent="0.25">
      <c r="A763" s="87" t="s">
        <v>41</v>
      </c>
      <c r="B763" s="87" t="s">
        <v>2111</v>
      </c>
      <c r="C763" s="88">
        <v>0</v>
      </c>
      <c r="D763" s="88">
        <v>0</v>
      </c>
    </row>
    <row r="764" spans="1:9" ht="15" customHeight="1" x14ac:dyDescent="0.25">
      <c r="A764" s="87" t="s">
        <v>41</v>
      </c>
      <c r="B764" s="87" t="s">
        <v>2112</v>
      </c>
      <c r="C764" s="88">
        <v>0</v>
      </c>
      <c r="D764" s="88">
        <v>0</v>
      </c>
    </row>
    <row r="765" spans="1:9" ht="15" customHeight="1" x14ac:dyDescent="0.25">
      <c r="A765" s="87" t="s">
        <v>41</v>
      </c>
      <c r="B765" s="87" t="s">
        <v>356</v>
      </c>
      <c r="C765" s="88">
        <v>0</v>
      </c>
      <c r="D765" s="88">
        <v>0</v>
      </c>
    </row>
    <row r="766" spans="1:9" ht="15" customHeight="1" x14ac:dyDescent="0.25">
      <c r="A766" s="87" t="s">
        <v>41</v>
      </c>
      <c r="B766" s="87" t="s">
        <v>1816</v>
      </c>
      <c r="C766" s="88">
        <v>1</v>
      </c>
      <c r="D766" s="88">
        <v>0</v>
      </c>
    </row>
    <row r="767" spans="1:9" ht="15" customHeight="1" x14ac:dyDescent="0.25">
      <c r="A767" s="87" t="s">
        <v>41</v>
      </c>
      <c r="B767" s="87" t="s">
        <v>1378</v>
      </c>
      <c r="C767" s="88">
        <v>0</v>
      </c>
      <c r="D767" s="88">
        <v>0</v>
      </c>
    </row>
    <row r="768" spans="1:9" ht="15" customHeight="1" x14ac:dyDescent="0.25">
      <c r="A768" s="87" t="s">
        <v>41</v>
      </c>
      <c r="B768" s="87" t="s">
        <v>228</v>
      </c>
      <c r="C768" s="88">
        <v>0</v>
      </c>
      <c r="D768" s="88">
        <v>0</v>
      </c>
    </row>
    <row r="769" spans="1:4" ht="15" customHeight="1" x14ac:dyDescent="0.25">
      <c r="A769" s="87" t="s">
        <v>41</v>
      </c>
      <c r="B769" s="87" t="s">
        <v>2113</v>
      </c>
      <c r="C769" s="88">
        <v>0</v>
      </c>
      <c r="D769" s="88">
        <v>0</v>
      </c>
    </row>
    <row r="770" spans="1:4" ht="15" customHeight="1" x14ac:dyDescent="0.25">
      <c r="A770" s="87" t="s">
        <v>41</v>
      </c>
      <c r="B770" s="87" t="s">
        <v>416</v>
      </c>
      <c r="C770" s="88">
        <v>0</v>
      </c>
      <c r="D770" s="88">
        <v>0</v>
      </c>
    </row>
    <row r="771" spans="1:4" ht="15" customHeight="1" x14ac:dyDescent="0.25">
      <c r="A771" s="87" t="s">
        <v>41</v>
      </c>
      <c r="B771" s="87" t="s">
        <v>2114</v>
      </c>
      <c r="C771" s="88">
        <v>0</v>
      </c>
      <c r="D771" s="88">
        <v>0</v>
      </c>
    </row>
    <row r="772" spans="1:4" ht="15" customHeight="1" x14ac:dyDescent="0.25">
      <c r="A772" s="87" t="s">
        <v>41</v>
      </c>
      <c r="B772" s="87" t="s">
        <v>33</v>
      </c>
      <c r="C772" s="88">
        <v>0</v>
      </c>
      <c r="D772" s="88">
        <v>0</v>
      </c>
    </row>
    <row r="773" spans="1:4" ht="15" customHeight="1" x14ac:dyDescent="0.25">
      <c r="A773" s="87" t="s">
        <v>41</v>
      </c>
      <c r="B773" s="87" t="s">
        <v>2115</v>
      </c>
      <c r="C773" s="88">
        <v>0</v>
      </c>
      <c r="D773" s="88">
        <v>0</v>
      </c>
    </row>
    <row r="774" spans="1:4" ht="15" customHeight="1" x14ac:dyDescent="0.25">
      <c r="A774" s="87" t="s">
        <v>41</v>
      </c>
      <c r="B774" s="87" t="s">
        <v>1408</v>
      </c>
      <c r="C774" s="88">
        <v>0</v>
      </c>
      <c r="D774" s="88">
        <v>0</v>
      </c>
    </row>
    <row r="775" spans="1:4" ht="15" customHeight="1" x14ac:dyDescent="0.25">
      <c r="A775" s="87" t="s">
        <v>41</v>
      </c>
      <c r="B775" s="87" t="s">
        <v>1418</v>
      </c>
      <c r="C775" s="88">
        <v>0</v>
      </c>
      <c r="D775" s="88">
        <v>0</v>
      </c>
    </row>
    <row r="776" spans="1:4" ht="15" customHeight="1" x14ac:dyDescent="0.25">
      <c r="A776" s="87" t="s">
        <v>41</v>
      </c>
      <c r="B776" s="87" t="s">
        <v>422</v>
      </c>
      <c r="C776" s="88">
        <v>0</v>
      </c>
      <c r="D776" s="88">
        <v>0</v>
      </c>
    </row>
    <row r="777" spans="1:4" ht="15" customHeight="1" x14ac:dyDescent="0.25">
      <c r="A777" s="87" t="s">
        <v>41</v>
      </c>
      <c r="B777" s="87" t="s">
        <v>2116</v>
      </c>
      <c r="C777" s="88">
        <v>0</v>
      </c>
      <c r="D777" s="88">
        <v>0</v>
      </c>
    </row>
    <row r="778" spans="1:4" ht="15" customHeight="1" x14ac:dyDescent="0.25">
      <c r="A778" s="87" t="s">
        <v>41</v>
      </c>
      <c r="B778" s="87" t="s">
        <v>2117</v>
      </c>
      <c r="C778" s="88">
        <v>0</v>
      </c>
      <c r="D778" s="88">
        <v>0</v>
      </c>
    </row>
    <row r="779" spans="1:4" ht="15" customHeight="1" x14ac:dyDescent="0.25">
      <c r="A779" s="87" t="s">
        <v>41</v>
      </c>
      <c r="B779" s="87" t="s">
        <v>237</v>
      </c>
      <c r="C779" s="88">
        <v>0</v>
      </c>
      <c r="D779" s="88">
        <v>0</v>
      </c>
    </row>
    <row r="780" spans="1:4" ht="15" customHeight="1" x14ac:dyDescent="0.25">
      <c r="A780" s="87" t="s">
        <v>41</v>
      </c>
      <c r="B780" s="87" t="s">
        <v>2118</v>
      </c>
      <c r="C780" s="88">
        <v>0</v>
      </c>
      <c r="D780" s="88">
        <v>0</v>
      </c>
    </row>
    <row r="781" spans="1:4" ht="15" customHeight="1" x14ac:dyDescent="0.25">
      <c r="A781" s="87" t="s">
        <v>41</v>
      </c>
      <c r="B781" s="87" t="s">
        <v>426</v>
      </c>
      <c r="C781" s="88">
        <v>0</v>
      </c>
      <c r="D781" s="88">
        <v>0</v>
      </c>
    </row>
    <row r="782" spans="1:4" ht="15" customHeight="1" x14ac:dyDescent="0.25">
      <c r="A782" s="87" t="s">
        <v>41</v>
      </c>
      <c r="B782" s="87" t="s">
        <v>2119</v>
      </c>
      <c r="C782" s="88">
        <v>0</v>
      </c>
      <c r="D782" s="88">
        <v>0</v>
      </c>
    </row>
    <row r="783" spans="1:4" ht="15" customHeight="1" x14ac:dyDescent="0.25">
      <c r="A783" s="87" t="s">
        <v>41</v>
      </c>
      <c r="B783" s="87" t="s">
        <v>2120</v>
      </c>
      <c r="C783" s="88">
        <v>0</v>
      </c>
      <c r="D783" s="88">
        <v>0</v>
      </c>
    </row>
    <row r="784" spans="1:4" ht="15" customHeight="1" x14ac:dyDescent="0.25">
      <c r="A784" s="87" t="s">
        <v>41</v>
      </c>
      <c r="B784" s="87" t="s">
        <v>2121</v>
      </c>
      <c r="C784" s="88">
        <v>0</v>
      </c>
      <c r="D784" s="88">
        <v>0</v>
      </c>
    </row>
    <row r="785" spans="1:5" ht="15" customHeight="1" x14ac:dyDescent="0.25">
      <c r="A785" s="87" t="s">
        <v>41</v>
      </c>
      <c r="B785" s="87" t="s">
        <v>2122</v>
      </c>
      <c r="C785" s="88">
        <v>0</v>
      </c>
      <c r="D785" s="88">
        <v>0</v>
      </c>
    </row>
    <row r="786" spans="1:5" ht="15" customHeight="1" x14ac:dyDescent="0.25">
      <c r="A786" s="87" t="s">
        <v>41</v>
      </c>
      <c r="B786" s="87" t="s">
        <v>1327</v>
      </c>
      <c r="C786" s="88">
        <v>0</v>
      </c>
      <c r="D786" s="88">
        <v>0</v>
      </c>
    </row>
    <row r="787" spans="1:5" ht="15" customHeight="1" x14ac:dyDescent="0.25">
      <c r="A787" s="87" t="s">
        <v>41</v>
      </c>
      <c r="B787" s="87" t="s">
        <v>598</v>
      </c>
      <c r="C787" s="88">
        <v>0</v>
      </c>
      <c r="D787" s="88">
        <v>0</v>
      </c>
    </row>
    <row r="788" spans="1:5" ht="15" customHeight="1" x14ac:dyDescent="0.25">
      <c r="A788" s="87" t="s">
        <v>41</v>
      </c>
      <c r="B788" s="87" t="s">
        <v>160</v>
      </c>
      <c r="C788" s="88">
        <v>0</v>
      </c>
      <c r="D788" s="88">
        <v>0</v>
      </c>
    </row>
    <row r="789" spans="1:5" ht="15" customHeight="1" x14ac:dyDescent="0.25">
      <c r="A789" s="87" t="s">
        <v>41</v>
      </c>
      <c r="B789" s="87" t="s">
        <v>1472</v>
      </c>
      <c r="C789" s="88">
        <v>0</v>
      </c>
      <c r="D789" s="88">
        <v>0</v>
      </c>
    </row>
    <row r="790" spans="1:5" ht="15" customHeight="1" x14ac:dyDescent="0.25">
      <c r="A790" s="87" t="s">
        <v>41</v>
      </c>
      <c r="B790" s="87" t="s">
        <v>2123</v>
      </c>
      <c r="C790" s="88">
        <v>0</v>
      </c>
      <c r="D790" s="88">
        <v>0</v>
      </c>
    </row>
    <row r="791" spans="1:5" ht="15" customHeight="1" x14ac:dyDescent="0.25">
      <c r="A791" s="87" t="s">
        <v>41</v>
      </c>
      <c r="B791" s="87" t="s">
        <v>379</v>
      </c>
      <c r="C791" s="88">
        <v>0</v>
      </c>
      <c r="D791" s="88">
        <v>0</v>
      </c>
    </row>
    <row r="792" spans="1:5" ht="15" customHeight="1" x14ac:dyDescent="0.25">
      <c r="A792" s="87" t="s">
        <v>41</v>
      </c>
      <c r="B792" s="87" t="s">
        <v>1481</v>
      </c>
      <c r="C792" s="88">
        <v>0</v>
      </c>
      <c r="D792" s="88">
        <v>0</v>
      </c>
    </row>
    <row r="793" spans="1:5" ht="15" customHeight="1" x14ac:dyDescent="0.25">
      <c r="A793" s="87" t="s">
        <v>41</v>
      </c>
      <c r="B793" s="87" t="s">
        <v>2124</v>
      </c>
      <c r="C793" s="88">
        <v>0</v>
      </c>
      <c r="D793" s="88">
        <v>0</v>
      </c>
    </row>
    <row r="794" spans="1:5" ht="15" customHeight="1" x14ac:dyDescent="0.25">
      <c r="A794" s="87" t="s">
        <v>41</v>
      </c>
      <c r="B794" s="87" t="s">
        <v>2125</v>
      </c>
      <c r="C794" s="88">
        <v>0</v>
      </c>
      <c r="D794" s="88">
        <v>0</v>
      </c>
    </row>
    <row r="795" spans="1:5" ht="15" customHeight="1" x14ac:dyDescent="0.25">
      <c r="A795" s="87" t="s">
        <v>41</v>
      </c>
      <c r="B795" s="87" t="s">
        <v>2126</v>
      </c>
      <c r="C795" s="88">
        <v>0</v>
      </c>
      <c r="D795" s="88">
        <v>0</v>
      </c>
    </row>
    <row r="796" spans="1:5" ht="15" customHeight="1" x14ac:dyDescent="0.25">
      <c r="A796" s="87" t="s">
        <v>41</v>
      </c>
      <c r="B796" s="87" t="s">
        <v>241</v>
      </c>
      <c r="C796" s="88">
        <v>0</v>
      </c>
      <c r="D796" s="88">
        <v>0</v>
      </c>
    </row>
    <row r="797" spans="1:5" ht="15" customHeight="1" x14ac:dyDescent="0.25">
      <c r="A797" s="87" t="s">
        <v>41</v>
      </c>
      <c r="B797" s="87" t="s">
        <v>41</v>
      </c>
      <c r="C797" s="88">
        <v>0</v>
      </c>
      <c r="D797" s="88">
        <v>0</v>
      </c>
    </row>
    <row r="798" spans="1:5" ht="15" customHeight="1" x14ac:dyDescent="0.25">
      <c r="A798" s="87" t="s">
        <v>41</v>
      </c>
      <c r="B798" s="87" t="s">
        <v>2127</v>
      </c>
      <c r="C798" s="88">
        <v>0</v>
      </c>
      <c r="D798" s="88">
        <v>0</v>
      </c>
    </row>
    <row r="799" spans="1:5" ht="15" customHeight="1" x14ac:dyDescent="0.25">
      <c r="A799" s="87" t="s">
        <v>41</v>
      </c>
      <c r="B799" s="87" t="s">
        <v>2128</v>
      </c>
      <c r="C799" s="88">
        <v>0</v>
      </c>
      <c r="D799" s="88">
        <v>0</v>
      </c>
    </row>
    <row r="800" spans="1:5" ht="76.5" customHeight="1" x14ac:dyDescent="0.25">
      <c r="A800" s="87" t="s">
        <v>41</v>
      </c>
      <c r="B800" s="87" t="s">
        <v>580</v>
      </c>
      <c r="C800" s="88">
        <v>0</v>
      </c>
      <c r="D800" s="88">
        <v>0</v>
      </c>
      <c r="E800" s="89" t="s">
        <v>2109</v>
      </c>
    </row>
    <row r="801" spans="1:4" ht="15" customHeight="1" x14ac:dyDescent="0.25">
      <c r="A801" s="87" t="s">
        <v>41</v>
      </c>
      <c r="B801" s="87" t="s">
        <v>1523</v>
      </c>
      <c r="C801" s="88">
        <v>0</v>
      </c>
      <c r="D801" s="88">
        <v>0</v>
      </c>
    </row>
    <row r="802" spans="1:4" ht="15" customHeight="1" x14ac:dyDescent="0.25">
      <c r="A802" s="87" t="s">
        <v>41</v>
      </c>
      <c r="B802" s="87" t="s">
        <v>1527</v>
      </c>
      <c r="C802" s="88">
        <v>0</v>
      </c>
      <c r="D802" s="88">
        <v>0</v>
      </c>
    </row>
    <row r="803" spans="1:4" ht="15" customHeight="1" x14ac:dyDescent="0.25">
      <c r="A803" s="87" t="s">
        <v>41</v>
      </c>
      <c r="B803" s="87" t="s">
        <v>2129</v>
      </c>
      <c r="C803" s="88">
        <v>0</v>
      </c>
      <c r="D803" s="88">
        <v>0</v>
      </c>
    </row>
    <row r="804" spans="1:4" ht="15" customHeight="1" x14ac:dyDescent="0.25">
      <c r="A804" s="87" t="s">
        <v>41</v>
      </c>
      <c r="B804" s="87" t="s">
        <v>2130</v>
      </c>
      <c r="C804" s="88">
        <v>0</v>
      </c>
      <c r="D804" s="88">
        <v>0</v>
      </c>
    </row>
    <row r="805" spans="1:4" ht="15" customHeight="1" x14ac:dyDescent="0.25">
      <c r="A805" s="87" t="s">
        <v>41</v>
      </c>
      <c r="B805" s="87" t="s">
        <v>170</v>
      </c>
      <c r="C805" s="88">
        <v>0</v>
      </c>
      <c r="D805" s="88">
        <v>0</v>
      </c>
    </row>
    <row r="806" spans="1:4" ht="15" customHeight="1" x14ac:dyDescent="0.25">
      <c r="A806" s="87" t="s">
        <v>41</v>
      </c>
      <c r="B806" s="87" t="s">
        <v>2131</v>
      </c>
      <c r="C806" s="88">
        <v>0</v>
      </c>
      <c r="D806" s="88">
        <v>0</v>
      </c>
    </row>
    <row r="807" spans="1:4" ht="15" customHeight="1" x14ac:dyDescent="0.25">
      <c r="A807" s="87" t="s">
        <v>41</v>
      </c>
      <c r="B807" s="87" t="s">
        <v>443</v>
      </c>
      <c r="C807" s="88">
        <v>0</v>
      </c>
      <c r="D807" s="88">
        <v>0</v>
      </c>
    </row>
    <row r="808" spans="1:4" ht="15" customHeight="1" x14ac:dyDescent="0.25">
      <c r="A808" s="87" t="s">
        <v>41</v>
      </c>
      <c r="B808" s="87" t="s">
        <v>2132</v>
      </c>
      <c r="C808" s="88">
        <v>0</v>
      </c>
      <c r="D808" s="88">
        <v>0</v>
      </c>
    </row>
    <row r="809" spans="1:4" ht="15" customHeight="1" x14ac:dyDescent="0.25">
      <c r="A809" s="87" t="s">
        <v>41</v>
      </c>
      <c r="B809" s="87" t="s">
        <v>1551</v>
      </c>
      <c r="C809" s="88">
        <v>0</v>
      </c>
      <c r="D809" s="88">
        <v>0</v>
      </c>
    </row>
    <row r="810" spans="1:4" ht="15" customHeight="1" x14ac:dyDescent="0.25">
      <c r="A810" s="87" t="s">
        <v>41</v>
      </c>
      <c r="B810" s="87" t="s">
        <v>1556</v>
      </c>
      <c r="C810" s="88">
        <v>0</v>
      </c>
      <c r="D810" s="88">
        <v>0</v>
      </c>
    </row>
    <row r="811" spans="1:4" ht="15" customHeight="1" x14ac:dyDescent="0.25">
      <c r="A811" s="87" t="s">
        <v>41</v>
      </c>
      <c r="B811" s="87" t="s">
        <v>710</v>
      </c>
      <c r="C811" s="88">
        <v>0</v>
      </c>
      <c r="D811" s="88">
        <v>0</v>
      </c>
    </row>
    <row r="812" spans="1:4" ht="15" customHeight="1" x14ac:dyDescent="0.25">
      <c r="A812" s="87" t="s">
        <v>41</v>
      </c>
      <c r="B812" s="87" t="s">
        <v>2133</v>
      </c>
      <c r="C812" s="88">
        <v>0</v>
      </c>
      <c r="D812" s="88">
        <v>0</v>
      </c>
    </row>
    <row r="813" spans="1:4" ht="15" customHeight="1" x14ac:dyDescent="0.25">
      <c r="A813" s="87" t="s">
        <v>41</v>
      </c>
      <c r="B813" s="87" t="s">
        <v>714</v>
      </c>
      <c r="C813" s="88">
        <v>0</v>
      </c>
      <c r="D813" s="88">
        <v>0</v>
      </c>
    </row>
    <row r="814" spans="1:4" ht="15" customHeight="1" x14ac:dyDescent="0.25">
      <c r="A814" s="87" t="s">
        <v>41</v>
      </c>
      <c r="B814" s="87" t="s">
        <v>2134</v>
      </c>
      <c r="C814" s="88">
        <v>0</v>
      </c>
      <c r="D814" s="88">
        <v>0</v>
      </c>
    </row>
    <row r="815" spans="1:4" ht="15" customHeight="1" x14ac:dyDescent="0.25">
      <c r="A815" s="87" t="s">
        <v>41</v>
      </c>
      <c r="B815" s="87" t="s">
        <v>2135</v>
      </c>
      <c r="C815" s="88">
        <v>0</v>
      </c>
      <c r="D815" s="88">
        <v>0</v>
      </c>
    </row>
    <row r="816" spans="1:4" ht="15" customHeight="1" x14ac:dyDescent="0.25">
      <c r="A816" s="87" t="s">
        <v>41</v>
      </c>
      <c r="B816" s="87" t="s">
        <v>2136</v>
      </c>
      <c r="C816" s="88">
        <v>0</v>
      </c>
      <c r="D816" s="88">
        <v>0</v>
      </c>
    </row>
    <row r="817" spans="1:9" ht="15" customHeight="1" x14ac:dyDescent="0.25">
      <c r="A817" s="87" t="s">
        <v>41</v>
      </c>
      <c r="B817" s="87" t="s">
        <v>1582</v>
      </c>
      <c r="C817" s="88">
        <v>0</v>
      </c>
      <c r="D817" s="88">
        <v>0</v>
      </c>
    </row>
    <row r="818" spans="1:9" ht="15" customHeight="1" x14ac:dyDescent="0.25">
      <c r="A818" s="87" t="s">
        <v>41</v>
      </c>
      <c r="B818" s="87" t="s">
        <v>2137</v>
      </c>
      <c r="C818" s="88">
        <v>0</v>
      </c>
      <c r="D818" s="88">
        <v>0</v>
      </c>
    </row>
    <row r="819" spans="1:9" ht="15" customHeight="1" x14ac:dyDescent="0.25">
      <c r="A819" s="87" t="s">
        <v>41</v>
      </c>
      <c r="B819" s="87" t="s">
        <v>1592</v>
      </c>
      <c r="C819" s="88">
        <v>0</v>
      </c>
      <c r="D819" s="88">
        <v>0</v>
      </c>
    </row>
    <row r="820" spans="1:9" ht="15" customHeight="1" x14ac:dyDescent="0.25">
      <c r="A820" s="87" t="s">
        <v>41</v>
      </c>
      <c r="B820" s="87" t="s">
        <v>2138</v>
      </c>
      <c r="C820" s="88">
        <v>0</v>
      </c>
      <c r="D820" s="88">
        <v>0</v>
      </c>
      <c r="G820" t="s">
        <v>1707</v>
      </c>
      <c r="H820">
        <v>1</v>
      </c>
      <c r="I820">
        <v>0</v>
      </c>
    </row>
    <row r="822" spans="1:9" ht="15" customHeight="1" x14ac:dyDescent="0.25">
      <c r="A822" s="87" t="s">
        <v>42</v>
      </c>
      <c r="B822" s="87" t="s">
        <v>2139</v>
      </c>
      <c r="C822" s="88">
        <v>0</v>
      </c>
      <c r="D822" s="88">
        <v>0</v>
      </c>
    </row>
    <row r="823" spans="1:9" ht="15" customHeight="1" x14ac:dyDescent="0.25">
      <c r="A823" s="87" t="s">
        <v>42</v>
      </c>
      <c r="B823" s="87" t="s">
        <v>2140</v>
      </c>
      <c r="C823" s="88">
        <v>0</v>
      </c>
      <c r="D823" s="88">
        <v>0</v>
      </c>
    </row>
    <row r="824" spans="1:9" ht="15" customHeight="1" x14ac:dyDescent="0.25">
      <c r="A824" s="87" t="s">
        <v>42</v>
      </c>
      <c r="B824" s="87" t="s">
        <v>1371</v>
      </c>
      <c r="C824" s="88">
        <v>0</v>
      </c>
      <c r="D824" s="88">
        <v>0</v>
      </c>
    </row>
    <row r="825" spans="1:9" ht="15" customHeight="1" x14ac:dyDescent="0.25">
      <c r="A825" s="87" t="s">
        <v>42</v>
      </c>
      <c r="B825" s="87" t="s">
        <v>2141</v>
      </c>
      <c r="C825" s="88">
        <v>0</v>
      </c>
      <c r="D825" s="88">
        <v>0</v>
      </c>
    </row>
    <row r="826" spans="1:9" ht="15" customHeight="1" x14ac:dyDescent="0.25">
      <c r="A826" s="87" t="s">
        <v>42</v>
      </c>
      <c r="B826" s="87" t="s">
        <v>2142</v>
      </c>
      <c r="C826" s="88">
        <v>0</v>
      </c>
      <c r="D826" s="88">
        <v>0</v>
      </c>
    </row>
    <row r="827" spans="1:9" ht="15" customHeight="1" x14ac:dyDescent="0.25">
      <c r="A827" s="87" t="s">
        <v>42</v>
      </c>
      <c r="B827" s="87" t="s">
        <v>2143</v>
      </c>
      <c r="C827" s="88">
        <v>0</v>
      </c>
      <c r="D827" s="88">
        <v>0</v>
      </c>
    </row>
    <row r="828" spans="1:9" ht="15" customHeight="1" x14ac:dyDescent="0.25">
      <c r="A828" s="87" t="s">
        <v>42</v>
      </c>
      <c r="B828" s="87" t="s">
        <v>414</v>
      </c>
      <c r="C828" s="88">
        <v>0</v>
      </c>
      <c r="D828" s="88">
        <v>0</v>
      </c>
    </row>
    <row r="829" spans="1:9" ht="15" customHeight="1" x14ac:dyDescent="0.25">
      <c r="A829" s="87" t="s">
        <v>42</v>
      </c>
      <c r="B829" s="87" t="s">
        <v>2144</v>
      </c>
      <c r="C829" s="88">
        <v>0</v>
      </c>
      <c r="D829" s="88">
        <v>0</v>
      </c>
    </row>
    <row r="830" spans="1:9" ht="15" customHeight="1" x14ac:dyDescent="0.25">
      <c r="A830" s="87" t="s">
        <v>42</v>
      </c>
      <c r="B830" s="87" t="s">
        <v>2145</v>
      </c>
      <c r="C830" s="88">
        <v>0</v>
      </c>
      <c r="D830" s="88">
        <v>0</v>
      </c>
    </row>
    <row r="831" spans="1:9" ht="15" customHeight="1" x14ac:dyDescent="0.25">
      <c r="A831" s="87" t="s">
        <v>42</v>
      </c>
      <c r="B831" s="87" t="s">
        <v>578</v>
      </c>
      <c r="C831" s="88">
        <v>0</v>
      </c>
      <c r="D831" s="88">
        <v>0</v>
      </c>
    </row>
    <row r="832" spans="1:9" ht="15" customHeight="1" x14ac:dyDescent="0.25">
      <c r="A832" s="87" t="s">
        <v>42</v>
      </c>
      <c r="B832" s="87" t="s">
        <v>2146</v>
      </c>
      <c r="C832" s="88">
        <v>0</v>
      </c>
      <c r="D832" s="88">
        <v>0</v>
      </c>
    </row>
    <row r="833" spans="1:4" ht="15" customHeight="1" x14ac:dyDescent="0.25">
      <c r="A833" s="87" t="s">
        <v>42</v>
      </c>
      <c r="B833" s="87" t="s">
        <v>2147</v>
      </c>
      <c r="C833" s="88">
        <v>0</v>
      </c>
      <c r="D833" s="88">
        <v>0</v>
      </c>
    </row>
    <row r="834" spans="1:4" ht="15" customHeight="1" x14ac:dyDescent="0.25">
      <c r="A834" s="87" t="s">
        <v>42</v>
      </c>
      <c r="B834" s="87" t="s">
        <v>1415</v>
      </c>
      <c r="C834" s="88">
        <v>0</v>
      </c>
      <c r="D834" s="88">
        <v>0</v>
      </c>
    </row>
    <row r="835" spans="1:4" ht="15" customHeight="1" x14ac:dyDescent="0.25">
      <c r="A835" s="87" t="s">
        <v>42</v>
      </c>
      <c r="B835" s="87" t="s">
        <v>596</v>
      </c>
      <c r="C835" s="88">
        <v>0</v>
      </c>
      <c r="D835" s="88">
        <v>0</v>
      </c>
    </row>
    <row r="836" spans="1:4" ht="15" customHeight="1" x14ac:dyDescent="0.25">
      <c r="A836" s="87" t="s">
        <v>42</v>
      </c>
      <c r="B836" s="87" t="s">
        <v>1428</v>
      </c>
      <c r="C836" s="88">
        <v>0</v>
      </c>
      <c r="D836" s="88">
        <v>0</v>
      </c>
    </row>
    <row r="837" spans="1:4" ht="15" customHeight="1" x14ac:dyDescent="0.25">
      <c r="A837" s="87" t="s">
        <v>42</v>
      </c>
      <c r="B837" s="87" t="s">
        <v>2148</v>
      </c>
      <c r="C837" s="88">
        <v>0</v>
      </c>
      <c r="D837" s="88">
        <v>0</v>
      </c>
    </row>
    <row r="838" spans="1:4" ht="15" customHeight="1" x14ac:dyDescent="0.25">
      <c r="A838" s="87" t="s">
        <v>42</v>
      </c>
      <c r="B838" s="87" t="s">
        <v>1458</v>
      </c>
      <c r="C838" s="88">
        <v>0</v>
      </c>
      <c r="D838" s="88">
        <v>0</v>
      </c>
    </row>
    <row r="839" spans="1:4" ht="15" customHeight="1" x14ac:dyDescent="0.25">
      <c r="A839" s="87" t="s">
        <v>42</v>
      </c>
      <c r="B839" s="87" t="s">
        <v>2149</v>
      </c>
      <c r="C839" s="88">
        <v>0</v>
      </c>
      <c r="D839" s="88">
        <v>0</v>
      </c>
    </row>
    <row r="840" spans="1:4" ht="15" customHeight="1" x14ac:dyDescent="0.25">
      <c r="A840" s="87" t="s">
        <v>42</v>
      </c>
      <c r="B840" s="87" t="s">
        <v>1471</v>
      </c>
      <c r="C840" s="88">
        <v>0</v>
      </c>
      <c r="D840" s="88">
        <v>0</v>
      </c>
    </row>
    <row r="841" spans="1:4" ht="15" customHeight="1" x14ac:dyDescent="0.25">
      <c r="A841" s="87" t="s">
        <v>42</v>
      </c>
      <c r="B841" s="87" t="s">
        <v>2150</v>
      </c>
      <c r="C841" s="88">
        <v>0</v>
      </c>
      <c r="D841" s="88">
        <v>0</v>
      </c>
    </row>
    <row r="842" spans="1:4" ht="15" customHeight="1" x14ac:dyDescent="0.25">
      <c r="A842" s="87" t="s">
        <v>42</v>
      </c>
      <c r="B842" s="87" t="s">
        <v>2151</v>
      </c>
      <c r="C842" s="88">
        <v>0</v>
      </c>
      <c r="D842" s="88">
        <v>0</v>
      </c>
    </row>
    <row r="843" spans="1:4" ht="15" customHeight="1" x14ac:dyDescent="0.25">
      <c r="A843" s="87" t="s">
        <v>42</v>
      </c>
      <c r="B843" s="87" t="s">
        <v>689</v>
      </c>
      <c r="C843" s="88">
        <v>0</v>
      </c>
      <c r="D843" s="88">
        <v>0</v>
      </c>
    </row>
    <row r="844" spans="1:4" ht="15" customHeight="1" x14ac:dyDescent="0.25">
      <c r="A844" s="87" t="s">
        <v>42</v>
      </c>
      <c r="B844" s="87" t="s">
        <v>435</v>
      </c>
      <c r="C844" s="88">
        <v>0</v>
      </c>
      <c r="D844" s="88">
        <v>0</v>
      </c>
    </row>
    <row r="845" spans="1:4" ht="15" customHeight="1" x14ac:dyDescent="0.25">
      <c r="A845" s="87" t="s">
        <v>42</v>
      </c>
      <c r="B845" s="87" t="s">
        <v>1503</v>
      </c>
      <c r="C845" s="88">
        <v>0</v>
      </c>
      <c r="D845" s="88">
        <v>0</v>
      </c>
    </row>
    <row r="846" spans="1:4" ht="15" customHeight="1" x14ac:dyDescent="0.25">
      <c r="A846" s="87" t="s">
        <v>42</v>
      </c>
      <c r="B846" s="87" t="s">
        <v>2152</v>
      </c>
      <c r="C846" s="88">
        <v>0</v>
      </c>
      <c r="D846" s="88">
        <v>0</v>
      </c>
    </row>
    <row r="847" spans="1:4" ht="15" customHeight="1" x14ac:dyDescent="0.25">
      <c r="A847" s="87" t="s">
        <v>42</v>
      </c>
      <c r="B847" s="87" t="s">
        <v>697</v>
      </c>
      <c r="C847" s="88">
        <v>0</v>
      </c>
      <c r="D847" s="88">
        <v>0</v>
      </c>
    </row>
    <row r="848" spans="1:4" ht="15" customHeight="1" x14ac:dyDescent="0.25">
      <c r="A848" s="87" t="s">
        <v>42</v>
      </c>
      <c r="B848" s="87" t="s">
        <v>2153</v>
      </c>
      <c r="C848" s="88">
        <v>0</v>
      </c>
      <c r="D848" s="88">
        <v>0</v>
      </c>
    </row>
    <row r="849" spans="1:9" ht="15" customHeight="1" x14ac:dyDescent="0.25">
      <c r="A849" s="87" t="s">
        <v>42</v>
      </c>
      <c r="B849" s="87" t="s">
        <v>1719</v>
      </c>
      <c r="C849" s="88">
        <v>0</v>
      </c>
      <c r="D849" s="88">
        <v>0</v>
      </c>
    </row>
    <row r="850" spans="1:9" ht="15" customHeight="1" x14ac:dyDescent="0.25">
      <c r="A850" s="87" t="s">
        <v>42</v>
      </c>
      <c r="B850" s="87" t="s">
        <v>2154</v>
      </c>
      <c r="C850" s="88">
        <v>0</v>
      </c>
      <c r="D850" s="88">
        <v>0</v>
      </c>
    </row>
    <row r="851" spans="1:9" ht="15" customHeight="1" x14ac:dyDescent="0.25">
      <c r="A851" s="87" t="s">
        <v>42</v>
      </c>
      <c r="B851" s="87" t="s">
        <v>2155</v>
      </c>
      <c r="C851" s="88">
        <v>0</v>
      </c>
      <c r="D851" s="88">
        <v>0</v>
      </c>
    </row>
    <row r="852" spans="1:9" ht="15" customHeight="1" x14ac:dyDescent="0.25">
      <c r="A852" s="87" t="s">
        <v>42</v>
      </c>
      <c r="B852" s="87" t="s">
        <v>2156</v>
      </c>
      <c r="C852" s="88">
        <v>0</v>
      </c>
      <c r="D852" s="88">
        <v>0</v>
      </c>
    </row>
    <row r="853" spans="1:9" ht="15" customHeight="1" x14ac:dyDescent="0.25">
      <c r="A853" s="87" t="s">
        <v>42</v>
      </c>
      <c r="B853" s="87" t="s">
        <v>2023</v>
      </c>
      <c r="C853" s="88">
        <v>0</v>
      </c>
      <c r="D853" s="88">
        <v>0</v>
      </c>
    </row>
    <row r="854" spans="1:9" ht="15" customHeight="1" x14ac:dyDescent="0.25">
      <c r="A854" s="87" t="s">
        <v>42</v>
      </c>
      <c r="B854" s="87" t="s">
        <v>714</v>
      </c>
      <c r="C854" s="88">
        <v>0</v>
      </c>
      <c r="D854" s="88">
        <v>0</v>
      </c>
    </row>
    <row r="855" spans="1:9" ht="15" customHeight="1" x14ac:dyDescent="0.25">
      <c r="A855" s="87" t="s">
        <v>42</v>
      </c>
      <c r="B855" s="87" t="s">
        <v>2157</v>
      </c>
      <c r="C855" s="88">
        <v>0</v>
      </c>
      <c r="D855" s="88">
        <v>0</v>
      </c>
    </row>
    <row r="856" spans="1:9" ht="15" customHeight="1" x14ac:dyDescent="0.25">
      <c r="A856" s="87" t="s">
        <v>42</v>
      </c>
      <c r="B856" s="87" t="s">
        <v>1565</v>
      </c>
      <c r="C856" s="88">
        <v>0</v>
      </c>
      <c r="D856" s="88">
        <v>0</v>
      </c>
    </row>
    <row r="857" spans="1:9" ht="15" customHeight="1" x14ac:dyDescent="0.25">
      <c r="A857" s="87" t="s">
        <v>42</v>
      </c>
      <c r="B857" s="87" t="s">
        <v>248</v>
      </c>
      <c r="C857" s="88">
        <v>0</v>
      </c>
      <c r="D857" s="88">
        <v>0</v>
      </c>
    </row>
    <row r="858" spans="1:9" ht="15" customHeight="1" x14ac:dyDescent="0.25">
      <c r="A858" s="87" t="s">
        <v>42</v>
      </c>
      <c r="B858" s="87" t="s">
        <v>1588</v>
      </c>
      <c r="C858" s="88">
        <v>0</v>
      </c>
      <c r="D858" s="88">
        <v>0</v>
      </c>
    </row>
    <row r="859" spans="1:9" ht="15" customHeight="1" x14ac:dyDescent="0.25">
      <c r="A859" s="87" t="s">
        <v>42</v>
      </c>
      <c r="B859" s="87" t="s">
        <v>1590</v>
      </c>
      <c r="C859" s="88">
        <v>0</v>
      </c>
      <c r="D859" s="88">
        <v>0</v>
      </c>
    </row>
    <row r="860" spans="1:9" ht="15" customHeight="1" x14ac:dyDescent="0.25">
      <c r="A860" s="87" t="s">
        <v>42</v>
      </c>
      <c r="B860" s="87" t="s">
        <v>844</v>
      </c>
      <c r="C860" s="88">
        <v>0</v>
      </c>
      <c r="D860" s="88">
        <v>0</v>
      </c>
    </row>
    <row r="861" spans="1:9" ht="15" customHeight="1" x14ac:dyDescent="0.25">
      <c r="A861" s="87" t="s">
        <v>42</v>
      </c>
      <c r="B861" s="87" t="s">
        <v>2158</v>
      </c>
      <c r="C861" s="88">
        <v>0</v>
      </c>
      <c r="D861" s="88">
        <v>0</v>
      </c>
    </row>
    <row r="862" spans="1:9" ht="15" customHeight="1" x14ac:dyDescent="0.25">
      <c r="A862" s="87" t="s">
        <v>42</v>
      </c>
      <c r="B862" s="87" t="s">
        <v>2159</v>
      </c>
      <c r="C862" s="88">
        <v>0</v>
      </c>
      <c r="D862" s="88">
        <v>0</v>
      </c>
      <c r="G862" t="s">
        <v>1707</v>
      </c>
      <c r="H862">
        <v>0</v>
      </c>
      <c r="I862">
        <v>0</v>
      </c>
    </row>
    <row r="864" spans="1:9" ht="15" customHeight="1" x14ac:dyDescent="0.25">
      <c r="A864" s="87" t="s">
        <v>43</v>
      </c>
      <c r="B864" s="87" t="s">
        <v>2160</v>
      </c>
      <c r="C864" s="88">
        <v>0</v>
      </c>
      <c r="D864" s="88">
        <v>0</v>
      </c>
    </row>
    <row r="865" spans="1:9" ht="15" customHeight="1" x14ac:dyDescent="0.25">
      <c r="A865" s="87" t="s">
        <v>43</v>
      </c>
      <c r="B865" s="87" t="s">
        <v>1134</v>
      </c>
      <c r="C865" s="88">
        <v>0</v>
      </c>
      <c r="D865" s="88">
        <v>0</v>
      </c>
    </row>
    <row r="866" spans="1:9" ht="15" customHeight="1" x14ac:dyDescent="0.25">
      <c r="A866" s="87" t="s">
        <v>43</v>
      </c>
      <c r="B866" s="87" t="s">
        <v>2161</v>
      </c>
      <c r="C866" s="88">
        <v>0</v>
      </c>
      <c r="D866" s="88">
        <v>0</v>
      </c>
    </row>
    <row r="867" spans="1:9" ht="15" customHeight="1" x14ac:dyDescent="0.25">
      <c r="A867" s="87" t="s">
        <v>43</v>
      </c>
      <c r="B867" s="87" t="s">
        <v>2162</v>
      </c>
      <c r="C867" s="88">
        <v>0</v>
      </c>
      <c r="D867" s="88">
        <v>0</v>
      </c>
    </row>
    <row r="868" spans="1:9" ht="15" customHeight="1" x14ac:dyDescent="0.25">
      <c r="A868" s="87" t="s">
        <v>43</v>
      </c>
      <c r="B868" s="87" t="s">
        <v>2163</v>
      </c>
      <c r="C868" s="88">
        <v>0</v>
      </c>
      <c r="D868" s="88">
        <v>0</v>
      </c>
    </row>
    <row r="869" spans="1:9" ht="15" customHeight="1" x14ac:dyDescent="0.25">
      <c r="A869" s="87" t="s">
        <v>43</v>
      </c>
      <c r="B869" s="87" t="s">
        <v>2164</v>
      </c>
      <c r="C869" s="88">
        <v>0</v>
      </c>
      <c r="D869" s="88">
        <v>0</v>
      </c>
    </row>
    <row r="870" spans="1:9" ht="15" customHeight="1" x14ac:dyDescent="0.25">
      <c r="A870" s="87" t="s">
        <v>43</v>
      </c>
      <c r="B870" s="87" t="s">
        <v>2165</v>
      </c>
      <c r="C870" s="88">
        <v>0</v>
      </c>
      <c r="D870" s="88">
        <v>0</v>
      </c>
    </row>
    <row r="871" spans="1:9" ht="15" customHeight="1" x14ac:dyDescent="0.25">
      <c r="A871" s="87" t="s">
        <v>43</v>
      </c>
      <c r="B871" s="87" t="s">
        <v>544</v>
      </c>
      <c r="C871" s="88">
        <v>0</v>
      </c>
      <c r="D871" s="88">
        <v>0</v>
      </c>
    </row>
    <row r="872" spans="1:9" ht="15" customHeight="1" x14ac:dyDescent="0.25">
      <c r="A872" s="87" t="s">
        <v>43</v>
      </c>
      <c r="B872" s="87" t="s">
        <v>2166</v>
      </c>
      <c r="C872" s="88">
        <v>0</v>
      </c>
      <c r="D872" s="88">
        <v>0</v>
      </c>
    </row>
    <row r="873" spans="1:9" ht="15" customHeight="1" x14ac:dyDescent="0.25">
      <c r="A873" s="87" t="s">
        <v>43</v>
      </c>
      <c r="B873" s="87" t="s">
        <v>2157</v>
      </c>
      <c r="C873" s="88">
        <v>0</v>
      </c>
      <c r="D873" s="88">
        <v>0</v>
      </c>
    </row>
    <row r="874" spans="1:9" ht="15" customHeight="1" x14ac:dyDescent="0.25">
      <c r="A874" s="87" t="s">
        <v>43</v>
      </c>
      <c r="B874" s="87" t="s">
        <v>2167</v>
      </c>
      <c r="C874" s="88">
        <v>0</v>
      </c>
      <c r="D874" s="88">
        <v>0</v>
      </c>
    </row>
    <row r="875" spans="1:9" ht="15" customHeight="1" x14ac:dyDescent="0.25">
      <c r="A875" s="87" t="s">
        <v>43</v>
      </c>
      <c r="B875" s="87" t="s">
        <v>2168</v>
      </c>
      <c r="C875" s="88">
        <v>0</v>
      </c>
      <c r="D875" s="88">
        <v>0</v>
      </c>
    </row>
    <row r="876" spans="1:9" ht="15" customHeight="1" x14ac:dyDescent="0.25">
      <c r="A876" s="87" t="s">
        <v>43</v>
      </c>
      <c r="B876" s="87" t="s">
        <v>2169</v>
      </c>
      <c r="C876" s="88">
        <v>0</v>
      </c>
      <c r="D876" s="88">
        <v>0</v>
      </c>
      <c r="G876" t="s">
        <v>1707</v>
      </c>
      <c r="H876">
        <v>0</v>
      </c>
      <c r="I876">
        <v>0</v>
      </c>
    </row>
    <row r="878" spans="1:9" ht="15" customHeight="1" x14ac:dyDescent="0.25">
      <c r="A878" s="87" t="s">
        <v>44</v>
      </c>
      <c r="B878" s="87" t="s">
        <v>830</v>
      </c>
      <c r="C878" s="88">
        <v>0</v>
      </c>
      <c r="D878" s="88">
        <v>0</v>
      </c>
    </row>
    <row r="879" spans="1:9" ht="15" customHeight="1" x14ac:dyDescent="0.25">
      <c r="A879" s="87" t="s">
        <v>44</v>
      </c>
      <c r="B879" s="87" t="s">
        <v>1110</v>
      </c>
      <c r="C879" s="88">
        <v>0</v>
      </c>
      <c r="D879" s="88">
        <v>0</v>
      </c>
    </row>
    <row r="880" spans="1:9" ht="15" customHeight="1" x14ac:dyDescent="0.25">
      <c r="A880" s="87" t="s">
        <v>44</v>
      </c>
      <c r="B880" s="87" t="s">
        <v>887</v>
      </c>
      <c r="C880" s="88">
        <v>0</v>
      </c>
      <c r="D880" s="88">
        <v>0</v>
      </c>
    </row>
    <row r="881" spans="1:9" ht="15" customHeight="1" x14ac:dyDescent="0.25">
      <c r="A881" s="87" t="s">
        <v>44</v>
      </c>
      <c r="B881" s="87" t="s">
        <v>896</v>
      </c>
      <c r="C881" s="88">
        <v>0</v>
      </c>
      <c r="D881" s="88">
        <v>0</v>
      </c>
    </row>
    <row r="882" spans="1:9" ht="15" customHeight="1" x14ac:dyDescent="0.25">
      <c r="A882" s="87" t="s">
        <v>44</v>
      </c>
      <c r="B882" s="87" t="s">
        <v>33</v>
      </c>
      <c r="C882" s="88">
        <v>0</v>
      </c>
      <c r="D882" s="88">
        <v>0</v>
      </c>
    </row>
    <row r="883" spans="1:9" ht="15" customHeight="1" x14ac:dyDescent="0.25">
      <c r="A883" s="87" t="s">
        <v>44</v>
      </c>
      <c r="B883" s="87" t="s">
        <v>154</v>
      </c>
      <c r="C883" s="88">
        <v>0</v>
      </c>
      <c r="D883" s="88">
        <v>0</v>
      </c>
    </row>
    <row r="884" spans="1:9" ht="15" customHeight="1" x14ac:dyDescent="0.25">
      <c r="A884" s="87" t="s">
        <v>44</v>
      </c>
      <c r="B884" s="87" t="s">
        <v>918</v>
      </c>
      <c r="C884" s="88">
        <v>0</v>
      </c>
      <c r="D884" s="88">
        <v>0</v>
      </c>
    </row>
    <row r="885" spans="1:9" ht="15" customHeight="1" x14ac:dyDescent="0.25">
      <c r="A885" s="87" t="s">
        <v>44</v>
      </c>
      <c r="B885" s="87" t="s">
        <v>156</v>
      </c>
      <c r="C885" s="88">
        <v>0</v>
      </c>
      <c r="D885" s="88">
        <v>0</v>
      </c>
    </row>
    <row r="886" spans="1:9" ht="15" customHeight="1" x14ac:dyDescent="0.25">
      <c r="A886" s="87" t="s">
        <v>44</v>
      </c>
      <c r="B886" s="87" t="s">
        <v>840</v>
      </c>
      <c r="C886" s="88">
        <v>0</v>
      </c>
      <c r="D886" s="88">
        <v>0</v>
      </c>
    </row>
    <row r="887" spans="1:9" ht="15" customHeight="1" x14ac:dyDescent="0.25">
      <c r="A887" s="87" t="s">
        <v>44</v>
      </c>
      <c r="B887" s="87" t="s">
        <v>1113</v>
      </c>
      <c r="C887" s="88">
        <v>0</v>
      </c>
      <c r="D887" s="88">
        <v>0</v>
      </c>
    </row>
    <row r="888" spans="1:9" ht="51" customHeight="1" x14ac:dyDescent="0.25">
      <c r="A888" s="87" t="s">
        <v>44</v>
      </c>
      <c r="B888" s="87" t="s">
        <v>941</v>
      </c>
      <c r="C888" s="88">
        <v>3</v>
      </c>
      <c r="D888" s="88">
        <v>0</v>
      </c>
      <c r="E888" s="89" t="s">
        <v>2170</v>
      </c>
    </row>
    <row r="889" spans="1:9" ht="38.25" customHeight="1" x14ac:dyDescent="0.25">
      <c r="A889" s="87" t="s">
        <v>44</v>
      </c>
      <c r="B889" s="87" t="s">
        <v>947</v>
      </c>
      <c r="C889" s="88">
        <v>0</v>
      </c>
      <c r="D889" s="88">
        <v>3</v>
      </c>
      <c r="F889" s="89" t="s">
        <v>2171</v>
      </c>
    </row>
    <row r="890" spans="1:9" ht="15" customHeight="1" x14ac:dyDescent="0.25">
      <c r="G890" t="s">
        <v>1707</v>
      </c>
      <c r="H890">
        <v>3</v>
      </c>
      <c r="I890">
        <v>3</v>
      </c>
    </row>
    <row r="891" spans="1:9" ht="15" customHeight="1" x14ac:dyDescent="0.25">
      <c r="A891" s="87" t="s">
        <v>45</v>
      </c>
      <c r="B891" s="87" t="s">
        <v>789</v>
      </c>
      <c r="C891" s="88">
        <v>0</v>
      </c>
      <c r="D891" s="88">
        <v>0</v>
      </c>
    </row>
    <row r="892" spans="1:9" ht="15" customHeight="1" x14ac:dyDescent="0.25">
      <c r="A892" s="87" t="s">
        <v>45</v>
      </c>
      <c r="B892" s="87" t="s">
        <v>113</v>
      </c>
      <c r="C892" s="88">
        <v>0</v>
      </c>
      <c r="D892" s="88">
        <v>0</v>
      </c>
    </row>
    <row r="893" spans="1:9" ht="15" customHeight="1" x14ac:dyDescent="0.25">
      <c r="A893" s="87" t="s">
        <v>45</v>
      </c>
      <c r="B893" s="87" t="s">
        <v>1021</v>
      </c>
      <c r="C893" s="88">
        <v>0</v>
      </c>
      <c r="D893" s="88">
        <v>0</v>
      </c>
    </row>
    <row r="894" spans="1:9" ht="51" customHeight="1" x14ac:dyDescent="0.25">
      <c r="A894" s="87" t="s">
        <v>45</v>
      </c>
      <c r="B894" s="87" t="s">
        <v>1026</v>
      </c>
      <c r="C894" s="88">
        <v>0</v>
      </c>
      <c r="D894" s="88">
        <v>742</v>
      </c>
      <c r="F894" s="89" t="s">
        <v>2172</v>
      </c>
    </row>
    <row r="895" spans="1:9" ht="15" customHeight="1" x14ac:dyDescent="0.25">
      <c r="A895" s="87" t="s">
        <v>45</v>
      </c>
      <c r="B895" s="87" t="s">
        <v>532</v>
      </c>
      <c r="C895" s="88">
        <v>0</v>
      </c>
      <c r="D895" s="88">
        <v>0</v>
      </c>
    </row>
    <row r="896" spans="1:9" ht="15" customHeight="1" x14ac:dyDescent="0.25">
      <c r="A896" s="87" t="s">
        <v>45</v>
      </c>
      <c r="B896" s="87" t="s">
        <v>755</v>
      </c>
      <c r="C896" s="88">
        <v>0</v>
      </c>
      <c r="D896" s="88">
        <v>0</v>
      </c>
    </row>
    <row r="897" spans="1:9" ht="15" customHeight="1" x14ac:dyDescent="0.25">
      <c r="A897" s="87" t="s">
        <v>45</v>
      </c>
      <c r="B897" s="87" t="s">
        <v>1066</v>
      </c>
      <c r="C897" s="88">
        <v>0</v>
      </c>
      <c r="D897" s="88">
        <v>0</v>
      </c>
    </row>
    <row r="898" spans="1:9" ht="15" customHeight="1" x14ac:dyDescent="0.25">
      <c r="A898" s="87" t="s">
        <v>45</v>
      </c>
      <c r="B898" s="87" t="s">
        <v>536</v>
      </c>
      <c r="C898" s="88">
        <v>0</v>
      </c>
      <c r="D898" s="88">
        <v>0</v>
      </c>
    </row>
    <row r="899" spans="1:9" ht="15" customHeight="1" x14ac:dyDescent="0.25">
      <c r="A899" s="87" t="s">
        <v>45</v>
      </c>
      <c r="B899" s="87" t="s">
        <v>1070</v>
      </c>
      <c r="C899" s="88">
        <v>0</v>
      </c>
      <c r="D899" s="88">
        <v>0</v>
      </c>
    </row>
    <row r="900" spans="1:9" ht="63.75" customHeight="1" x14ac:dyDescent="0.25">
      <c r="A900" s="87" t="s">
        <v>45</v>
      </c>
      <c r="B900" s="87" t="s">
        <v>985</v>
      </c>
      <c r="C900" s="88">
        <v>87</v>
      </c>
      <c r="D900" s="88">
        <v>259</v>
      </c>
      <c r="E900" s="89" t="s">
        <v>2173</v>
      </c>
    </row>
    <row r="901" spans="1:9" ht="15" customHeight="1" x14ac:dyDescent="0.25">
      <c r="A901" s="87" t="s">
        <v>45</v>
      </c>
      <c r="B901" s="87" t="s">
        <v>540</v>
      </c>
      <c r="C901" s="88">
        <v>0</v>
      </c>
      <c r="D901" s="88">
        <v>0</v>
      </c>
    </row>
    <row r="902" spans="1:9" ht="15" customHeight="1" x14ac:dyDescent="0.25">
      <c r="A902" s="87" t="s">
        <v>45</v>
      </c>
      <c r="B902" s="87" t="s">
        <v>1176</v>
      </c>
      <c r="C902" s="88">
        <v>0</v>
      </c>
      <c r="D902" s="88">
        <v>0</v>
      </c>
    </row>
    <row r="903" spans="1:9" ht="38.25" customHeight="1" x14ac:dyDescent="0.25">
      <c r="A903" s="87" t="s">
        <v>45</v>
      </c>
      <c r="B903" s="87" t="s">
        <v>1090</v>
      </c>
      <c r="C903" s="88">
        <v>0</v>
      </c>
      <c r="D903" s="88">
        <v>199</v>
      </c>
      <c r="F903" s="89" t="s">
        <v>2174</v>
      </c>
    </row>
    <row r="904" spans="1:9" ht="15" customHeight="1" x14ac:dyDescent="0.25">
      <c r="A904" s="87" t="s">
        <v>45</v>
      </c>
      <c r="B904" s="87" t="s">
        <v>760</v>
      </c>
      <c r="C904" s="88">
        <v>0</v>
      </c>
      <c r="D904" s="88">
        <v>0</v>
      </c>
      <c r="G904" t="s">
        <v>1707</v>
      </c>
      <c r="H904">
        <v>87</v>
      </c>
      <c r="I904">
        <v>1200</v>
      </c>
    </row>
    <row r="906" spans="1:9" ht="15" customHeight="1" x14ac:dyDescent="0.25">
      <c r="A906" s="87" t="s">
        <v>2175</v>
      </c>
      <c r="B906" s="87" t="s">
        <v>1549</v>
      </c>
      <c r="C906" s="88">
        <v>0</v>
      </c>
      <c r="D906" s="88">
        <v>0</v>
      </c>
    </row>
    <row r="907" spans="1:9" ht="15" customHeight="1" x14ac:dyDescent="0.25">
      <c r="A907" s="87" t="s">
        <v>2175</v>
      </c>
      <c r="B907" s="87" t="s">
        <v>1527</v>
      </c>
      <c r="C907" s="88">
        <v>0</v>
      </c>
      <c r="D907" s="88">
        <v>0</v>
      </c>
      <c r="G907" t="s">
        <v>1707</v>
      </c>
      <c r="H907">
        <v>0</v>
      </c>
      <c r="I907">
        <v>0</v>
      </c>
    </row>
    <row r="909" spans="1:9" ht="15" customHeight="1" x14ac:dyDescent="0.25">
      <c r="A909" s="87" t="s">
        <v>46</v>
      </c>
      <c r="B909" s="87" t="s">
        <v>2176</v>
      </c>
      <c r="C909" s="88">
        <v>0</v>
      </c>
      <c r="D909" s="88">
        <v>0</v>
      </c>
    </row>
    <row r="910" spans="1:9" ht="15" customHeight="1" x14ac:dyDescent="0.25">
      <c r="A910" s="87" t="s">
        <v>46</v>
      </c>
      <c r="B910" s="87" t="s">
        <v>1917</v>
      </c>
      <c r="C910" s="88">
        <v>0</v>
      </c>
      <c r="D910" s="88">
        <v>0</v>
      </c>
    </row>
    <row r="911" spans="1:9" ht="15" customHeight="1" x14ac:dyDescent="0.25">
      <c r="A911" s="87" t="s">
        <v>46</v>
      </c>
      <c r="B911" s="87" t="s">
        <v>2177</v>
      </c>
      <c r="C911" s="88">
        <v>0</v>
      </c>
      <c r="D911" s="88">
        <v>0</v>
      </c>
    </row>
    <row r="912" spans="1:9" ht="15" customHeight="1" x14ac:dyDescent="0.25">
      <c r="A912" s="87" t="s">
        <v>46</v>
      </c>
      <c r="B912" s="87" t="s">
        <v>876</v>
      </c>
      <c r="C912" s="88">
        <v>0</v>
      </c>
      <c r="D912" s="88">
        <v>0</v>
      </c>
    </row>
    <row r="913" spans="1:4" ht="15" customHeight="1" x14ac:dyDescent="0.25">
      <c r="A913" s="87" t="s">
        <v>46</v>
      </c>
      <c r="B913" s="87" t="s">
        <v>2178</v>
      </c>
      <c r="C913" s="88">
        <v>0</v>
      </c>
      <c r="D913" s="88">
        <v>0</v>
      </c>
    </row>
    <row r="914" spans="1:4" ht="15" customHeight="1" x14ac:dyDescent="0.25">
      <c r="A914" s="87" t="s">
        <v>46</v>
      </c>
      <c r="B914" s="87" t="s">
        <v>152</v>
      </c>
      <c r="C914" s="88">
        <v>0</v>
      </c>
      <c r="D914" s="88">
        <v>0</v>
      </c>
    </row>
    <row r="915" spans="1:4" ht="15" customHeight="1" x14ac:dyDescent="0.25">
      <c r="A915" s="87" t="s">
        <v>46</v>
      </c>
      <c r="B915" s="87" t="s">
        <v>883</v>
      </c>
      <c r="C915" s="88">
        <v>0</v>
      </c>
      <c r="D915" s="88">
        <v>0</v>
      </c>
    </row>
    <row r="916" spans="1:4" ht="15" customHeight="1" x14ac:dyDescent="0.25">
      <c r="A916" s="87" t="s">
        <v>46</v>
      </c>
      <c r="B916" s="87" t="s">
        <v>19</v>
      </c>
      <c r="C916" s="88">
        <v>0</v>
      </c>
      <c r="D916" s="88">
        <v>0</v>
      </c>
    </row>
    <row r="917" spans="1:4" ht="15" customHeight="1" x14ac:dyDescent="0.25">
      <c r="A917" s="87" t="s">
        <v>46</v>
      </c>
      <c r="B917" s="87" t="s">
        <v>1182</v>
      </c>
      <c r="C917" s="88">
        <v>0</v>
      </c>
      <c r="D917" s="88">
        <v>0</v>
      </c>
    </row>
    <row r="918" spans="1:4" ht="15" customHeight="1" x14ac:dyDescent="0.25">
      <c r="A918" s="87" t="s">
        <v>46</v>
      </c>
      <c r="B918" s="87" t="s">
        <v>735</v>
      </c>
      <c r="C918" s="88">
        <v>0</v>
      </c>
      <c r="D918" s="88">
        <v>0</v>
      </c>
    </row>
    <row r="919" spans="1:4" ht="15" customHeight="1" x14ac:dyDescent="0.25">
      <c r="A919" s="87" t="s">
        <v>46</v>
      </c>
      <c r="B919" s="87" t="s">
        <v>2179</v>
      </c>
      <c r="C919" s="88">
        <v>0</v>
      </c>
      <c r="D919" s="88">
        <v>0</v>
      </c>
    </row>
    <row r="920" spans="1:4" ht="15" customHeight="1" x14ac:dyDescent="0.25">
      <c r="A920" s="87" t="s">
        <v>46</v>
      </c>
      <c r="B920" s="87" t="s">
        <v>2180</v>
      </c>
      <c r="C920" s="88">
        <v>0</v>
      </c>
      <c r="D920" s="88">
        <v>0</v>
      </c>
    </row>
    <row r="921" spans="1:4" ht="15" customHeight="1" x14ac:dyDescent="0.25">
      <c r="A921" s="87" t="s">
        <v>46</v>
      </c>
      <c r="B921" s="87" t="s">
        <v>2181</v>
      </c>
      <c r="C921" s="88">
        <v>0</v>
      </c>
      <c r="D921" s="88">
        <v>0</v>
      </c>
    </row>
    <row r="922" spans="1:4" ht="15" customHeight="1" x14ac:dyDescent="0.25">
      <c r="A922" s="87" t="s">
        <v>46</v>
      </c>
      <c r="B922" s="87" t="s">
        <v>2182</v>
      </c>
      <c r="C922" s="88">
        <v>0</v>
      </c>
      <c r="D922" s="88">
        <v>0</v>
      </c>
    </row>
    <row r="923" spans="1:4" ht="15" customHeight="1" x14ac:dyDescent="0.25">
      <c r="A923" s="87" t="s">
        <v>46</v>
      </c>
      <c r="B923" s="87" t="s">
        <v>2183</v>
      </c>
      <c r="C923" s="88">
        <v>0</v>
      </c>
      <c r="D923" s="88">
        <v>0</v>
      </c>
    </row>
    <row r="924" spans="1:4" ht="15" customHeight="1" x14ac:dyDescent="0.25">
      <c r="A924" s="87" t="s">
        <v>46</v>
      </c>
      <c r="B924" s="87" t="s">
        <v>1394</v>
      </c>
      <c r="C924" s="88">
        <v>0</v>
      </c>
      <c r="D924" s="88">
        <v>0</v>
      </c>
    </row>
    <row r="925" spans="1:4" ht="15" customHeight="1" x14ac:dyDescent="0.25">
      <c r="A925" s="87" t="s">
        <v>46</v>
      </c>
      <c r="B925" s="87" t="s">
        <v>2184</v>
      </c>
      <c r="C925" s="88">
        <v>0</v>
      </c>
      <c r="D925" s="88">
        <v>0</v>
      </c>
    </row>
    <row r="926" spans="1:4" ht="15" customHeight="1" x14ac:dyDescent="0.25">
      <c r="A926" s="87" t="s">
        <v>46</v>
      </c>
      <c r="B926" s="87" t="s">
        <v>2185</v>
      </c>
      <c r="C926" s="88">
        <v>0</v>
      </c>
      <c r="D926" s="88">
        <v>0</v>
      </c>
    </row>
    <row r="927" spans="1:4" ht="15" customHeight="1" x14ac:dyDescent="0.25">
      <c r="A927" s="87" t="s">
        <v>46</v>
      </c>
      <c r="B927" s="87" t="s">
        <v>2186</v>
      </c>
      <c r="C927" s="88">
        <v>0</v>
      </c>
      <c r="D927" s="88">
        <v>0</v>
      </c>
    </row>
    <row r="928" spans="1:4" ht="15" customHeight="1" x14ac:dyDescent="0.25">
      <c r="A928" s="87" t="s">
        <v>46</v>
      </c>
      <c r="B928" s="87" t="s">
        <v>1398</v>
      </c>
      <c r="C928" s="88">
        <v>0</v>
      </c>
      <c r="D928" s="88">
        <v>0</v>
      </c>
    </row>
    <row r="929" spans="1:4" ht="15" customHeight="1" x14ac:dyDescent="0.25">
      <c r="A929" s="87" t="s">
        <v>46</v>
      </c>
      <c r="B929" s="87" t="s">
        <v>900</v>
      </c>
      <c r="C929" s="88">
        <v>0</v>
      </c>
      <c r="D929" s="88">
        <v>0</v>
      </c>
    </row>
    <row r="930" spans="1:4" ht="15" customHeight="1" x14ac:dyDescent="0.25">
      <c r="A930" s="87" t="s">
        <v>46</v>
      </c>
      <c r="B930" s="87" t="s">
        <v>629</v>
      </c>
      <c r="C930" s="88">
        <v>0</v>
      </c>
      <c r="D930" s="88">
        <v>0</v>
      </c>
    </row>
    <row r="931" spans="1:4" ht="15" customHeight="1" x14ac:dyDescent="0.25">
      <c r="A931" s="87" t="s">
        <v>46</v>
      </c>
      <c r="B931" s="87" t="s">
        <v>2187</v>
      </c>
      <c r="C931" s="88">
        <v>0</v>
      </c>
      <c r="D931" s="88">
        <v>0</v>
      </c>
    </row>
    <row r="932" spans="1:4" ht="15" customHeight="1" x14ac:dyDescent="0.25">
      <c r="A932" s="87" t="s">
        <v>46</v>
      </c>
      <c r="B932" s="87" t="s">
        <v>631</v>
      </c>
      <c r="C932" s="88">
        <v>0</v>
      </c>
      <c r="D932" s="88">
        <v>0</v>
      </c>
    </row>
    <row r="933" spans="1:4" ht="15" customHeight="1" x14ac:dyDescent="0.25">
      <c r="A933" s="87" t="s">
        <v>46</v>
      </c>
      <c r="B933" s="87" t="s">
        <v>2188</v>
      </c>
      <c r="C933" s="88">
        <v>0</v>
      </c>
      <c r="D933" s="88">
        <v>0</v>
      </c>
    </row>
    <row r="934" spans="1:4" ht="15" customHeight="1" x14ac:dyDescent="0.25">
      <c r="A934" s="87" t="s">
        <v>46</v>
      </c>
      <c r="B934" s="87" t="s">
        <v>2189</v>
      </c>
      <c r="C934" s="88">
        <v>0</v>
      </c>
      <c r="D934" s="88">
        <v>0</v>
      </c>
    </row>
    <row r="935" spans="1:4" ht="15" customHeight="1" x14ac:dyDescent="0.25">
      <c r="A935" s="87" t="s">
        <v>46</v>
      </c>
      <c r="B935" s="87" t="s">
        <v>1420</v>
      </c>
      <c r="C935" s="88">
        <v>0</v>
      </c>
      <c r="D935" s="88">
        <v>0</v>
      </c>
    </row>
    <row r="936" spans="1:4" ht="15" customHeight="1" x14ac:dyDescent="0.25">
      <c r="A936" s="87" t="s">
        <v>46</v>
      </c>
      <c r="B936" s="87" t="s">
        <v>1786</v>
      </c>
      <c r="C936" s="88">
        <v>0</v>
      </c>
      <c r="D936" s="88">
        <v>0</v>
      </c>
    </row>
    <row r="937" spans="1:4" ht="15" customHeight="1" x14ac:dyDescent="0.25">
      <c r="A937" s="87" t="s">
        <v>46</v>
      </c>
      <c r="B937" s="87" t="s">
        <v>1423</v>
      </c>
      <c r="C937" s="88">
        <v>0</v>
      </c>
      <c r="D937" s="88">
        <v>0</v>
      </c>
    </row>
    <row r="938" spans="1:4" ht="15" customHeight="1" x14ac:dyDescent="0.25">
      <c r="A938" s="87" t="s">
        <v>46</v>
      </c>
      <c r="B938" s="87" t="s">
        <v>2190</v>
      </c>
      <c r="C938" s="88">
        <v>0</v>
      </c>
      <c r="D938" s="88">
        <v>0</v>
      </c>
    </row>
    <row r="939" spans="1:4" ht="15" customHeight="1" x14ac:dyDescent="0.25">
      <c r="A939" s="87" t="s">
        <v>46</v>
      </c>
      <c r="B939" s="87" t="s">
        <v>2191</v>
      </c>
      <c r="C939" s="88">
        <v>0</v>
      </c>
      <c r="D939" s="88">
        <v>0</v>
      </c>
    </row>
    <row r="940" spans="1:4" ht="15" customHeight="1" x14ac:dyDescent="0.25">
      <c r="A940" s="87" t="s">
        <v>46</v>
      </c>
      <c r="B940" s="87" t="s">
        <v>2192</v>
      </c>
      <c r="C940" s="88">
        <v>0</v>
      </c>
      <c r="D940" s="88">
        <v>0</v>
      </c>
    </row>
    <row r="941" spans="1:4" ht="15" customHeight="1" x14ac:dyDescent="0.25">
      <c r="A941" s="87" t="s">
        <v>46</v>
      </c>
      <c r="B941" s="87" t="s">
        <v>1184</v>
      </c>
      <c r="C941" s="88">
        <v>0</v>
      </c>
      <c r="D941" s="88">
        <v>0</v>
      </c>
    </row>
    <row r="942" spans="1:4" ht="15" customHeight="1" x14ac:dyDescent="0.25">
      <c r="A942" s="87" t="s">
        <v>46</v>
      </c>
      <c r="B942" s="87" t="s">
        <v>2193</v>
      </c>
      <c r="C942" s="88">
        <v>0</v>
      </c>
      <c r="D942" s="88">
        <v>0</v>
      </c>
    </row>
    <row r="943" spans="1:4" ht="15" customHeight="1" x14ac:dyDescent="0.25">
      <c r="A943" s="87" t="s">
        <v>46</v>
      </c>
      <c r="B943" s="87" t="s">
        <v>2194</v>
      </c>
      <c r="C943" s="88">
        <v>0</v>
      </c>
      <c r="D943" s="88">
        <v>0</v>
      </c>
    </row>
    <row r="944" spans="1:4" ht="15" customHeight="1" x14ac:dyDescent="0.25">
      <c r="A944" s="87" t="s">
        <v>46</v>
      </c>
      <c r="B944" s="87" t="s">
        <v>1443</v>
      </c>
      <c r="C944" s="88">
        <v>0</v>
      </c>
      <c r="D944" s="88">
        <v>0</v>
      </c>
    </row>
    <row r="945" spans="1:4" ht="15" customHeight="1" x14ac:dyDescent="0.25">
      <c r="A945" s="87" t="s">
        <v>46</v>
      </c>
      <c r="B945" s="87" t="s">
        <v>2195</v>
      </c>
      <c r="C945" s="88">
        <v>0</v>
      </c>
      <c r="D945" s="88">
        <v>0</v>
      </c>
    </row>
    <row r="946" spans="1:4" ht="15" customHeight="1" x14ac:dyDescent="0.25">
      <c r="A946" s="87" t="s">
        <v>46</v>
      </c>
      <c r="B946" s="87" t="s">
        <v>1448</v>
      </c>
      <c r="C946" s="88">
        <v>0</v>
      </c>
      <c r="D946" s="88">
        <v>0</v>
      </c>
    </row>
    <row r="947" spans="1:4" ht="15" customHeight="1" x14ac:dyDescent="0.25">
      <c r="A947" s="87" t="s">
        <v>46</v>
      </c>
      <c r="B947" s="87" t="s">
        <v>1452</v>
      </c>
      <c r="C947" s="88">
        <v>0</v>
      </c>
      <c r="D947" s="88">
        <v>0</v>
      </c>
    </row>
    <row r="948" spans="1:4" ht="15" customHeight="1" x14ac:dyDescent="0.25">
      <c r="A948" s="87" t="s">
        <v>46</v>
      </c>
      <c r="B948" s="87" t="s">
        <v>2196</v>
      </c>
      <c r="C948" s="88">
        <v>0</v>
      </c>
      <c r="D948" s="88">
        <v>0</v>
      </c>
    </row>
    <row r="949" spans="1:4" ht="15" customHeight="1" x14ac:dyDescent="0.25">
      <c r="A949" s="87" t="s">
        <v>46</v>
      </c>
      <c r="B949" s="87" t="s">
        <v>2197</v>
      </c>
      <c r="C949" s="88">
        <v>0</v>
      </c>
      <c r="D949" s="88">
        <v>0</v>
      </c>
    </row>
    <row r="950" spans="1:4" ht="15" customHeight="1" x14ac:dyDescent="0.25">
      <c r="A950" s="87" t="s">
        <v>46</v>
      </c>
      <c r="B950" s="87" t="s">
        <v>2198</v>
      </c>
      <c r="C950" s="88">
        <v>0</v>
      </c>
      <c r="D950" s="88">
        <v>0</v>
      </c>
    </row>
    <row r="951" spans="1:4" ht="15" customHeight="1" x14ac:dyDescent="0.25">
      <c r="A951" s="87" t="s">
        <v>46</v>
      </c>
      <c r="B951" s="87" t="s">
        <v>2199</v>
      </c>
      <c r="C951" s="88">
        <v>0</v>
      </c>
      <c r="D951" s="88">
        <v>0</v>
      </c>
    </row>
    <row r="952" spans="1:4" ht="15" customHeight="1" x14ac:dyDescent="0.25">
      <c r="A952" s="87" t="s">
        <v>46</v>
      </c>
      <c r="B952" s="87" t="s">
        <v>2200</v>
      </c>
      <c r="C952" s="88">
        <v>0</v>
      </c>
      <c r="D952" s="88">
        <v>0</v>
      </c>
    </row>
    <row r="953" spans="1:4" ht="15" customHeight="1" x14ac:dyDescent="0.25">
      <c r="A953" s="87" t="s">
        <v>46</v>
      </c>
      <c r="B953" s="87" t="s">
        <v>2201</v>
      </c>
      <c r="C953" s="88">
        <v>0</v>
      </c>
      <c r="D953" s="88">
        <v>0</v>
      </c>
    </row>
    <row r="954" spans="1:4" ht="15" customHeight="1" x14ac:dyDescent="0.25">
      <c r="A954" s="87" t="s">
        <v>46</v>
      </c>
      <c r="B954" s="87" t="s">
        <v>2202</v>
      </c>
      <c r="C954" s="88">
        <v>0</v>
      </c>
      <c r="D954" s="88">
        <v>0</v>
      </c>
    </row>
    <row r="955" spans="1:4" ht="15" customHeight="1" x14ac:dyDescent="0.25">
      <c r="A955" s="87" t="s">
        <v>46</v>
      </c>
      <c r="B955" s="87" t="s">
        <v>2203</v>
      </c>
      <c r="C955" s="88">
        <v>0</v>
      </c>
      <c r="D955" s="88">
        <v>0</v>
      </c>
    </row>
    <row r="956" spans="1:4" ht="15" customHeight="1" x14ac:dyDescent="0.25">
      <c r="A956" s="87" t="s">
        <v>46</v>
      </c>
      <c r="B956" s="87" t="s">
        <v>2204</v>
      </c>
      <c r="C956" s="88">
        <v>0</v>
      </c>
      <c r="D956" s="88">
        <v>0</v>
      </c>
    </row>
    <row r="957" spans="1:4" ht="15" customHeight="1" x14ac:dyDescent="0.25">
      <c r="A957" s="87" t="s">
        <v>46</v>
      </c>
      <c r="B957" s="87" t="s">
        <v>1297</v>
      </c>
      <c r="C957" s="88">
        <v>0</v>
      </c>
      <c r="D957" s="88">
        <v>0</v>
      </c>
    </row>
    <row r="958" spans="1:4" ht="15" customHeight="1" x14ac:dyDescent="0.25">
      <c r="A958" s="87" t="s">
        <v>46</v>
      </c>
      <c r="B958" s="87" t="s">
        <v>2205</v>
      </c>
      <c r="C958" s="88">
        <v>0</v>
      </c>
      <c r="D958" s="88">
        <v>0</v>
      </c>
    </row>
    <row r="959" spans="1:4" ht="15" customHeight="1" x14ac:dyDescent="0.25">
      <c r="A959" s="87" t="s">
        <v>46</v>
      </c>
      <c r="B959" s="87" t="s">
        <v>2206</v>
      </c>
      <c r="C959" s="88">
        <v>0</v>
      </c>
      <c r="D959" s="88">
        <v>0</v>
      </c>
    </row>
    <row r="960" spans="1:4" ht="15" customHeight="1" x14ac:dyDescent="0.25">
      <c r="A960" s="87" t="s">
        <v>46</v>
      </c>
      <c r="B960" s="87" t="s">
        <v>2207</v>
      </c>
      <c r="C960" s="88">
        <v>0</v>
      </c>
      <c r="D960" s="88">
        <v>0</v>
      </c>
    </row>
    <row r="961" spans="1:4" ht="15" customHeight="1" x14ac:dyDescent="0.25">
      <c r="A961" s="87" t="s">
        <v>46</v>
      </c>
      <c r="B961" s="87" t="s">
        <v>1499</v>
      </c>
      <c r="C961" s="88">
        <v>0</v>
      </c>
      <c r="D961" s="88">
        <v>0</v>
      </c>
    </row>
    <row r="962" spans="1:4" ht="15" customHeight="1" x14ac:dyDescent="0.25">
      <c r="A962" s="87" t="s">
        <v>46</v>
      </c>
      <c r="B962" s="87" t="s">
        <v>2208</v>
      </c>
      <c r="C962" s="88">
        <v>0</v>
      </c>
      <c r="D962" s="88">
        <v>0</v>
      </c>
    </row>
    <row r="963" spans="1:4" ht="15" customHeight="1" x14ac:dyDescent="0.25">
      <c r="A963" s="87" t="s">
        <v>46</v>
      </c>
      <c r="B963" s="87" t="s">
        <v>2209</v>
      </c>
      <c r="C963" s="88">
        <v>0</v>
      </c>
      <c r="D963" s="88">
        <v>0</v>
      </c>
    </row>
    <row r="964" spans="1:4" ht="15" customHeight="1" x14ac:dyDescent="0.25">
      <c r="A964" s="87" t="s">
        <v>46</v>
      </c>
      <c r="B964" s="87" t="s">
        <v>2210</v>
      </c>
      <c r="C964" s="88">
        <v>0</v>
      </c>
      <c r="D964" s="88">
        <v>0</v>
      </c>
    </row>
    <row r="965" spans="1:4" ht="15" customHeight="1" x14ac:dyDescent="0.25">
      <c r="A965" s="87" t="s">
        <v>46</v>
      </c>
      <c r="B965" s="87" t="s">
        <v>2211</v>
      </c>
      <c r="C965" s="88">
        <v>0</v>
      </c>
      <c r="D965" s="88">
        <v>0</v>
      </c>
    </row>
    <row r="966" spans="1:4" ht="15" customHeight="1" x14ac:dyDescent="0.25">
      <c r="A966" s="87" t="s">
        <v>46</v>
      </c>
      <c r="B966" s="87" t="s">
        <v>2212</v>
      </c>
      <c r="C966" s="88">
        <v>0</v>
      </c>
      <c r="D966" s="88">
        <v>0</v>
      </c>
    </row>
    <row r="967" spans="1:4" ht="15" customHeight="1" x14ac:dyDescent="0.25">
      <c r="A967" s="87" t="s">
        <v>46</v>
      </c>
      <c r="B967" s="87" t="s">
        <v>2213</v>
      </c>
      <c r="C967" s="88">
        <v>0</v>
      </c>
      <c r="D967" s="88">
        <v>0</v>
      </c>
    </row>
    <row r="968" spans="1:4" ht="15" customHeight="1" x14ac:dyDescent="0.25">
      <c r="A968" s="87" t="s">
        <v>46</v>
      </c>
      <c r="B968" s="87" t="s">
        <v>1519</v>
      </c>
      <c r="C968" s="88">
        <v>0</v>
      </c>
      <c r="D968" s="88">
        <v>0</v>
      </c>
    </row>
    <row r="969" spans="1:4" ht="15" customHeight="1" x14ac:dyDescent="0.25">
      <c r="A969" s="87" t="s">
        <v>46</v>
      </c>
      <c r="B969" s="87" t="s">
        <v>1521</v>
      </c>
      <c r="C969" s="88">
        <v>0</v>
      </c>
      <c r="D969" s="88">
        <v>0</v>
      </c>
    </row>
    <row r="970" spans="1:4" ht="15" customHeight="1" x14ac:dyDescent="0.25">
      <c r="A970" s="87" t="s">
        <v>46</v>
      </c>
      <c r="B970" s="87" t="s">
        <v>1312</v>
      </c>
      <c r="C970" s="88">
        <v>0</v>
      </c>
      <c r="D970" s="88">
        <v>0</v>
      </c>
    </row>
    <row r="971" spans="1:4" ht="15" customHeight="1" x14ac:dyDescent="0.25">
      <c r="A971" s="87" t="s">
        <v>46</v>
      </c>
      <c r="B971" s="87" t="s">
        <v>2214</v>
      </c>
      <c r="C971" s="88">
        <v>0</v>
      </c>
      <c r="D971" s="88">
        <v>0</v>
      </c>
    </row>
    <row r="972" spans="1:4" ht="15" customHeight="1" x14ac:dyDescent="0.25">
      <c r="A972" s="87" t="s">
        <v>46</v>
      </c>
      <c r="B972" s="87" t="s">
        <v>2215</v>
      </c>
      <c r="C972" s="88">
        <v>0</v>
      </c>
      <c r="D972" s="88">
        <v>0</v>
      </c>
    </row>
    <row r="973" spans="1:4" ht="15" customHeight="1" x14ac:dyDescent="0.25">
      <c r="A973" s="87" t="s">
        <v>46</v>
      </c>
      <c r="B973" s="87" t="s">
        <v>2216</v>
      </c>
      <c r="C973" s="88">
        <v>0</v>
      </c>
      <c r="D973" s="88">
        <v>0</v>
      </c>
    </row>
    <row r="974" spans="1:4" ht="15" customHeight="1" x14ac:dyDescent="0.25">
      <c r="A974" s="87" t="s">
        <v>46</v>
      </c>
      <c r="B974" s="87" t="s">
        <v>945</v>
      </c>
      <c r="C974" s="88">
        <v>0</v>
      </c>
      <c r="D974" s="88">
        <v>0</v>
      </c>
    </row>
    <row r="975" spans="1:4" ht="15" customHeight="1" x14ac:dyDescent="0.25">
      <c r="A975" s="87" t="s">
        <v>46</v>
      </c>
      <c r="B975" s="87" t="s">
        <v>1541</v>
      </c>
      <c r="C975" s="88">
        <v>0</v>
      </c>
      <c r="D975" s="88">
        <v>0</v>
      </c>
    </row>
    <row r="976" spans="1:4" ht="15" customHeight="1" x14ac:dyDescent="0.25">
      <c r="A976" s="87" t="s">
        <v>46</v>
      </c>
      <c r="B976" s="87" t="s">
        <v>1549</v>
      </c>
      <c r="C976" s="88">
        <v>0</v>
      </c>
      <c r="D976" s="88">
        <v>0</v>
      </c>
    </row>
    <row r="977" spans="1:4" ht="15" customHeight="1" x14ac:dyDescent="0.25">
      <c r="A977" s="87" t="s">
        <v>46</v>
      </c>
      <c r="B977" s="87" t="s">
        <v>2217</v>
      </c>
      <c r="C977" s="88">
        <v>0</v>
      </c>
      <c r="D977" s="88">
        <v>0</v>
      </c>
    </row>
    <row r="978" spans="1:4" ht="15" customHeight="1" x14ac:dyDescent="0.25">
      <c r="A978" s="87" t="s">
        <v>46</v>
      </c>
      <c r="B978" s="87" t="s">
        <v>1276</v>
      </c>
      <c r="C978" s="88">
        <v>0</v>
      </c>
      <c r="D978" s="88">
        <v>0</v>
      </c>
    </row>
    <row r="979" spans="1:4" ht="15" customHeight="1" x14ac:dyDescent="0.25">
      <c r="A979" s="87" t="s">
        <v>46</v>
      </c>
      <c r="B979" s="87" t="s">
        <v>2218</v>
      </c>
      <c r="C979" s="88">
        <v>0</v>
      </c>
      <c r="D979" s="88">
        <v>0</v>
      </c>
    </row>
    <row r="980" spans="1:4" ht="15" customHeight="1" x14ac:dyDescent="0.25">
      <c r="A980" s="87" t="s">
        <v>46</v>
      </c>
      <c r="B980" s="87" t="s">
        <v>2219</v>
      </c>
      <c r="C980" s="88">
        <v>0</v>
      </c>
      <c r="D980" s="88">
        <v>0</v>
      </c>
    </row>
    <row r="981" spans="1:4" ht="15" customHeight="1" x14ac:dyDescent="0.25">
      <c r="A981" s="87" t="s">
        <v>46</v>
      </c>
      <c r="B981" s="87" t="s">
        <v>2220</v>
      </c>
      <c r="C981" s="88">
        <v>0</v>
      </c>
      <c r="D981" s="88">
        <v>0</v>
      </c>
    </row>
    <row r="982" spans="1:4" ht="15" customHeight="1" x14ac:dyDescent="0.25">
      <c r="A982" s="87" t="s">
        <v>46</v>
      </c>
      <c r="B982" s="87" t="s">
        <v>2221</v>
      </c>
      <c r="C982" s="88">
        <v>0</v>
      </c>
      <c r="D982" s="88">
        <v>0</v>
      </c>
    </row>
    <row r="983" spans="1:4" ht="15" customHeight="1" x14ac:dyDescent="0.25">
      <c r="A983" s="87" t="s">
        <v>46</v>
      </c>
      <c r="B983" s="87" t="s">
        <v>956</v>
      </c>
      <c r="C983" s="88">
        <v>0</v>
      </c>
      <c r="D983" s="88">
        <v>0</v>
      </c>
    </row>
    <row r="984" spans="1:4" ht="15" customHeight="1" x14ac:dyDescent="0.25">
      <c r="A984" s="87" t="s">
        <v>46</v>
      </c>
      <c r="B984" s="87" t="s">
        <v>1559</v>
      </c>
      <c r="C984" s="88">
        <v>0</v>
      </c>
      <c r="D984" s="88">
        <v>0</v>
      </c>
    </row>
    <row r="985" spans="1:4" ht="15" customHeight="1" x14ac:dyDescent="0.25">
      <c r="A985" s="87" t="s">
        <v>46</v>
      </c>
      <c r="B985" s="87" t="s">
        <v>2222</v>
      </c>
      <c r="C985" s="88">
        <v>0</v>
      </c>
      <c r="D985" s="88">
        <v>0</v>
      </c>
    </row>
    <row r="986" spans="1:4" ht="15" customHeight="1" x14ac:dyDescent="0.25">
      <c r="A986" s="87" t="s">
        <v>46</v>
      </c>
      <c r="B986" s="87" t="s">
        <v>1569</v>
      </c>
      <c r="C986" s="88">
        <v>0</v>
      </c>
      <c r="D986" s="88">
        <v>0</v>
      </c>
    </row>
    <row r="987" spans="1:4" ht="15" customHeight="1" x14ac:dyDescent="0.25">
      <c r="A987" s="87" t="s">
        <v>46</v>
      </c>
      <c r="B987" s="87" t="s">
        <v>1575</v>
      </c>
      <c r="C987" s="88">
        <v>0</v>
      </c>
      <c r="D987" s="88">
        <v>0</v>
      </c>
    </row>
    <row r="988" spans="1:4" ht="15" customHeight="1" x14ac:dyDescent="0.25">
      <c r="A988" s="87" t="s">
        <v>46</v>
      </c>
      <c r="B988" s="87" t="s">
        <v>47</v>
      </c>
      <c r="C988" s="88">
        <v>0</v>
      </c>
      <c r="D988" s="88">
        <v>0</v>
      </c>
    </row>
    <row r="989" spans="1:4" ht="15" customHeight="1" x14ac:dyDescent="0.25">
      <c r="A989" s="87" t="s">
        <v>46</v>
      </c>
      <c r="B989" s="87" t="s">
        <v>2223</v>
      </c>
      <c r="C989" s="88">
        <v>0</v>
      </c>
      <c r="D989" s="88">
        <v>0</v>
      </c>
    </row>
    <row r="990" spans="1:4" ht="15" customHeight="1" x14ac:dyDescent="0.25">
      <c r="A990" s="87" t="s">
        <v>46</v>
      </c>
      <c r="B990" s="87" t="s">
        <v>2224</v>
      </c>
      <c r="C990" s="88">
        <v>0</v>
      </c>
      <c r="D990" s="88">
        <v>0</v>
      </c>
    </row>
    <row r="991" spans="1:4" ht="15" customHeight="1" x14ac:dyDescent="0.25">
      <c r="A991" s="87" t="s">
        <v>46</v>
      </c>
      <c r="B991" s="87" t="s">
        <v>1597</v>
      </c>
      <c r="C991" s="88">
        <v>0</v>
      </c>
      <c r="D991" s="88">
        <v>0</v>
      </c>
    </row>
    <row r="992" spans="1:4" ht="15" customHeight="1" x14ac:dyDescent="0.25">
      <c r="A992" s="87" t="s">
        <v>46</v>
      </c>
      <c r="B992" s="87" t="s">
        <v>2225</v>
      </c>
      <c r="C992" s="88">
        <v>0</v>
      </c>
      <c r="D992" s="88">
        <v>0</v>
      </c>
    </row>
    <row r="993" spans="1:9" ht="15" customHeight="1" x14ac:dyDescent="0.25">
      <c r="A993" s="87" t="s">
        <v>46</v>
      </c>
      <c r="B993" s="87" t="s">
        <v>2226</v>
      </c>
      <c r="C993" s="88">
        <v>0</v>
      </c>
      <c r="D993" s="88">
        <v>0</v>
      </c>
    </row>
    <row r="994" spans="1:9" ht="15" customHeight="1" x14ac:dyDescent="0.25">
      <c r="A994" s="87" t="s">
        <v>46</v>
      </c>
      <c r="B994" s="87" t="s">
        <v>1811</v>
      </c>
      <c r="C994" s="88">
        <v>0</v>
      </c>
      <c r="D994" s="88">
        <v>0</v>
      </c>
    </row>
    <row r="995" spans="1:9" ht="15" customHeight="1" x14ac:dyDescent="0.25">
      <c r="A995" s="87" t="s">
        <v>46</v>
      </c>
      <c r="B995" s="87" t="s">
        <v>2227</v>
      </c>
      <c r="C995" s="88">
        <v>0</v>
      </c>
      <c r="D995" s="88">
        <v>0</v>
      </c>
      <c r="G995" t="s">
        <v>1707</v>
      </c>
      <c r="H995">
        <v>0</v>
      </c>
      <c r="I995">
        <v>0</v>
      </c>
    </row>
    <row r="997" spans="1:9" ht="15" customHeight="1" x14ac:dyDescent="0.25">
      <c r="A997" s="87" t="s">
        <v>47</v>
      </c>
      <c r="B997" s="87" t="s">
        <v>1110</v>
      </c>
      <c r="C997" s="88">
        <v>0</v>
      </c>
      <c r="D997" s="88">
        <v>0</v>
      </c>
    </row>
    <row r="998" spans="1:9" ht="15" customHeight="1" x14ac:dyDescent="0.25">
      <c r="A998" s="87" t="s">
        <v>47</v>
      </c>
      <c r="B998" s="87" t="s">
        <v>2228</v>
      </c>
      <c r="C998" s="88">
        <v>0</v>
      </c>
      <c r="D998" s="88">
        <v>0</v>
      </c>
    </row>
    <row r="999" spans="1:9" ht="15" customHeight="1" x14ac:dyDescent="0.25">
      <c r="A999" s="87" t="s">
        <v>47</v>
      </c>
      <c r="B999" s="87" t="s">
        <v>2229</v>
      </c>
      <c r="C999" s="88">
        <v>0</v>
      </c>
      <c r="D999" s="88">
        <v>0</v>
      </c>
    </row>
    <row r="1000" spans="1:9" ht="15" customHeight="1" x14ac:dyDescent="0.25">
      <c r="A1000" s="87" t="s">
        <v>47</v>
      </c>
      <c r="B1000" s="87" t="s">
        <v>2230</v>
      </c>
      <c r="C1000" s="88">
        <v>0</v>
      </c>
      <c r="D1000" s="88">
        <v>0</v>
      </c>
    </row>
    <row r="1001" spans="1:9" ht="15" customHeight="1" x14ac:dyDescent="0.25">
      <c r="A1001" s="87" t="s">
        <v>47</v>
      </c>
      <c r="B1001" s="87" t="s">
        <v>2231</v>
      </c>
      <c r="C1001" s="88">
        <v>0</v>
      </c>
      <c r="D1001" s="88">
        <v>0</v>
      </c>
    </row>
    <row r="1002" spans="1:9" ht="15" customHeight="1" x14ac:dyDescent="0.25">
      <c r="A1002" s="87" t="s">
        <v>47</v>
      </c>
      <c r="B1002" s="87" t="s">
        <v>418</v>
      </c>
      <c r="C1002" s="88">
        <v>0</v>
      </c>
      <c r="D1002" s="88">
        <v>0</v>
      </c>
    </row>
    <row r="1003" spans="1:9" ht="15" customHeight="1" x14ac:dyDescent="0.25">
      <c r="A1003" s="87" t="s">
        <v>47</v>
      </c>
      <c r="B1003" s="87" t="s">
        <v>2232</v>
      </c>
      <c r="C1003" s="88">
        <v>0</v>
      </c>
      <c r="D1003" s="88">
        <v>0</v>
      </c>
    </row>
    <row r="1004" spans="1:9" ht="15" customHeight="1" x14ac:dyDescent="0.25">
      <c r="A1004" s="87" t="s">
        <v>47</v>
      </c>
      <c r="B1004" s="87" t="s">
        <v>2233</v>
      </c>
      <c r="C1004" s="88">
        <v>0</v>
      </c>
      <c r="D1004" s="88">
        <v>0</v>
      </c>
    </row>
    <row r="1005" spans="1:9" ht="15" customHeight="1" x14ac:dyDescent="0.25">
      <c r="A1005" s="87" t="s">
        <v>47</v>
      </c>
      <c r="B1005" s="87" t="s">
        <v>2234</v>
      </c>
      <c r="C1005" s="88">
        <v>0</v>
      </c>
      <c r="D1005" s="88">
        <v>0</v>
      </c>
    </row>
    <row r="1006" spans="1:9" ht="15" customHeight="1" x14ac:dyDescent="0.25">
      <c r="A1006" s="87" t="s">
        <v>47</v>
      </c>
      <c r="B1006" s="87" t="s">
        <v>379</v>
      </c>
      <c r="C1006" s="88">
        <v>0</v>
      </c>
      <c r="D1006" s="88">
        <v>0</v>
      </c>
    </row>
    <row r="1007" spans="1:9" ht="15" customHeight="1" x14ac:dyDescent="0.25">
      <c r="A1007" s="87" t="s">
        <v>47</v>
      </c>
      <c r="B1007" s="87" t="s">
        <v>2235</v>
      </c>
      <c r="C1007" s="88">
        <v>0</v>
      </c>
      <c r="D1007" s="88">
        <v>0</v>
      </c>
    </row>
    <row r="1008" spans="1:9" ht="15" customHeight="1" x14ac:dyDescent="0.25">
      <c r="A1008" s="87" t="s">
        <v>47</v>
      </c>
      <c r="B1008" s="87" t="s">
        <v>2236</v>
      </c>
      <c r="C1008" s="88">
        <v>0</v>
      </c>
      <c r="D1008" s="88">
        <v>0</v>
      </c>
    </row>
    <row r="1009" spans="1:9" ht="15" customHeight="1" x14ac:dyDescent="0.25">
      <c r="A1009" s="87" t="s">
        <v>47</v>
      </c>
      <c r="B1009" s="87" t="s">
        <v>2237</v>
      </c>
      <c r="C1009" s="88">
        <v>0</v>
      </c>
      <c r="D1009" s="88">
        <v>0</v>
      </c>
    </row>
    <row r="1010" spans="1:9" ht="15" customHeight="1" x14ac:dyDescent="0.25">
      <c r="A1010" s="87" t="s">
        <v>47</v>
      </c>
      <c r="B1010" s="87" t="s">
        <v>2238</v>
      </c>
      <c r="C1010" s="88">
        <v>0</v>
      </c>
      <c r="D1010" s="88">
        <v>0</v>
      </c>
    </row>
    <row r="1011" spans="1:9" ht="15" customHeight="1" x14ac:dyDescent="0.25">
      <c r="A1011" s="87" t="s">
        <v>47</v>
      </c>
      <c r="B1011" s="87" t="s">
        <v>2239</v>
      </c>
      <c r="C1011" s="88">
        <v>0</v>
      </c>
      <c r="D1011" s="88">
        <v>0</v>
      </c>
    </row>
    <row r="1012" spans="1:9" ht="15" customHeight="1" x14ac:dyDescent="0.25">
      <c r="A1012" s="87" t="s">
        <v>47</v>
      </c>
      <c r="B1012" s="87" t="s">
        <v>2240</v>
      </c>
      <c r="C1012" s="88">
        <v>0</v>
      </c>
      <c r="D1012" s="88">
        <v>0</v>
      </c>
    </row>
    <row r="1013" spans="1:9" ht="15" customHeight="1" x14ac:dyDescent="0.25">
      <c r="A1013" s="87" t="s">
        <v>47</v>
      </c>
      <c r="B1013" s="87" t="s">
        <v>2241</v>
      </c>
      <c r="C1013" s="88">
        <v>0</v>
      </c>
      <c r="D1013" s="88">
        <v>0</v>
      </c>
    </row>
    <row r="1014" spans="1:9" ht="15" customHeight="1" x14ac:dyDescent="0.25">
      <c r="A1014" s="87" t="s">
        <v>47</v>
      </c>
      <c r="B1014" s="87" t="s">
        <v>2242</v>
      </c>
      <c r="C1014" s="88">
        <v>0</v>
      </c>
      <c r="D1014" s="88">
        <v>0</v>
      </c>
    </row>
    <row r="1015" spans="1:9" ht="15" customHeight="1" x14ac:dyDescent="0.25">
      <c r="A1015" s="87" t="s">
        <v>47</v>
      </c>
      <c r="B1015" s="87" t="s">
        <v>2243</v>
      </c>
      <c r="C1015" s="88">
        <v>0</v>
      </c>
      <c r="D1015" s="88">
        <v>0</v>
      </c>
    </row>
    <row r="1016" spans="1:9" ht="15" customHeight="1" x14ac:dyDescent="0.25">
      <c r="A1016" s="87" t="s">
        <v>47</v>
      </c>
      <c r="B1016" s="87" t="s">
        <v>2244</v>
      </c>
      <c r="C1016" s="88">
        <v>0</v>
      </c>
      <c r="D1016" s="88">
        <v>0</v>
      </c>
    </row>
    <row r="1017" spans="1:9" ht="15" customHeight="1" x14ac:dyDescent="0.25">
      <c r="A1017" s="87" t="s">
        <v>47</v>
      </c>
      <c r="B1017" s="87" t="s">
        <v>2245</v>
      </c>
      <c r="C1017" s="88">
        <v>0</v>
      </c>
      <c r="D1017" s="88">
        <v>0</v>
      </c>
    </row>
    <row r="1018" spans="1:9" ht="15" customHeight="1" x14ac:dyDescent="0.25">
      <c r="A1018" s="87" t="s">
        <v>47</v>
      </c>
      <c r="B1018" s="87" t="s">
        <v>1086</v>
      </c>
      <c r="C1018" s="88">
        <v>0</v>
      </c>
      <c r="D1018" s="88">
        <v>0</v>
      </c>
    </row>
    <row r="1019" spans="1:9" ht="15" customHeight="1" x14ac:dyDescent="0.25">
      <c r="A1019" s="87" t="s">
        <v>47</v>
      </c>
      <c r="B1019" s="87" t="s">
        <v>2246</v>
      </c>
      <c r="C1019" s="88">
        <v>0</v>
      </c>
      <c r="D1019" s="88">
        <v>0</v>
      </c>
    </row>
    <row r="1020" spans="1:9" ht="15" customHeight="1" x14ac:dyDescent="0.25">
      <c r="A1020" s="87" t="s">
        <v>47</v>
      </c>
      <c r="B1020" s="87" t="s">
        <v>977</v>
      </c>
      <c r="C1020" s="88">
        <v>0</v>
      </c>
      <c r="D1020" s="88">
        <v>0</v>
      </c>
    </row>
    <row r="1021" spans="1:9" ht="15" customHeight="1" x14ac:dyDescent="0.25">
      <c r="A1021" s="87" t="s">
        <v>47</v>
      </c>
      <c r="B1021" s="87" t="s">
        <v>47</v>
      </c>
      <c r="C1021" s="88">
        <v>0</v>
      </c>
      <c r="D1021" s="88">
        <v>0</v>
      </c>
    </row>
    <row r="1022" spans="1:9" ht="15" customHeight="1" x14ac:dyDescent="0.25">
      <c r="A1022" s="87" t="s">
        <v>47</v>
      </c>
      <c r="B1022" s="87" t="s">
        <v>2247</v>
      </c>
      <c r="C1022" s="88">
        <v>0</v>
      </c>
      <c r="D1022" s="88">
        <v>0</v>
      </c>
      <c r="G1022" t="s">
        <v>1707</v>
      </c>
      <c r="H1022">
        <v>0</v>
      </c>
      <c r="I1022">
        <v>0</v>
      </c>
    </row>
    <row r="1024" spans="1:9" ht="15" customHeight="1" x14ac:dyDescent="0.25">
      <c r="A1024" s="87" t="s">
        <v>48</v>
      </c>
      <c r="B1024" s="87" t="s">
        <v>811</v>
      </c>
      <c r="C1024" s="88">
        <v>0</v>
      </c>
      <c r="D1024" s="88">
        <v>0</v>
      </c>
    </row>
    <row r="1025" spans="1:6" ht="15" customHeight="1" x14ac:dyDescent="0.25">
      <c r="A1025" s="87" t="s">
        <v>48</v>
      </c>
      <c r="B1025" s="87" t="s">
        <v>813</v>
      </c>
      <c r="C1025" s="88">
        <v>0</v>
      </c>
      <c r="D1025" s="88">
        <v>0</v>
      </c>
    </row>
    <row r="1026" spans="1:6" ht="15" customHeight="1" x14ac:dyDescent="0.25">
      <c r="A1026" s="87" t="s">
        <v>48</v>
      </c>
      <c r="B1026" s="87" t="s">
        <v>1351</v>
      </c>
      <c r="C1026" s="88">
        <v>0</v>
      </c>
      <c r="D1026" s="88">
        <v>0</v>
      </c>
    </row>
    <row r="1027" spans="1:6" ht="15" customHeight="1" x14ac:dyDescent="0.25">
      <c r="A1027" s="87" t="s">
        <v>48</v>
      </c>
      <c r="B1027" s="87" t="s">
        <v>815</v>
      </c>
      <c r="C1027" s="88">
        <v>0</v>
      </c>
      <c r="D1027" s="88">
        <v>0</v>
      </c>
    </row>
    <row r="1028" spans="1:6" ht="15" customHeight="1" x14ac:dyDescent="0.25">
      <c r="A1028" s="87" t="s">
        <v>48</v>
      </c>
      <c r="B1028" s="87" t="s">
        <v>548</v>
      </c>
      <c r="C1028" s="88">
        <v>0</v>
      </c>
      <c r="D1028" s="88">
        <v>0</v>
      </c>
    </row>
    <row r="1029" spans="1:6" ht="15" customHeight="1" x14ac:dyDescent="0.25">
      <c r="A1029" s="87" t="s">
        <v>48</v>
      </c>
      <c r="B1029" s="87" t="s">
        <v>489</v>
      </c>
      <c r="C1029" s="88">
        <v>0</v>
      </c>
      <c r="D1029" s="88">
        <v>0</v>
      </c>
    </row>
    <row r="1030" spans="1:6" ht="15" customHeight="1" x14ac:dyDescent="0.25">
      <c r="A1030" s="87" t="s">
        <v>48</v>
      </c>
      <c r="B1030" s="87" t="s">
        <v>138</v>
      </c>
      <c r="C1030" s="88">
        <v>0</v>
      </c>
      <c r="D1030" s="88">
        <v>0</v>
      </c>
    </row>
    <row r="1031" spans="1:6" ht="15" customHeight="1" x14ac:dyDescent="0.25">
      <c r="A1031" s="87" t="s">
        <v>48</v>
      </c>
      <c r="B1031" s="87" t="s">
        <v>2248</v>
      </c>
      <c r="C1031" s="88">
        <v>0</v>
      </c>
      <c r="D1031" s="88">
        <v>0</v>
      </c>
    </row>
    <row r="1032" spans="1:6" ht="15" customHeight="1" x14ac:dyDescent="0.25">
      <c r="A1032" s="87" t="s">
        <v>48</v>
      </c>
      <c r="B1032" s="87" t="s">
        <v>551</v>
      </c>
      <c r="C1032" s="88">
        <v>0</v>
      </c>
      <c r="D1032" s="88">
        <v>0</v>
      </c>
    </row>
    <row r="1033" spans="1:6" ht="38.25" customHeight="1" x14ac:dyDescent="0.25">
      <c r="A1033" s="87" t="s">
        <v>48</v>
      </c>
      <c r="B1033" s="87" t="s">
        <v>333</v>
      </c>
      <c r="C1033" s="88">
        <v>0</v>
      </c>
      <c r="D1033" s="88">
        <v>0</v>
      </c>
      <c r="F1033" s="89" t="s">
        <v>2249</v>
      </c>
    </row>
    <row r="1034" spans="1:6" ht="15" customHeight="1" x14ac:dyDescent="0.25">
      <c r="A1034" s="87" t="s">
        <v>48</v>
      </c>
      <c r="B1034" s="87" t="s">
        <v>279</v>
      </c>
      <c r="C1034" s="88">
        <v>0</v>
      </c>
      <c r="D1034" s="88">
        <v>0</v>
      </c>
    </row>
    <row r="1035" spans="1:6" ht="15" customHeight="1" x14ac:dyDescent="0.25">
      <c r="A1035" s="87" t="s">
        <v>48</v>
      </c>
      <c r="B1035" s="87" t="s">
        <v>1405</v>
      </c>
      <c r="C1035" s="88">
        <v>0</v>
      </c>
      <c r="D1035" s="88">
        <v>0</v>
      </c>
    </row>
    <row r="1036" spans="1:6" ht="15" customHeight="1" x14ac:dyDescent="0.25">
      <c r="A1036" s="87" t="s">
        <v>48</v>
      </c>
      <c r="B1036" s="87" t="s">
        <v>817</v>
      </c>
      <c r="C1036" s="88">
        <v>0</v>
      </c>
      <c r="D1036" s="88">
        <v>0</v>
      </c>
    </row>
    <row r="1037" spans="1:6" ht="15" customHeight="1" x14ac:dyDescent="0.25">
      <c r="A1037" s="87" t="s">
        <v>48</v>
      </c>
      <c r="B1037" s="87" t="s">
        <v>281</v>
      </c>
      <c r="C1037" s="88">
        <v>0</v>
      </c>
      <c r="D1037" s="88">
        <v>0</v>
      </c>
    </row>
    <row r="1038" spans="1:6" ht="15" customHeight="1" x14ac:dyDescent="0.25">
      <c r="A1038" s="87" t="s">
        <v>48</v>
      </c>
      <c r="B1038" s="87" t="s">
        <v>340</v>
      </c>
      <c r="C1038" s="88">
        <v>0</v>
      </c>
      <c r="D1038" s="88">
        <v>0</v>
      </c>
    </row>
    <row r="1039" spans="1:6" ht="15" customHeight="1" x14ac:dyDescent="0.25">
      <c r="A1039" s="87" t="s">
        <v>48</v>
      </c>
      <c r="B1039" s="87" t="s">
        <v>553</v>
      </c>
      <c r="C1039" s="88">
        <v>0</v>
      </c>
      <c r="D1039" s="88">
        <v>0</v>
      </c>
    </row>
    <row r="1040" spans="1:6" ht="15" customHeight="1" x14ac:dyDescent="0.25">
      <c r="A1040" s="87" t="s">
        <v>48</v>
      </c>
      <c r="B1040" s="87" t="s">
        <v>742</v>
      </c>
      <c r="C1040" s="88">
        <v>0</v>
      </c>
      <c r="D1040" s="88">
        <v>0</v>
      </c>
    </row>
    <row r="1041" spans="1:4" ht="15" customHeight="1" x14ac:dyDescent="0.25">
      <c r="A1041" s="87" t="s">
        <v>48</v>
      </c>
      <c r="B1041" s="87" t="s">
        <v>283</v>
      </c>
      <c r="C1041" s="88">
        <v>0</v>
      </c>
      <c r="D1041" s="88">
        <v>0</v>
      </c>
    </row>
    <row r="1042" spans="1:4" ht="15" customHeight="1" x14ac:dyDescent="0.25">
      <c r="A1042" s="87" t="s">
        <v>48</v>
      </c>
      <c r="B1042" s="87" t="s">
        <v>1450</v>
      </c>
      <c r="C1042" s="88">
        <v>0</v>
      </c>
      <c r="D1042" s="88">
        <v>0</v>
      </c>
    </row>
    <row r="1043" spans="1:4" ht="15" customHeight="1" x14ac:dyDescent="0.25">
      <c r="A1043" s="87" t="s">
        <v>48</v>
      </c>
      <c r="B1043" s="87" t="s">
        <v>1104</v>
      </c>
      <c r="C1043" s="88">
        <v>0</v>
      </c>
      <c r="D1043" s="88">
        <v>0</v>
      </c>
    </row>
    <row r="1044" spans="1:4" ht="15" customHeight="1" x14ac:dyDescent="0.25">
      <c r="A1044" s="87" t="s">
        <v>48</v>
      </c>
      <c r="B1044" s="87" t="s">
        <v>559</v>
      </c>
      <c r="C1044" s="88">
        <v>0</v>
      </c>
      <c r="D1044" s="88">
        <v>0</v>
      </c>
    </row>
    <row r="1045" spans="1:4" ht="15" customHeight="1" x14ac:dyDescent="0.25">
      <c r="A1045" s="87" t="s">
        <v>48</v>
      </c>
      <c r="B1045" s="87" t="s">
        <v>744</v>
      </c>
      <c r="C1045" s="88">
        <v>0</v>
      </c>
      <c r="D1045" s="88">
        <v>0</v>
      </c>
    </row>
    <row r="1046" spans="1:4" ht="15" customHeight="1" x14ac:dyDescent="0.25">
      <c r="A1046" s="87" t="s">
        <v>48</v>
      </c>
      <c r="B1046" s="87" t="s">
        <v>1168</v>
      </c>
      <c r="C1046" s="88">
        <v>0</v>
      </c>
      <c r="D1046" s="88">
        <v>0</v>
      </c>
    </row>
    <row r="1047" spans="1:4" ht="15" customHeight="1" x14ac:dyDescent="0.25">
      <c r="A1047" s="87" t="s">
        <v>48</v>
      </c>
      <c r="B1047" s="87" t="s">
        <v>561</v>
      </c>
      <c r="C1047" s="88">
        <v>0</v>
      </c>
      <c r="D1047" s="88">
        <v>0</v>
      </c>
    </row>
    <row r="1048" spans="1:4" ht="15" customHeight="1" x14ac:dyDescent="0.25">
      <c r="A1048" s="87" t="s">
        <v>48</v>
      </c>
      <c r="B1048" s="87" t="s">
        <v>493</v>
      </c>
      <c r="C1048" s="88">
        <v>0</v>
      </c>
      <c r="D1048" s="88">
        <v>0</v>
      </c>
    </row>
    <row r="1049" spans="1:4" ht="15" customHeight="1" x14ac:dyDescent="0.25">
      <c r="A1049" s="87" t="s">
        <v>48</v>
      </c>
      <c r="B1049" s="87" t="s">
        <v>563</v>
      </c>
      <c r="C1049" s="88">
        <v>0</v>
      </c>
      <c r="D1049" s="88">
        <v>0</v>
      </c>
    </row>
    <row r="1050" spans="1:4" ht="15" customHeight="1" x14ac:dyDescent="0.25">
      <c r="A1050" s="87" t="s">
        <v>48</v>
      </c>
      <c r="B1050" s="87" t="s">
        <v>495</v>
      </c>
      <c r="C1050" s="88">
        <v>0</v>
      </c>
      <c r="D1050" s="88">
        <v>0</v>
      </c>
    </row>
    <row r="1051" spans="1:4" ht="15" customHeight="1" x14ac:dyDescent="0.25">
      <c r="A1051" s="87" t="s">
        <v>48</v>
      </c>
      <c r="B1051" s="87" t="s">
        <v>565</v>
      </c>
      <c r="C1051" s="88">
        <v>0</v>
      </c>
      <c r="D1051" s="88">
        <v>0</v>
      </c>
    </row>
    <row r="1052" spans="1:4" ht="15" customHeight="1" x14ac:dyDescent="0.25">
      <c r="A1052" s="87" t="s">
        <v>48</v>
      </c>
      <c r="B1052" s="87" t="s">
        <v>497</v>
      </c>
      <c r="C1052" s="88">
        <v>0</v>
      </c>
      <c r="D1052" s="88">
        <v>0</v>
      </c>
    </row>
    <row r="1053" spans="1:4" ht="15" customHeight="1" x14ac:dyDescent="0.25">
      <c r="A1053" s="87" t="s">
        <v>48</v>
      </c>
      <c r="B1053" s="87" t="s">
        <v>285</v>
      </c>
      <c r="C1053" s="88">
        <v>0</v>
      </c>
      <c r="D1053" s="88">
        <v>0</v>
      </c>
    </row>
    <row r="1054" spans="1:4" ht="15" customHeight="1" x14ac:dyDescent="0.25">
      <c r="A1054" s="87" t="s">
        <v>48</v>
      </c>
      <c r="B1054" s="87" t="s">
        <v>287</v>
      </c>
      <c r="C1054" s="88">
        <v>0</v>
      </c>
      <c r="D1054" s="88">
        <v>0</v>
      </c>
    </row>
    <row r="1055" spans="1:4" ht="15" customHeight="1" x14ac:dyDescent="0.25">
      <c r="A1055" s="87" t="s">
        <v>48</v>
      </c>
      <c r="B1055" s="87" t="s">
        <v>569</v>
      </c>
      <c r="C1055" s="88">
        <v>0</v>
      </c>
      <c r="D1055" s="88">
        <v>0</v>
      </c>
    </row>
    <row r="1056" spans="1:4" ht="15" customHeight="1" x14ac:dyDescent="0.25">
      <c r="A1056" s="87" t="s">
        <v>48</v>
      </c>
      <c r="B1056" s="87" t="s">
        <v>289</v>
      </c>
      <c r="C1056" s="88">
        <v>0</v>
      </c>
      <c r="D1056" s="88">
        <v>0</v>
      </c>
    </row>
    <row r="1057" spans="1:9" ht="15" customHeight="1" x14ac:dyDescent="0.25">
      <c r="A1057" s="87" t="s">
        <v>48</v>
      </c>
      <c r="B1057" s="87" t="s">
        <v>746</v>
      </c>
      <c r="C1057" s="88">
        <v>0</v>
      </c>
      <c r="D1057" s="88">
        <v>0</v>
      </c>
    </row>
    <row r="1058" spans="1:9" ht="15" customHeight="1" x14ac:dyDescent="0.25">
      <c r="A1058" s="87" t="s">
        <v>48</v>
      </c>
      <c r="B1058" s="87" t="s">
        <v>292</v>
      </c>
      <c r="C1058" s="88">
        <v>0</v>
      </c>
      <c r="D1058" s="88">
        <v>0</v>
      </c>
    </row>
    <row r="1059" spans="1:9" ht="15" customHeight="1" x14ac:dyDescent="0.25">
      <c r="A1059" s="87" t="s">
        <v>48</v>
      </c>
      <c r="B1059" s="87" t="s">
        <v>499</v>
      </c>
      <c r="C1059" s="88">
        <v>0</v>
      </c>
      <c r="D1059" s="88">
        <v>0</v>
      </c>
    </row>
    <row r="1060" spans="1:9" ht="15" customHeight="1" x14ac:dyDescent="0.25">
      <c r="A1060" s="87" t="s">
        <v>48</v>
      </c>
      <c r="B1060" s="87" t="s">
        <v>819</v>
      </c>
      <c r="C1060" s="88">
        <v>0</v>
      </c>
      <c r="D1060" s="88">
        <v>0</v>
      </c>
    </row>
    <row r="1061" spans="1:9" ht="15" customHeight="1" x14ac:dyDescent="0.25">
      <c r="A1061" s="87" t="s">
        <v>48</v>
      </c>
      <c r="B1061" s="87" t="s">
        <v>502</v>
      </c>
      <c r="C1061" s="88">
        <v>0</v>
      </c>
      <c r="D1061" s="88">
        <v>0</v>
      </c>
    </row>
    <row r="1062" spans="1:9" ht="15" customHeight="1" x14ac:dyDescent="0.25">
      <c r="A1062" s="87" t="s">
        <v>48</v>
      </c>
      <c r="B1062" s="87" t="s">
        <v>821</v>
      </c>
      <c r="C1062" s="88">
        <v>0</v>
      </c>
      <c r="D1062" s="88">
        <v>0</v>
      </c>
    </row>
    <row r="1063" spans="1:9" ht="15" customHeight="1" x14ac:dyDescent="0.25">
      <c r="A1063" s="87" t="s">
        <v>48</v>
      </c>
      <c r="B1063" s="87" t="s">
        <v>346</v>
      </c>
      <c r="C1063" s="88">
        <v>0</v>
      </c>
      <c r="D1063" s="88">
        <v>0</v>
      </c>
    </row>
    <row r="1064" spans="1:9" ht="15" customHeight="1" x14ac:dyDescent="0.25">
      <c r="A1064" s="87" t="s">
        <v>48</v>
      </c>
      <c r="B1064" s="87" t="s">
        <v>140</v>
      </c>
      <c r="C1064" s="88">
        <v>0</v>
      </c>
      <c r="D1064" s="88">
        <v>0</v>
      </c>
    </row>
    <row r="1065" spans="1:9" ht="15" customHeight="1" x14ac:dyDescent="0.25">
      <c r="A1065" s="87" t="s">
        <v>48</v>
      </c>
      <c r="B1065" s="87" t="s">
        <v>505</v>
      </c>
      <c r="C1065" s="88">
        <v>0</v>
      </c>
      <c r="D1065" s="88">
        <v>0</v>
      </c>
    </row>
    <row r="1066" spans="1:9" ht="15" customHeight="1" x14ac:dyDescent="0.25">
      <c r="A1066" s="87" t="s">
        <v>48</v>
      </c>
      <c r="B1066" s="87" t="s">
        <v>447</v>
      </c>
      <c r="C1066" s="88">
        <v>0</v>
      </c>
      <c r="D1066" s="88">
        <v>0</v>
      </c>
    </row>
    <row r="1067" spans="1:9" ht="15" customHeight="1" x14ac:dyDescent="0.25">
      <c r="A1067" s="87" t="s">
        <v>48</v>
      </c>
      <c r="B1067" s="87" t="s">
        <v>2250</v>
      </c>
      <c r="C1067" s="88">
        <v>0</v>
      </c>
      <c r="D1067" s="88">
        <v>0</v>
      </c>
    </row>
    <row r="1068" spans="1:9" ht="15" customHeight="1" x14ac:dyDescent="0.25">
      <c r="A1068" s="87" t="s">
        <v>48</v>
      </c>
      <c r="B1068" s="87" t="s">
        <v>508</v>
      </c>
      <c r="C1068" s="88">
        <v>0</v>
      </c>
      <c r="D1068" s="88">
        <v>0</v>
      </c>
    </row>
    <row r="1069" spans="1:9" ht="15" customHeight="1" x14ac:dyDescent="0.25">
      <c r="A1069" s="87" t="s">
        <v>48</v>
      </c>
      <c r="B1069" s="87" t="s">
        <v>572</v>
      </c>
      <c r="C1069" s="88">
        <v>0</v>
      </c>
      <c r="D1069" s="88">
        <v>0</v>
      </c>
    </row>
    <row r="1070" spans="1:9" ht="15" customHeight="1" x14ac:dyDescent="0.25">
      <c r="A1070" s="87" t="s">
        <v>48</v>
      </c>
      <c r="B1070" s="87" t="s">
        <v>511</v>
      </c>
      <c r="C1070" s="88">
        <v>0</v>
      </c>
      <c r="D1070" s="88">
        <v>0</v>
      </c>
      <c r="G1070" t="s">
        <v>1707</v>
      </c>
      <c r="H1070">
        <v>0</v>
      </c>
      <c r="I1070">
        <v>0</v>
      </c>
    </row>
    <row r="1072" spans="1:9" ht="15" customHeight="1" x14ac:dyDescent="0.25">
      <c r="A1072" s="87" t="s">
        <v>2251</v>
      </c>
      <c r="B1072" s="87" t="s">
        <v>313</v>
      </c>
      <c r="C1072" s="88">
        <v>0</v>
      </c>
      <c r="D1072" s="88">
        <v>0</v>
      </c>
    </row>
    <row r="1073" spans="1:6" ht="15" customHeight="1" x14ac:dyDescent="0.25">
      <c r="A1073" s="87" t="s">
        <v>2251</v>
      </c>
      <c r="B1073" s="87" t="s">
        <v>317</v>
      </c>
      <c r="C1073" s="88">
        <v>0</v>
      </c>
      <c r="D1073" s="88">
        <v>0</v>
      </c>
    </row>
    <row r="1074" spans="1:6" ht="15" customHeight="1" x14ac:dyDescent="0.25">
      <c r="A1074" s="87" t="s">
        <v>2251</v>
      </c>
      <c r="B1074" s="87" t="s">
        <v>1121</v>
      </c>
      <c r="C1074" s="88">
        <v>0</v>
      </c>
      <c r="D1074" s="88">
        <v>0</v>
      </c>
    </row>
    <row r="1075" spans="1:6" ht="15" customHeight="1" x14ac:dyDescent="0.25">
      <c r="A1075" s="87" t="s">
        <v>2251</v>
      </c>
      <c r="B1075" s="87" t="s">
        <v>224</v>
      </c>
      <c r="C1075" s="88">
        <v>0</v>
      </c>
      <c r="D1075" s="88">
        <v>0</v>
      </c>
    </row>
    <row r="1076" spans="1:6" ht="15" customHeight="1" x14ac:dyDescent="0.25">
      <c r="A1076" s="87" t="s">
        <v>2251</v>
      </c>
      <c r="B1076" s="87" t="s">
        <v>19</v>
      </c>
      <c r="C1076" s="88">
        <v>0</v>
      </c>
      <c r="D1076" s="88">
        <v>0</v>
      </c>
    </row>
    <row r="1077" spans="1:6" ht="102" customHeight="1" x14ac:dyDescent="0.25">
      <c r="A1077" s="87" t="s">
        <v>2251</v>
      </c>
      <c r="B1077" s="87" t="s">
        <v>988</v>
      </c>
      <c r="C1077" s="88">
        <v>16</v>
      </c>
      <c r="D1077" s="88">
        <v>258</v>
      </c>
      <c r="E1077" s="89" t="s">
        <v>2252</v>
      </c>
      <c r="F1077" s="89" t="s">
        <v>2253</v>
      </c>
    </row>
    <row r="1078" spans="1:6" ht="15" customHeight="1" x14ac:dyDescent="0.25">
      <c r="A1078" s="87" t="s">
        <v>2251</v>
      </c>
      <c r="B1078" s="87" t="s">
        <v>998</v>
      </c>
      <c r="C1078" s="88">
        <v>6</v>
      </c>
      <c r="D1078" s="88">
        <v>0</v>
      </c>
    </row>
    <row r="1079" spans="1:6" ht="15" customHeight="1" x14ac:dyDescent="0.25">
      <c r="A1079" s="87" t="s">
        <v>2251</v>
      </c>
      <c r="B1079" s="87" t="s">
        <v>1046</v>
      </c>
      <c r="C1079" s="88">
        <v>0</v>
      </c>
      <c r="D1079" s="88">
        <v>0</v>
      </c>
    </row>
    <row r="1080" spans="1:6" ht="15" customHeight="1" x14ac:dyDescent="0.25">
      <c r="A1080" s="87" t="s">
        <v>2251</v>
      </c>
      <c r="B1080" s="87" t="s">
        <v>263</v>
      </c>
      <c r="C1080" s="88">
        <v>0</v>
      </c>
      <c r="D1080" s="88">
        <v>0</v>
      </c>
    </row>
    <row r="1081" spans="1:6" ht="63.75" customHeight="1" x14ac:dyDescent="0.25">
      <c r="A1081" s="87" t="s">
        <v>2251</v>
      </c>
      <c r="B1081" s="87" t="s">
        <v>253</v>
      </c>
      <c r="C1081" s="88">
        <v>114</v>
      </c>
      <c r="D1081" s="88">
        <v>1485</v>
      </c>
      <c r="E1081" s="89" t="s">
        <v>2254</v>
      </c>
    </row>
    <row r="1082" spans="1:6" ht="15" customHeight="1" x14ac:dyDescent="0.25">
      <c r="A1082" s="87" t="s">
        <v>2251</v>
      </c>
      <c r="B1082" s="87" t="s">
        <v>463</v>
      </c>
      <c r="C1082" s="88">
        <v>0</v>
      </c>
      <c r="D1082" s="88">
        <v>0</v>
      </c>
    </row>
    <row r="1083" spans="1:6" ht="63.75" customHeight="1" x14ac:dyDescent="0.25">
      <c r="A1083" s="87" t="s">
        <v>2251</v>
      </c>
      <c r="B1083" s="87" t="s">
        <v>1001</v>
      </c>
      <c r="C1083" s="88">
        <v>4</v>
      </c>
      <c r="D1083" s="88">
        <v>0</v>
      </c>
      <c r="E1083" s="89" t="s">
        <v>2255</v>
      </c>
    </row>
    <row r="1084" spans="1:6" ht="15" customHeight="1" x14ac:dyDescent="0.25">
      <c r="A1084" s="87" t="s">
        <v>2251</v>
      </c>
      <c r="B1084" s="87" t="s">
        <v>321</v>
      </c>
      <c r="C1084" s="88">
        <v>0</v>
      </c>
      <c r="D1084" s="88">
        <v>0</v>
      </c>
    </row>
    <row r="1085" spans="1:6" ht="15" customHeight="1" x14ac:dyDescent="0.25">
      <c r="A1085" s="87" t="s">
        <v>2251</v>
      </c>
      <c r="B1085" s="87" t="s">
        <v>1005</v>
      </c>
      <c r="C1085" s="88">
        <v>0</v>
      </c>
      <c r="D1085" s="88">
        <v>0</v>
      </c>
    </row>
    <row r="1086" spans="1:6" ht="76.5" customHeight="1" x14ac:dyDescent="0.25">
      <c r="A1086" s="87" t="s">
        <v>2251</v>
      </c>
      <c r="B1086" s="87" t="s">
        <v>1018</v>
      </c>
      <c r="C1086" s="88">
        <v>2</v>
      </c>
      <c r="D1086" s="88">
        <v>3</v>
      </c>
      <c r="E1086" s="89" t="s">
        <v>2256</v>
      </c>
      <c r="F1086" s="89" t="s">
        <v>2257</v>
      </c>
    </row>
    <row r="1087" spans="1:6" ht="15" customHeight="1" x14ac:dyDescent="0.25">
      <c r="A1087" s="87" t="s">
        <v>2251</v>
      </c>
      <c r="B1087" s="87" t="s">
        <v>267</v>
      </c>
      <c r="C1087" s="88">
        <v>0</v>
      </c>
      <c r="D1087" s="88">
        <v>0</v>
      </c>
    </row>
    <row r="1088" spans="1:6" ht="15" customHeight="1" x14ac:dyDescent="0.25">
      <c r="A1088" s="87" t="s">
        <v>2251</v>
      </c>
      <c r="B1088" s="87" t="s">
        <v>467</v>
      </c>
      <c r="C1088" s="88">
        <v>0</v>
      </c>
      <c r="D1088" s="88">
        <v>0</v>
      </c>
    </row>
    <row r="1089" spans="1:6" ht="76.5" customHeight="1" x14ac:dyDescent="0.25">
      <c r="A1089" s="87" t="s">
        <v>2251</v>
      </c>
      <c r="B1089" s="87" t="s">
        <v>517</v>
      </c>
      <c r="C1089" s="88">
        <v>1</v>
      </c>
      <c r="D1089" s="88">
        <v>0</v>
      </c>
      <c r="E1089" s="89" t="s">
        <v>2256</v>
      </c>
    </row>
    <row r="1090" spans="1:6" ht="15" customHeight="1" x14ac:dyDescent="0.25">
      <c r="A1090" s="87" t="s">
        <v>2251</v>
      </c>
      <c r="B1090" s="87" t="s">
        <v>1173</v>
      </c>
      <c r="C1090" s="88">
        <v>0</v>
      </c>
      <c r="D1090" s="88">
        <v>0</v>
      </c>
    </row>
    <row r="1091" spans="1:6" ht="15" customHeight="1" x14ac:dyDescent="0.25">
      <c r="A1091" s="87" t="s">
        <v>2251</v>
      </c>
      <c r="B1091" s="87" t="s">
        <v>1446</v>
      </c>
      <c r="C1091" s="88">
        <v>0</v>
      </c>
      <c r="D1091" s="88">
        <v>0</v>
      </c>
    </row>
    <row r="1092" spans="1:6" ht="15" customHeight="1" x14ac:dyDescent="0.25">
      <c r="A1092" s="87" t="s">
        <v>2251</v>
      </c>
      <c r="B1092" s="87" t="s">
        <v>471</v>
      </c>
      <c r="C1092" s="88">
        <v>0</v>
      </c>
      <c r="D1092" s="88">
        <v>0</v>
      </c>
    </row>
    <row r="1093" spans="1:6" ht="15" customHeight="1" x14ac:dyDescent="0.25">
      <c r="A1093" s="87" t="s">
        <v>2251</v>
      </c>
      <c r="B1093" s="87" t="s">
        <v>1060</v>
      </c>
      <c r="C1093" s="88">
        <v>0</v>
      </c>
      <c r="D1093" s="88">
        <v>0</v>
      </c>
    </row>
    <row r="1094" spans="1:6" ht="15" customHeight="1" x14ac:dyDescent="0.25">
      <c r="A1094" s="87" t="s">
        <v>2251</v>
      </c>
      <c r="B1094" s="87" t="s">
        <v>379</v>
      </c>
      <c r="C1094" s="88">
        <v>0</v>
      </c>
      <c r="D1094" s="88">
        <v>0</v>
      </c>
    </row>
    <row r="1095" spans="1:6" ht="15" customHeight="1" x14ac:dyDescent="0.25">
      <c r="A1095" s="87" t="s">
        <v>2251</v>
      </c>
      <c r="B1095" s="87" t="s">
        <v>1010</v>
      </c>
      <c r="C1095" s="88">
        <v>0</v>
      </c>
      <c r="D1095" s="88">
        <v>0</v>
      </c>
    </row>
    <row r="1096" spans="1:6" ht="15" customHeight="1" x14ac:dyDescent="0.25">
      <c r="A1096" s="87" t="s">
        <v>2251</v>
      </c>
      <c r="B1096" s="87" t="s">
        <v>806</v>
      </c>
      <c r="C1096" s="88">
        <v>0</v>
      </c>
      <c r="D1096" s="88">
        <v>0</v>
      </c>
    </row>
    <row r="1097" spans="1:6" ht="63.75" customHeight="1" x14ac:dyDescent="0.25">
      <c r="A1097" s="87" t="s">
        <v>2251</v>
      </c>
      <c r="B1097" s="87" t="s">
        <v>1078</v>
      </c>
      <c r="C1097" s="88">
        <v>0</v>
      </c>
      <c r="D1097" s="88">
        <v>0</v>
      </c>
      <c r="E1097" s="89" t="s">
        <v>2258</v>
      </c>
      <c r="F1097" s="89" t="s">
        <v>2258</v>
      </c>
    </row>
    <row r="1098" spans="1:6" ht="15" customHeight="1" x14ac:dyDescent="0.25">
      <c r="A1098" s="87" t="s">
        <v>2251</v>
      </c>
      <c r="B1098" s="87" t="s">
        <v>451</v>
      </c>
      <c r="C1098" s="88">
        <v>0</v>
      </c>
      <c r="D1098" s="88">
        <v>0</v>
      </c>
    </row>
    <row r="1099" spans="1:6" ht="15" customHeight="1" x14ac:dyDescent="0.25">
      <c r="A1099" s="87" t="s">
        <v>2251</v>
      </c>
      <c r="B1099" s="87" t="s">
        <v>474</v>
      </c>
      <c r="C1099" s="88">
        <v>0</v>
      </c>
      <c r="D1099" s="88">
        <v>0</v>
      </c>
    </row>
    <row r="1100" spans="1:6" ht="15" customHeight="1" x14ac:dyDescent="0.25">
      <c r="A1100" s="87" t="s">
        <v>2251</v>
      </c>
      <c r="B1100" s="87" t="s">
        <v>455</v>
      </c>
      <c r="C1100" s="88">
        <v>0</v>
      </c>
      <c r="D1100" s="88">
        <v>0</v>
      </c>
    </row>
    <row r="1101" spans="1:6" ht="127.5" customHeight="1" x14ac:dyDescent="0.25">
      <c r="A1101" s="87" t="s">
        <v>2251</v>
      </c>
      <c r="B1101" s="87" t="s">
        <v>1034</v>
      </c>
      <c r="C1101" s="88">
        <v>6</v>
      </c>
      <c r="D1101" s="88">
        <v>112</v>
      </c>
      <c r="E1101" s="89" t="s">
        <v>2259</v>
      </c>
      <c r="F1101" s="89" t="s">
        <v>2260</v>
      </c>
    </row>
    <row r="1102" spans="1:6" ht="15" customHeight="1" x14ac:dyDescent="0.25">
      <c r="A1102" s="87" t="s">
        <v>2251</v>
      </c>
      <c r="B1102" s="87" t="s">
        <v>1086</v>
      </c>
      <c r="C1102" s="88">
        <v>0</v>
      </c>
      <c r="D1102" s="88">
        <v>0</v>
      </c>
    </row>
    <row r="1103" spans="1:6" ht="63.75" customHeight="1" x14ac:dyDescent="0.25">
      <c r="A1103" s="87" t="s">
        <v>2251</v>
      </c>
      <c r="B1103" s="87" t="s">
        <v>2261</v>
      </c>
      <c r="C1103" s="88">
        <v>16</v>
      </c>
      <c r="E1103" s="89" t="s">
        <v>2262</v>
      </c>
    </row>
    <row r="1104" spans="1:6" ht="63.75" customHeight="1" x14ac:dyDescent="0.25">
      <c r="A1104" s="87" t="s">
        <v>2251</v>
      </c>
      <c r="B1104" s="87" t="s">
        <v>992</v>
      </c>
      <c r="C1104" s="88">
        <v>3</v>
      </c>
      <c r="D1104" s="88">
        <v>0</v>
      </c>
      <c r="E1104" s="89" t="s">
        <v>2254</v>
      </c>
    </row>
    <row r="1105" spans="1:9" ht="15" customHeight="1" x14ac:dyDescent="0.25">
      <c r="A1105" s="87" t="s">
        <v>2251</v>
      </c>
      <c r="B1105" s="87" t="s">
        <v>1094</v>
      </c>
      <c r="C1105" s="88">
        <v>0</v>
      </c>
      <c r="D1105" s="88">
        <v>0</v>
      </c>
    </row>
    <row r="1106" spans="1:9" ht="15" customHeight="1" x14ac:dyDescent="0.25">
      <c r="A1106" s="87" t="s">
        <v>2251</v>
      </c>
      <c r="B1106" s="87" t="s">
        <v>479</v>
      </c>
      <c r="C1106" s="88">
        <v>0</v>
      </c>
      <c r="D1106" s="88">
        <v>0</v>
      </c>
    </row>
    <row r="1107" spans="1:9" ht="15" customHeight="1" x14ac:dyDescent="0.25">
      <c r="A1107" s="87" t="s">
        <v>2251</v>
      </c>
      <c r="B1107" s="87" t="s">
        <v>1013</v>
      </c>
      <c r="C1107" s="88">
        <v>0</v>
      </c>
      <c r="D1107" s="88">
        <v>0</v>
      </c>
    </row>
    <row r="1108" spans="1:9" ht="15" customHeight="1" x14ac:dyDescent="0.25">
      <c r="A1108" s="87" t="s">
        <v>2251</v>
      </c>
      <c r="B1108" s="87" t="s">
        <v>484</v>
      </c>
      <c r="C1108" s="88">
        <v>0</v>
      </c>
      <c r="D1108" s="88">
        <v>0</v>
      </c>
    </row>
    <row r="1109" spans="1:9" ht="15" customHeight="1" x14ac:dyDescent="0.25">
      <c r="A1109" s="87" t="s">
        <v>2251</v>
      </c>
      <c r="B1109" s="87" t="s">
        <v>323</v>
      </c>
      <c r="C1109" s="88">
        <v>0</v>
      </c>
      <c r="D1109" s="88">
        <v>0</v>
      </c>
    </row>
    <row r="1110" spans="1:9" ht="15" customHeight="1" x14ac:dyDescent="0.25">
      <c r="A1110" s="87" t="s">
        <v>2251</v>
      </c>
      <c r="B1110" s="87" t="s">
        <v>272</v>
      </c>
      <c r="C1110" s="88">
        <v>0</v>
      </c>
      <c r="D1110" s="88">
        <v>0</v>
      </c>
    </row>
    <row r="1111" spans="1:9" ht="15" customHeight="1" x14ac:dyDescent="0.25">
      <c r="A1111" s="87" t="s">
        <v>2251</v>
      </c>
      <c r="B1111" s="87" t="s">
        <v>327</v>
      </c>
      <c r="C1111" s="88">
        <v>0</v>
      </c>
      <c r="D1111" s="88">
        <v>0</v>
      </c>
    </row>
    <row r="1112" spans="1:9" ht="15" customHeight="1" x14ac:dyDescent="0.25">
      <c r="A1112" s="87" t="s">
        <v>2251</v>
      </c>
      <c r="B1112" s="87" t="s">
        <v>979</v>
      </c>
      <c r="C1112" s="88">
        <v>0</v>
      </c>
      <c r="D1112" s="88">
        <v>0</v>
      </c>
    </row>
    <row r="1113" spans="1:9" ht="15" customHeight="1" x14ac:dyDescent="0.25">
      <c r="A1113" s="87" t="s">
        <v>2251</v>
      </c>
      <c r="B1113" s="87" t="s">
        <v>304</v>
      </c>
      <c r="C1113" s="88">
        <v>0</v>
      </c>
      <c r="D1113" s="88">
        <v>0</v>
      </c>
      <c r="G1113" t="s">
        <v>1707</v>
      </c>
      <c r="H1113">
        <v>168</v>
      </c>
      <c r="I1113">
        <v>1858</v>
      </c>
    </row>
    <row r="1115" spans="1:9" ht="15" customHeight="1" x14ac:dyDescent="0.25">
      <c r="A1115" s="87" t="s">
        <v>2263</v>
      </c>
      <c r="B1115" s="87" t="s">
        <v>2264</v>
      </c>
      <c r="C1115" s="88">
        <v>0</v>
      </c>
      <c r="D1115" s="88">
        <v>0</v>
      </c>
    </row>
    <row r="1116" spans="1:9" ht="15" customHeight="1" x14ac:dyDescent="0.25">
      <c r="A1116" s="87" t="s">
        <v>2263</v>
      </c>
      <c r="B1116" s="87" t="s">
        <v>2265</v>
      </c>
      <c r="C1116" s="88">
        <v>0</v>
      </c>
      <c r="D1116" s="88">
        <v>0</v>
      </c>
    </row>
    <row r="1117" spans="1:9" ht="15" customHeight="1" x14ac:dyDescent="0.25">
      <c r="A1117" s="87" t="s">
        <v>2263</v>
      </c>
      <c r="B1117" s="87" t="s">
        <v>2266</v>
      </c>
      <c r="C1117" s="88">
        <v>0</v>
      </c>
      <c r="D1117" s="88">
        <v>0</v>
      </c>
    </row>
    <row r="1118" spans="1:9" ht="15" customHeight="1" x14ac:dyDescent="0.25">
      <c r="A1118" s="87" t="s">
        <v>2263</v>
      </c>
      <c r="B1118" s="87" t="s">
        <v>2267</v>
      </c>
      <c r="C1118" s="88">
        <v>0</v>
      </c>
      <c r="D1118" s="88">
        <v>0</v>
      </c>
    </row>
    <row r="1119" spans="1:9" ht="15" customHeight="1" x14ac:dyDescent="0.25">
      <c r="A1119" s="87" t="s">
        <v>2263</v>
      </c>
      <c r="B1119" s="87" t="s">
        <v>2268</v>
      </c>
      <c r="C1119" s="88">
        <v>0</v>
      </c>
      <c r="D1119" s="88">
        <v>0</v>
      </c>
    </row>
    <row r="1120" spans="1:9" ht="15" customHeight="1" x14ac:dyDescent="0.25">
      <c r="A1120" s="87" t="s">
        <v>2263</v>
      </c>
      <c r="B1120" s="87" t="s">
        <v>2269</v>
      </c>
      <c r="C1120" s="88">
        <v>0</v>
      </c>
      <c r="D1120" s="88">
        <v>0</v>
      </c>
    </row>
    <row r="1121" spans="1:9" ht="15" customHeight="1" x14ac:dyDescent="0.25">
      <c r="A1121" s="87" t="s">
        <v>1600</v>
      </c>
      <c r="B1121" s="87" t="s">
        <v>1280</v>
      </c>
      <c r="C1121" s="88">
        <v>0</v>
      </c>
      <c r="D1121" s="88">
        <v>0</v>
      </c>
    </row>
    <row r="1122" spans="1:9" ht="15" customHeight="1" x14ac:dyDescent="0.25">
      <c r="A1122" s="87" t="s">
        <v>1600</v>
      </c>
      <c r="B1122" s="87" t="s">
        <v>2270</v>
      </c>
      <c r="C1122" s="88">
        <v>0</v>
      </c>
      <c r="D1122" s="88">
        <v>0</v>
      </c>
    </row>
    <row r="1123" spans="1:9" ht="15" customHeight="1" x14ac:dyDescent="0.25">
      <c r="A1123" s="87" t="s">
        <v>1600</v>
      </c>
      <c r="B1123" s="87" t="s">
        <v>2271</v>
      </c>
      <c r="C1123" s="88">
        <v>0</v>
      </c>
      <c r="D1123" s="88">
        <v>0</v>
      </c>
    </row>
    <row r="1124" spans="1:9" ht="15" customHeight="1" x14ac:dyDescent="0.25">
      <c r="A1124" s="87" t="s">
        <v>1600</v>
      </c>
      <c r="B1124" s="87" t="s">
        <v>2272</v>
      </c>
      <c r="C1124" s="88">
        <v>0</v>
      </c>
      <c r="D1124" s="88">
        <v>0</v>
      </c>
      <c r="G1124" t="s">
        <v>1707</v>
      </c>
      <c r="H1124">
        <v>0</v>
      </c>
      <c r="I1124">
        <v>0</v>
      </c>
    </row>
    <row r="1126" spans="1:9" ht="15" customHeight="1" x14ac:dyDescent="0.25">
      <c r="A1126" s="91" t="s">
        <v>50</v>
      </c>
      <c r="B1126" s="91"/>
      <c r="C1126" s="92">
        <v>314</v>
      </c>
      <c r="D1126" s="92">
        <v>3776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e86578-c81b-4171-a9eb-f7f43b5d45ad">
      <Terms xmlns="http://schemas.microsoft.com/office/infopath/2007/PartnerControls"/>
    </lcf76f155ced4ddcb4097134ff3c332f>
    <_x0023_ xmlns="cfe86578-c81b-4171-a9eb-f7f43b5d45ad">1</_x0023_>
    <TaxCatchAll xmlns="75bd078a-c161-4c06-a675-212ed6e9be9d" xsi:nil="true"/>
    <_x0031_ xmlns="cfe86578-c81b-4171-a9eb-f7f43b5d45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D8C69559D0F409C4CCC3D7B14C0D0" ma:contentTypeVersion="20" ma:contentTypeDescription="Crear nuevo documento." ma:contentTypeScope="" ma:versionID="906202846e63e4e2e125080123bbed2f">
  <xsd:schema xmlns:xsd="http://www.w3.org/2001/XMLSchema" xmlns:xs="http://www.w3.org/2001/XMLSchema" xmlns:p="http://schemas.microsoft.com/office/2006/metadata/properties" xmlns:ns2="cfe86578-c81b-4171-a9eb-f7f43b5d45ad" xmlns:ns3="75bd078a-c161-4c06-a675-212ed6e9be9d" targetNamespace="http://schemas.microsoft.com/office/2006/metadata/properties" ma:root="true" ma:fieldsID="0b79a9ea35a5bc2d05c84d7378faf830" ns2:_="" ns3:_="">
    <xsd:import namespace="cfe86578-c81b-4171-a9eb-f7f43b5d45ad"/>
    <xsd:import namespace="75bd078a-c161-4c06-a675-212ed6e9b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x0031_" minOccurs="0"/>
                <xsd:element ref="ns2:_x002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86578-c81b-4171-a9eb-f7f43b5d45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23_" ma:index="25" nillable="true" ma:displayName="#" ma:decimals="0" ma:default="1" ma:description="Número de la columna del archivo" ma:format="Dropdown" ma:internalName="_x0023_" ma:percentage="FALSE">
      <xsd:simpleType>
        <xsd:restriction base="dms:Number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d078a-c161-4c06-a675-212ed6e9b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52d7cc4-2700-4d86-b7a6-a486bfde2ace}" ma:internalName="TaxCatchAll" ma:showField="CatchAllData" ma:web="75bd078a-c161-4c06-a675-212ed6e9b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8898FF-965D-420C-BFC2-34D76A771346}">
  <ds:schemaRefs>
    <ds:schemaRef ds:uri="http://schemas.microsoft.com/office/2006/metadata/properties"/>
    <ds:schemaRef ds:uri="http://schemas.microsoft.com/office/infopath/2007/PartnerControls"/>
    <ds:schemaRef ds:uri="cfe86578-c81b-4171-a9eb-f7f43b5d45ad"/>
    <ds:schemaRef ds:uri="75bd078a-c161-4c06-a675-212ed6e9be9d"/>
  </ds:schemaRefs>
</ds:datastoreItem>
</file>

<file path=customXml/itemProps2.xml><?xml version="1.0" encoding="utf-8"?>
<ds:datastoreItem xmlns:ds="http://schemas.openxmlformats.org/officeDocument/2006/customXml" ds:itemID="{714117CE-905A-4948-A165-E856E59FC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DA3360-3729-4E3A-B331-964C43B59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e86578-c81b-4171-a9eb-f7f43b5d45ad"/>
    <ds:schemaRef ds:uri="75bd078a-c161-4c06-a675-212ed6e9b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Análisis general</vt:lpstr>
      <vt:lpstr>Municipios completos</vt:lpstr>
      <vt:lpstr>Municipios completos (2)</vt:lpstr>
      <vt:lpstr>Minculturas</vt:lpstr>
      <vt:lpstr>Olimpiadas</vt:lpstr>
      <vt:lpstr>cpe</vt:lpstr>
      <vt:lpstr>Noticias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ANDRES FERNANDEZ GARCIA</cp:lastModifiedBy>
  <cp:revision>0</cp:revision>
  <dcterms:created xsi:type="dcterms:W3CDTF">2026-08-19T03:43:06Z</dcterms:created>
  <dcterms:modified xsi:type="dcterms:W3CDTF">2026-08-24T21:11:36Z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0x010100C49D8C69559D0F409C4CCC3D7B14C0D0</vt:lpwstr>
  </property>
  <property fmtid="{D5CDD505-2E9C-101B-9397-08002B2CF9AE}" pid="3" name="MediaServiceImageTags">
    <vt:lpwstr/>
  </property>
</Properties>
</file>